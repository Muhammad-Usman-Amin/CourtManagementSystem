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ocuments\CourtCode\CourtManagementSystem\"/>
    </mc:Choice>
  </mc:AlternateContent>
  <workbookProtection workbookAlgorithmName="SHA-512" workbookHashValue="T0uYOJRE/HFPSSlgFljw5+5EmnBVrApQGfTPpxkrDANEayaAJUThPWO9FDymTc7LK0y5oOvcqHgXbzl3TAeqdw==" workbookSaltValue="ZsuDK4kh+SytVL84TL6QxQ==" workbookSpinCount="100000" lockStructure="1"/>
  <bookViews>
    <workbookView xWindow="0" yWindow="0" windowWidth="20490" windowHeight="7350" tabRatio="565"/>
  </bookViews>
  <sheets>
    <sheet name="Home" sheetId="1" r:id="rId1"/>
    <sheet name="YWSmry" sheetId="10" state="hidden" r:id="rId2"/>
    <sheet name="Sheet2" sheetId="12" state="hidden" r:id="rId3"/>
    <sheet name="Database" sheetId="2" r:id="rId4"/>
    <sheet name="SearchData" sheetId="3" state="hidden" r:id="rId5"/>
    <sheet name="Print" sheetId="4" state="hidden" r:id="rId6"/>
    <sheet name="Support" sheetId="5" state="hidden" r:id="rId7"/>
    <sheet name="JudgeProfile" sheetId="6" state="hidden" r:id="rId8"/>
    <sheet name="Autogenerated Template" sheetId="7" state="hidden" r:id="rId9"/>
    <sheet name="CategoryWiseCOnsolidated" sheetId="13" state="hidden" r:id="rId10"/>
    <sheet name="Sheet1" sheetId="8" state="hidden" r:id="rId11"/>
    <sheet name="Summary Sheet" sheetId="9" state="hidden" r:id="rId12"/>
    <sheet name="DataToRead" sheetId="11" state="hidden" r:id="rId13"/>
    <sheet name="YearWiseSmry" sheetId="14" state="hidden" r:id="rId14"/>
    <sheet name="DiposedCases" sheetId="17" r:id="rId15"/>
    <sheet name="FreshInstitution" sheetId="18" state="hidden" r:id="rId16"/>
    <sheet name="CourtBalance" sheetId="15" state="hidden" r:id="rId17"/>
    <sheet name="UTPCases" sheetId="19" r:id="rId18"/>
    <sheet name="PendingCases" sheetId="22" r:id="rId19"/>
    <sheet name="SecurityProceedings" sheetId="21" state="hidden" r:id="rId20"/>
  </sheets>
  <functionGroups builtInGroupCount="18"/>
  <externalReferences>
    <externalReference r:id="rId21"/>
    <externalReference r:id="rId22"/>
  </externalReferences>
  <definedNames>
    <definedName name="_xlnm._FilterDatabase" localSheetId="3" hidden="1">Database!$A$1:$BC$694</definedName>
    <definedName name="_xlnm._FilterDatabase" localSheetId="7" hidden="1">JudgeProfile!$A$1:$T$1</definedName>
    <definedName name="_xlnm._FilterDatabase" localSheetId="6" hidden="1">Support!$BB$1:$BG$57</definedName>
    <definedName name="CivilDisposal">[1]DataSheet!$M$126:$M$141</definedName>
    <definedName name="Combine">'Autogenerated Template'!$C$6:$C$34</definedName>
    <definedName name="Dynamic">Support!$BI$2:$BI$8</definedName>
    <definedName name="_xlnm.Print_Area" localSheetId="5">Print!$B$2:$I$17</definedName>
    <definedName name="TblCatforreplace">Support!$BF$2:$BG$57</definedName>
    <definedName name="TblContestedTarget">Support!$AL$1:$AQ$16</definedName>
    <definedName name="TblContestedTarget1">Support!$AL$1:$AO$16</definedName>
    <definedName name="TblDC">Support!$BB$1:$BC$36</definedName>
    <definedName name="TblMonths">Sheet1!$A$2:$B$13</definedName>
    <definedName name="TblTC">Support!$AW$1:$AX$80</definedName>
    <definedName name="tbltc2">Support!$AX$1:$AY$80</definedName>
    <definedName name="tbltc3">Support!$AX$1:$AZ$82</definedName>
    <definedName name="tblzones">Support!$BM$1:$BP$36</definedName>
    <definedName name="Z_77330FEB_8B75_43E5_931E_B4C5A6173E6D_.wvu.FilterData" localSheetId="3" hidden="1">Database!#REF!</definedName>
    <definedName name="Z_77330FEB_8B75_43E5_931E_B4C5A6173E6D_.wvu.FilterData" localSheetId="7" hidden="1">JudgeProfile!$A$1:$T$1</definedName>
    <definedName name="Z_77330FEB_8B75_43E5_931E_B4C5A6173E6D_.wvu.PrintArea" localSheetId="5" hidden="1">Print!$B$2:$I$17</definedName>
  </definedNames>
  <calcPr calcId="162913" iterate="1"/>
  <customWorkbookViews>
    <customWorkbookView name="MUHAMMAD - Personal View" guid="{77330FEB-8B75-43E5-931E-B4C5A6173E6D}" mergeInterval="0" personalView="1" maximized="1" xWindow="-9" yWindow="-9" windowWidth="1938" windowHeight="1048" activeSheetId="2"/>
  </customWorkbookViews>
  <pivotCaches>
    <pivotCache cacheId="0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87" i="2" l="1"/>
  <c r="A637" i="2" l="1"/>
  <c r="A642" i="2"/>
  <c r="A641" i="2"/>
  <c r="A639" i="2"/>
  <c r="A638" i="2"/>
  <c r="A694" i="2"/>
  <c r="A134" i="2"/>
  <c r="A693" i="2"/>
  <c r="A692" i="2"/>
  <c r="A209" i="2"/>
  <c r="A137" i="2"/>
  <c r="A173" i="2"/>
  <c r="A152" i="2"/>
  <c r="A179" i="2"/>
  <c r="A178" i="2"/>
  <c r="A177" i="2"/>
  <c r="A691" i="2"/>
  <c r="A189" i="2"/>
  <c r="A135" i="2"/>
  <c r="A163" i="2"/>
  <c r="A151" i="2"/>
  <c r="A174" i="2"/>
  <c r="A428" i="2"/>
  <c r="A429" i="2"/>
  <c r="A456" i="2"/>
  <c r="A65" i="2"/>
  <c r="A354" i="2"/>
  <c r="A314" i="2"/>
  <c r="A211" i="2"/>
  <c r="A644" i="2"/>
  <c r="A402" i="2"/>
  <c r="A471" i="2"/>
  <c r="A268" i="2"/>
  <c r="A656" i="2"/>
  <c r="A652" i="2"/>
  <c r="A645" i="2"/>
  <c r="A646" i="2"/>
  <c r="A629" i="2"/>
  <c r="A669" i="2"/>
  <c r="A679" i="2"/>
  <c r="A677" i="2"/>
  <c r="A688" i="2"/>
  <c r="A686" i="2"/>
  <c r="A685" i="2"/>
  <c r="A636" i="2"/>
  <c r="A659" i="2"/>
  <c r="A658" i="2"/>
  <c r="A657" i="2"/>
  <c r="A647" i="2"/>
  <c r="A597" i="2"/>
  <c r="A643" i="2"/>
  <c r="A680" i="2"/>
  <c r="A672" i="2"/>
  <c r="A687" i="2"/>
  <c r="A635" i="2"/>
  <c r="A512" i="2"/>
  <c r="A181" i="2"/>
  <c r="A270" i="2"/>
  <c r="A269" i="2"/>
  <c r="A579" i="2"/>
  <c r="A573" i="2"/>
  <c r="A628" i="2"/>
  <c r="A338" i="2"/>
  <c r="A162" i="2"/>
  <c r="A630" i="2"/>
  <c r="A534" i="2"/>
  <c r="A590" i="2"/>
  <c r="A607" i="2"/>
  <c r="A540" i="2"/>
  <c r="A627" i="2"/>
  <c r="A353" i="2"/>
  <c r="A294" i="2"/>
  <c r="A621" i="2"/>
  <c r="A586" i="2"/>
  <c r="A584" i="2"/>
  <c r="A563" i="2"/>
  <c r="A545" i="2"/>
  <c r="A626" i="2"/>
  <c r="A625" i="2"/>
  <c r="A623" i="2"/>
  <c r="A622" i="2"/>
  <c r="A613" i="2"/>
  <c r="A612" i="2"/>
  <c r="A572" i="2"/>
  <c r="A610" i="2"/>
  <c r="A614" i="2"/>
  <c r="A585" i="2"/>
  <c r="A617" i="2"/>
  <c r="A611" i="2"/>
  <c r="A473" i="2"/>
  <c r="A472" i="2"/>
  <c r="A567" i="2"/>
  <c r="A549" i="2"/>
  <c r="A690" i="2"/>
  <c r="A689" i="2"/>
  <c r="A684" i="2"/>
  <c r="A683" i="2"/>
  <c r="A682" i="2"/>
  <c r="A681" i="2"/>
  <c r="A678" i="2"/>
  <c r="A676" i="2"/>
  <c r="A675" i="2"/>
  <c r="A674" i="2"/>
  <c r="A673" i="2"/>
  <c r="A671" i="2"/>
  <c r="A670" i="2"/>
  <c r="A668" i="2"/>
  <c r="A667" i="2"/>
  <c r="A666" i="2"/>
  <c r="A665" i="2"/>
  <c r="A664" i="2"/>
  <c r="A663" i="2"/>
  <c r="A662" i="2"/>
  <c r="A661" i="2"/>
  <c r="A660" i="2"/>
  <c r="A655" i="2"/>
  <c r="A654" i="2"/>
  <c r="A653" i="2"/>
  <c r="A651" i="2"/>
  <c r="A650" i="2"/>
  <c r="A649" i="2"/>
  <c r="A648" i="2"/>
  <c r="A640" i="2"/>
  <c r="A634" i="2"/>
  <c r="A633" i="2"/>
  <c r="A632" i="2"/>
  <c r="A631" i="2"/>
  <c r="A624" i="2"/>
  <c r="A620" i="2"/>
  <c r="A619" i="2"/>
  <c r="A618" i="2"/>
  <c r="A616" i="2"/>
  <c r="A615" i="2"/>
  <c r="A609" i="2"/>
  <c r="A608" i="2"/>
  <c r="A606" i="2"/>
  <c r="A605" i="2"/>
  <c r="A604" i="2"/>
  <c r="A603" i="2"/>
  <c r="A602" i="2"/>
  <c r="A601" i="2"/>
  <c r="A600" i="2"/>
  <c r="A599" i="2"/>
  <c r="A598" i="2"/>
  <c r="A596" i="2"/>
  <c r="A595" i="2"/>
  <c r="A594" i="2"/>
  <c r="A589" i="2"/>
  <c r="A591" i="2"/>
  <c r="A592" i="2"/>
  <c r="A593" i="2"/>
  <c r="A588" i="2"/>
  <c r="A587" i="2"/>
  <c r="A583" i="2"/>
  <c r="A582" i="2"/>
  <c r="A581" i="2"/>
  <c r="A580" i="2"/>
  <c r="A578" i="2"/>
  <c r="A577" i="2"/>
  <c r="A576" i="2"/>
  <c r="A575" i="2"/>
  <c r="A574" i="2"/>
  <c r="A571" i="2"/>
  <c r="A570" i="2"/>
  <c r="A569" i="2"/>
  <c r="A568" i="2"/>
  <c r="A566" i="2"/>
  <c r="A565" i="2"/>
  <c r="A564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8" i="2"/>
  <c r="A547" i="2"/>
  <c r="A546" i="2"/>
  <c r="A544" i="2"/>
  <c r="A543" i="2"/>
  <c r="A542" i="2"/>
  <c r="A541" i="2"/>
  <c r="A539" i="2"/>
  <c r="A538" i="2"/>
  <c r="A537" i="2"/>
  <c r="A536" i="2"/>
  <c r="A535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0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8" i="2"/>
  <c r="A187" i="2"/>
  <c r="A186" i="2"/>
  <c r="A185" i="2"/>
  <c r="A184" i="2"/>
  <c r="A183" i="2"/>
  <c r="A182" i="2"/>
  <c r="A180" i="2"/>
  <c r="A176" i="2"/>
  <c r="A175" i="2"/>
  <c r="A172" i="2"/>
  <c r="A171" i="2"/>
  <c r="A170" i="2"/>
  <c r="A169" i="2"/>
  <c r="A168" i="2"/>
  <c r="A167" i="2"/>
  <c r="A166" i="2"/>
  <c r="A165" i="2"/>
  <c r="A164" i="2"/>
  <c r="A161" i="2"/>
  <c r="A160" i="2"/>
  <c r="A159" i="2"/>
  <c r="A158" i="2"/>
  <c r="A157" i="2"/>
  <c r="A156" i="2"/>
  <c r="A155" i="2"/>
  <c r="A154" i="2"/>
  <c r="A153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6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" i="6" l="1"/>
  <c r="AE630" i="5" l="1"/>
  <c r="AE629" i="5"/>
  <c r="AE628" i="5"/>
  <c r="AE627" i="5"/>
  <c r="AE626" i="5"/>
  <c r="AE625" i="5"/>
  <c r="AE624" i="5"/>
  <c r="AE623" i="5"/>
  <c r="AE622" i="5"/>
  <c r="AE621" i="5"/>
  <c r="AE620" i="5"/>
  <c r="AE619" i="5"/>
  <c r="AE618" i="5"/>
  <c r="AE617" i="5"/>
  <c r="AE616" i="5"/>
  <c r="AE615" i="5"/>
  <c r="AE614" i="5"/>
  <c r="AE613" i="5"/>
  <c r="AE612" i="5"/>
  <c r="AE611" i="5"/>
  <c r="AE610" i="5"/>
  <c r="AE609" i="5"/>
  <c r="AE608" i="5"/>
  <c r="AE607" i="5"/>
  <c r="AE606" i="5"/>
  <c r="AE605" i="5"/>
  <c r="AE604" i="5"/>
  <c r="AE603" i="5"/>
  <c r="AE602" i="5"/>
  <c r="AE601" i="5"/>
  <c r="AE600" i="5"/>
  <c r="AE599" i="5"/>
  <c r="AE598" i="5"/>
  <c r="AE597" i="5"/>
  <c r="AE596" i="5"/>
  <c r="AE595" i="5"/>
  <c r="AE594" i="5"/>
  <c r="AE593" i="5"/>
  <c r="AE592" i="5"/>
  <c r="AE591" i="5"/>
  <c r="AE590" i="5"/>
  <c r="AE589" i="5"/>
  <c r="AE588" i="5"/>
  <c r="AE587" i="5"/>
  <c r="AE586" i="5"/>
  <c r="AE585" i="5"/>
  <c r="AE584" i="5"/>
  <c r="AE583" i="5"/>
  <c r="AE582" i="5"/>
  <c r="AE581" i="5"/>
  <c r="AE580" i="5"/>
  <c r="AE579" i="5"/>
  <c r="AE578" i="5"/>
  <c r="AE577" i="5"/>
  <c r="AE576" i="5"/>
  <c r="AE575" i="5"/>
  <c r="AE574" i="5"/>
  <c r="AE573" i="5"/>
  <c r="AE572" i="5"/>
  <c r="AE571" i="5"/>
  <c r="AE570" i="5"/>
  <c r="AE569" i="5"/>
  <c r="AE568" i="5"/>
  <c r="AE567" i="5"/>
  <c r="AE566" i="5"/>
  <c r="AE565" i="5"/>
  <c r="AE564" i="5"/>
  <c r="AE563" i="5"/>
  <c r="AE562" i="5"/>
  <c r="AE561" i="5"/>
  <c r="AE560" i="5"/>
  <c r="AE559" i="5"/>
  <c r="AE558" i="5"/>
  <c r="AE557" i="5"/>
  <c r="AE556" i="5"/>
  <c r="AE555" i="5"/>
  <c r="AE554" i="5"/>
  <c r="AE553" i="5"/>
  <c r="AE552" i="5"/>
  <c r="AE551" i="5"/>
  <c r="AE550" i="5"/>
  <c r="AE549" i="5"/>
  <c r="AE548" i="5"/>
  <c r="AE547" i="5"/>
  <c r="AE546" i="5"/>
  <c r="AE545" i="5"/>
  <c r="AE544" i="5"/>
  <c r="AE543" i="5"/>
  <c r="AE542" i="5"/>
  <c r="AE541" i="5"/>
  <c r="AE540" i="5"/>
  <c r="AE539" i="5"/>
  <c r="AE538" i="5"/>
  <c r="AE537" i="5"/>
  <c r="AE536" i="5"/>
  <c r="AE535" i="5"/>
  <c r="AE534" i="5"/>
  <c r="AE533" i="5"/>
  <c r="AE532" i="5"/>
  <c r="AE531" i="5"/>
  <c r="AE530" i="5"/>
  <c r="AE529" i="5"/>
  <c r="AE528" i="5"/>
  <c r="AE527" i="5"/>
  <c r="AE526" i="5"/>
  <c r="AE525" i="5"/>
  <c r="AE524" i="5"/>
  <c r="AE523" i="5"/>
  <c r="AE522" i="5"/>
  <c r="AE521" i="5"/>
  <c r="AE520" i="5"/>
  <c r="AE519" i="5"/>
  <c r="AE518" i="5"/>
  <c r="AE517" i="5"/>
  <c r="AE516" i="5"/>
  <c r="AE515" i="5"/>
  <c r="AE514" i="5"/>
  <c r="AE513" i="5"/>
  <c r="AE512" i="5"/>
  <c r="AE511" i="5"/>
  <c r="AE510" i="5"/>
  <c r="AE509" i="5"/>
  <c r="AE508" i="5"/>
  <c r="AE507" i="5"/>
  <c r="AE506" i="5"/>
  <c r="AE505" i="5"/>
  <c r="AE504" i="5"/>
  <c r="AE503" i="5"/>
  <c r="AE502" i="5"/>
  <c r="AE501" i="5"/>
  <c r="AE500" i="5"/>
  <c r="AE499" i="5"/>
  <c r="AE498" i="5"/>
  <c r="AE497" i="5"/>
  <c r="AE496" i="5"/>
  <c r="AE495" i="5"/>
  <c r="AE494" i="5"/>
  <c r="AE493" i="5"/>
  <c r="AE492" i="5"/>
  <c r="AE491" i="5"/>
  <c r="AE490" i="5"/>
  <c r="AE489" i="5"/>
  <c r="AE488" i="5"/>
  <c r="AE487" i="5"/>
  <c r="AE486" i="5"/>
  <c r="AE485" i="5"/>
  <c r="AE484" i="5"/>
  <c r="AE483" i="5"/>
  <c r="AE482" i="5"/>
  <c r="AE481" i="5"/>
  <c r="AE480" i="5"/>
  <c r="AE479" i="5"/>
  <c r="AE478" i="5"/>
  <c r="AE477" i="5"/>
  <c r="AE476" i="5"/>
  <c r="AE475" i="5"/>
  <c r="AE474" i="5"/>
  <c r="AE473" i="5"/>
  <c r="AE472" i="5"/>
  <c r="AE471" i="5"/>
  <c r="AE470" i="5"/>
  <c r="AE469" i="5"/>
  <c r="AE468" i="5"/>
  <c r="AE467" i="5"/>
  <c r="AE466" i="5"/>
  <c r="AE465" i="5"/>
  <c r="AE464" i="5"/>
  <c r="AE463" i="5"/>
  <c r="AE462" i="5"/>
  <c r="AE461" i="5"/>
  <c r="AE460" i="5"/>
  <c r="AE459" i="5"/>
  <c r="AE458" i="5"/>
  <c r="AE457" i="5"/>
  <c r="AE456" i="5"/>
  <c r="AE455" i="5"/>
  <c r="AE454" i="5"/>
  <c r="AE453" i="5"/>
  <c r="AE452" i="5"/>
  <c r="AE451" i="5"/>
  <c r="AE450" i="5"/>
  <c r="AE449" i="5"/>
  <c r="AE448" i="5"/>
  <c r="AE447" i="5"/>
  <c r="AE446" i="5"/>
  <c r="AE445" i="5"/>
  <c r="AE444" i="5"/>
  <c r="AE443" i="5"/>
  <c r="AE442" i="5"/>
  <c r="AE441" i="5"/>
  <c r="AE440" i="5"/>
  <c r="AE439" i="5"/>
  <c r="AE438" i="5"/>
  <c r="AE437" i="5"/>
  <c r="AE436" i="5"/>
  <c r="AE435" i="5"/>
  <c r="AE434" i="5"/>
  <c r="AE433" i="5"/>
  <c r="AE432" i="5"/>
  <c r="AE431" i="5"/>
  <c r="AE430" i="5"/>
  <c r="AE429" i="5"/>
  <c r="AE428" i="5"/>
  <c r="AE427" i="5"/>
  <c r="AE426" i="5"/>
  <c r="AE425" i="5"/>
  <c r="AE424" i="5"/>
  <c r="AE423" i="5"/>
  <c r="AE422" i="5"/>
  <c r="AE421" i="5"/>
  <c r="AE420" i="5"/>
  <c r="AE419" i="5"/>
  <c r="AE418" i="5"/>
  <c r="AE417" i="5"/>
  <c r="AE416" i="5"/>
  <c r="AE415" i="5"/>
  <c r="AE414" i="5"/>
  <c r="AE413" i="5"/>
  <c r="AE412" i="5"/>
  <c r="AE411" i="5"/>
  <c r="AE410" i="5"/>
  <c r="AE409" i="5"/>
  <c r="AE408" i="5"/>
  <c r="AE407" i="5"/>
  <c r="AE406" i="5"/>
  <c r="AE405" i="5"/>
  <c r="AE404" i="5"/>
  <c r="AE403" i="5"/>
  <c r="AE402" i="5"/>
  <c r="AE401" i="5"/>
  <c r="AE400" i="5"/>
  <c r="AE399" i="5"/>
  <c r="AE398" i="5"/>
  <c r="AE397" i="5"/>
  <c r="AE396" i="5"/>
  <c r="AE395" i="5"/>
  <c r="AE394" i="5"/>
  <c r="AE393" i="5"/>
  <c r="AE392" i="5"/>
  <c r="AE391" i="5"/>
  <c r="AE390" i="5"/>
  <c r="AE389" i="5"/>
  <c r="AE388" i="5"/>
  <c r="AE387" i="5"/>
  <c r="AE386" i="5"/>
  <c r="AE385" i="5"/>
  <c r="AE384" i="5"/>
  <c r="AE383" i="5"/>
  <c r="AE382" i="5"/>
  <c r="AE381" i="5"/>
  <c r="AE380" i="5"/>
  <c r="AE379" i="5"/>
  <c r="AE378" i="5"/>
  <c r="AE377" i="5"/>
  <c r="AE376" i="5"/>
  <c r="AE375" i="5"/>
  <c r="AE374" i="5"/>
  <c r="AE373" i="5"/>
  <c r="AE372" i="5"/>
  <c r="AE371" i="5"/>
  <c r="AE370" i="5"/>
  <c r="AE369" i="5"/>
  <c r="AE368" i="5"/>
  <c r="AE367" i="5"/>
  <c r="AE366" i="5"/>
  <c r="AE365" i="5"/>
  <c r="AE364" i="5"/>
  <c r="AE363" i="5"/>
  <c r="AE362" i="5"/>
  <c r="AE361" i="5"/>
  <c r="AE360" i="5"/>
  <c r="AE359" i="5"/>
  <c r="AE358" i="5"/>
  <c r="AE357" i="5"/>
  <c r="AE356" i="5"/>
  <c r="AE355" i="5"/>
  <c r="AE354" i="5"/>
  <c r="AE353" i="5"/>
  <c r="AE352" i="5"/>
  <c r="AE351" i="5"/>
  <c r="AE350" i="5"/>
  <c r="AE349" i="5"/>
  <c r="AE348" i="5"/>
  <c r="AE347" i="5"/>
  <c r="AE346" i="5"/>
  <c r="AE345" i="5"/>
  <c r="AE344" i="5"/>
  <c r="AE343" i="5"/>
  <c r="AE342" i="5"/>
  <c r="AE341" i="5"/>
  <c r="AE340" i="5"/>
  <c r="AE339" i="5"/>
  <c r="AE338" i="5"/>
  <c r="AE337" i="5"/>
  <c r="AE336" i="5"/>
  <c r="AE335" i="5"/>
  <c r="AE334" i="5"/>
  <c r="AE333" i="5"/>
  <c r="AE332" i="5"/>
  <c r="AE331" i="5"/>
  <c r="AE330" i="5"/>
  <c r="AE329" i="5"/>
  <c r="AE328" i="5"/>
  <c r="AE327" i="5"/>
  <c r="AE326" i="5"/>
  <c r="AE325" i="5"/>
  <c r="AE324" i="5"/>
  <c r="AE323" i="5"/>
  <c r="AE322" i="5"/>
  <c r="AE321" i="5"/>
  <c r="AE320" i="5"/>
  <c r="AE319" i="5"/>
  <c r="AE318" i="5"/>
  <c r="AE317" i="5"/>
  <c r="AE316" i="5"/>
  <c r="AE315" i="5"/>
  <c r="AE314" i="5"/>
  <c r="AE313" i="5"/>
  <c r="AE312" i="5"/>
  <c r="AE311" i="5"/>
  <c r="AE310" i="5"/>
  <c r="AE309" i="5"/>
  <c r="AE308" i="5"/>
  <c r="AE307" i="5"/>
  <c r="AE306" i="5"/>
  <c r="AE305" i="5"/>
  <c r="AE304" i="5"/>
  <c r="AE303" i="5"/>
  <c r="AE302" i="5"/>
  <c r="AE301" i="5"/>
  <c r="AE300" i="5"/>
  <c r="AE299" i="5"/>
  <c r="AE298" i="5"/>
  <c r="AE297" i="5"/>
  <c r="AE296" i="5"/>
  <c r="AE295" i="5"/>
  <c r="AE294" i="5"/>
  <c r="AE293" i="5"/>
  <c r="AE292" i="5"/>
  <c r="AE291" i="5"/>
  <c r="AE290" i="5"/>
  <c r="AE289" i="5"/>
  <c r="AE288" i="5"/>
  <c r="AE287" i="5"/>
  <c r="AE286" i="5"/>
  <c r="AE285" i="5"/>
  <c r="AE284" i="5"/>
  <c r="AE283" i="5"/>
  <c r="AE282" i="5"/>
  <c r="AE281" i="5"/>
  <c r="AE280" i="5"/>
  <c r="AE279" i="5"/>
  <c r="AE278" i="5"/>
  <c r="AE277" i="5"/>
  <c r="AE276" i="5"/>
  <c r="AE275" i="5"/>
  <c r="AE274" i="5"/>
  <c r="AE273" i="5"/>
  <c r="AE272" i="5"/>
  <c r="AE271" i="5"/>
  <c r="AE270" i="5"/>
  <c r="AE269" i="5"/>
  <c r="AE268" i="5"/>
  <c r="AE267" i="5"/>
  <c r="AE266" i="5"/>
  <c r="AE265" i="5"/>
  <c r="AE264" i="5"/>
  <c r="AE263" i="5"/>
  <c r="AE262" i="5"/>
  <c r="AE261" i="5"/>
  <c r="AE260" i="5"/>
  <c r="AE259" i="5"/>
  <c r="AE258" i="5"/>
  <c r="AE257" i="5"/>
  <c r="AE256" i="5"/>
  <c r="AE255" i="5"/>
  <c r="AE254" i="5"/>
  <c r="AE253" i="5"/>
  <c r="AE252" i="5"/>
  <c r="AE251" i="5"/>
  <c r="AE250" i="5"/>
  <c r="AE249" i="5"/>
  <c r="AE248" i="5"/>
  <c r="AE247" i="5"/>
  <c r="AE246" i="5"/>
  <c r="AE245" i="5"/>
  <c r="AE244" i="5"/>
  <c r="AE243" i="5"/>
  <c r="AE242" i="5"/>
  <c r="AE241" i="5"/>
  <c r="AE240" i="5"/>
  <c r="AE239" i="5"/>
  <c r="AE238" i="5"/>
  <c r="AE237" i="5"/>
  <c r="AE236" i="5"/>
  <c r="AE235" i="5"/>
  <c r="AE234" i="5"/>
  <c r="AE233" i="5"/>
  <c r="AE232" i="5"/>
  <c r="AE231" i="5"/>
  <c r="AE230" i="5"/>
  <c r="AE229" i="5"/>
  <c r="AE228" i="5"/>
  <c r="AE227" i="5"/>
  <c r="AE226" i="5"/>
  <c r="AE225" i="5"/>
  <c r="AE224" i="5"/>
  <c r="AE223" i="5"/>
  <c r="AE222" i="5"/>
  <c r="AE221" i="5"/>
  <c r="AE220" i="5"/>
  <c r="AE219" i="5"/>
  <c r="AE218" i="5"/>
  <c r="AE217" i="5"/>
  <c r="AE216" i="5"/>
  <c r="AE215" i="5"/>
  <c r="AE214" i="5"/>
  <c r="AE213" i="5"/>
  <c r="AE212" i="5"/>
  <c r="AE211" i="5"/>
  <c r="AE210" i="5"/>
  <c r="AE209" i="5"/>
  <c r="AE208" i="5"/>
  <c r="AE207" i="5"/>
  <c r="AE206" i="5"/>
  <c r="AE205" i="5"/>
  <c r="AE204" i="5"/>
  <c r="AE203" i="5"/>
  <c r="AE202" i="5"/>
  <c r="AE201" i="5"/>
  <c r="AE200" i="5"/>
  <c r="AE199" i="5"/>
  <c r="AE198" i="5"/>
  <c r="AE197" i="5"/>
  <c r="AE196" i="5"/>
  <c r="AE195" i="5"/>
  <c r="AE194" i="5"/>
  <c r="AE193" i="5"/>
  <c r="AE192" i="5"/>
  <c r="AE191" i="5"/>
  <c r="AE190" i="5"/>
  <c r="AE189" i="5"/>
  <c r="AE188" i="5"/>
  <c r="AE187" i="5"/>
  <c r="AE186" i="5"/>
  <c r="AE185" i="5"/>
  <c r="AE184" i="5"/>
  <c r="AE183" i="5"/>
  <c r="AE182" i="5"/>
  <c r="AE181" i="5"/>
  <c r="AE180" i="5"/>
  <c r="AE179" i="5"/>
  <c r="AE178" i="5"/>
  <c r="AE177" i="5"/>
  <c r="AE176" i="5"/>
  <c r="AE175" i="5"/>
  <c r="AE174" i="5"/>
  <c r="AE173" i="5"/>
  <c r="AE172" i="5"/>
  <c r="AE171" i="5"/>
  <c r="AE170" i="5"/>
  <c r="AE169" i="5"/>
  <c r="AE168" i="5"/>
  <c r="AE167" i="5"/>
  <c r="AE166" i="5"/>
  <c r="AE165" i="5"/>
  <c r="AE164" i="5"/>
  <c r="AE163" i="5"/>
  <c r="AE162" i="5"/>
  <c r="AE161" i="5"/>
  <c r="AE160" i="5"/>
  <c r="AE159" i="5"/>
  <c r="AE158" i="5"/>
  <c r="AE157" i="5"/>
  <c r="AE156" i="5"/>
  <c r="AE155" i="5"/>
  <c r="AE154" i="5"/>
  <c r="AE153" i="5"/>
  <c r="AE152" i="5"/>
  <c r="AE151" i="5"/>
  <c r="AE150" i="5"/>
  <c r="AE149" i="5"/>
  <c r="AE148" i="5"/>
  <c r="AE147" i="5"/>
  <c r="AE146" i="5"/>
  <c r="AE145" i="5"/>
  <c r="AE144" i="5"/>
  <c r="AE143" i="5"/>
  <c r="AE142" i="5"/>
  <c r="AE141" i="5"/>
  <c r="AE140" i="5"/>
  <c r="AE139" i="5"/>
  <c r="AE138" i="5"/>
  <c r="AE137" i="5"/>
  <c r="AE136" i="5"/>
  <c r="AE135" i="5"/>
  <c r="AE134" i="5"/>
  <c r="AE133" i="5"/>
  <c r="AE132" i="5"/>
  <c r="AE131" i="5"/>
  <c r="AE130" i="5"/>
  <c r="AE129" i="5"/>
  <c r="AE128" i="5"/>
  <c r="AE127" i="5"/>
  <c r="AE126" i="5"/>
  <c r="AE125" i="5"/>
  <c r="AE124" i="5"/>
  <c r="AE123" i="5"/>
  <c r="AE122" i="5"/>
  <c r="AE121" i="5"/>
  <c r="AE120" i="5"/>
  <c r="AE119" i="5"/>
  <c r="AE118" i="5"/>
  <c r="AE117" i="5"/>
  <c r="AE116" i="5"/>
  <c r="AE115" i="5"/>
  <c r="AE114" i="5"/>
  <c r="AE113" i="5"/>
  <c r="AE112" i="5"/>
  <c r="AE111" i="5"/>
  <c r="AE110" i="5"/>
  <c r="AE109" i="5"/>
  <c r="AE108" i="5"/>
  <c r="AE107" i="5"/>
  <c r="AE106" i="5"/>
  <c r="AE105" i="5"/>
  <c r="AE104" i="5"/>
  <c r="AE103" i="5"/>
  <c r="AE102" i="5"/>
  <c r="AE101" i="5"/>
  <c r="AE100" i="5"/>
  <c r="AE99" i="5"/>
  <c r="AE98" i="5"/>
  <c r="AE97" i="5"/>
  <c r="AE96" i="5"/>
  <c r="AE95" i="5"/>
  <c r="AE94" i="5"/>
  <c r="AE93" i="5"/>
  <c r="AE92" i="5"/>
  <c r="AE91" i="5"/>
  <c r="AE90" i="5"/>
  <c r="AE89" i="5"/>
  <c r="AE88" i="5"/>
  <c r="AE87" i="5"/>
  <c r="AE86" i="5"/>
  <c r="AE85" i="5"/>
  <c r="AE84" i="5"/>
  <c r="AE83" i="5"/>
  <c r="AE82" i="5"/>
  <c r="AE81" i="5"/>
  <c r="AE80" i="5"/>
  <c r="AE79" i="5"/>
  <c r="AE78" i="5"/>
  <c r="AE77" i="5"/>
  <c r="AE76" i="5"/>
  <c r="AE75" i="5"/>
  <c r="AE74" i="5"/>
  <c r="AE73" i="5"/>
  <c r="AE72" i="5"/>
  <c r="AE71" i="5"/>
  <c r="AE70" i="5"/>
  <c r="AE69" i="5"/>
  <c r="AE68" i="5"/>
  <c r="AE67" i="5"/>
  <c r="AE66" i="5"/>
  <c r="AE65" i="5"/>
  <c r="AE64" i="5"/>
  <c r="AE63" i="5"/>
  <c r="AE62" i="5"/>
  <c r="AE61" i="5"/>
  <c r="AE60" i="5"/>
  <c r="AE59" i="5"/>
  <c r="AE58" i="5"/>
  <c r="AE57" i="5"/>
  <c r="AE56" i="5"/>
  <c r="AE55" i="5"/>
  <c r="AE54" i="5"/>
  <c r="AE53" i="5"/>
  <c r="AE52" i="5"/>
  <c r="AE51" i="5"/>
  <c r="AE50" i="5"/>
  <c r="AE49" i="5"/>
  <c r="AE48" i="5"/>
  <c r="AE47" i="5"/>
  <c r="AE46" i="5"/>
  <c r="AE45" i="5"/>
  <c r="AE44" i="5"/>
  <c r="AE43" i="5"/>
  <c r="AE42" i="5"/>
  <c r="AE41" i="5"/>
  <c r="AE40" i="5"/>
  <c r="AE39" i="5"/>
  <c r="AE38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E6" i="5"/>
  <c r="AE5" i="5"/>
  <c r="AE4" i="5"/>
  <c r="AE3" i="5"/>
  <c r="AE2" i="5"/>
  <c r="AG67" i="7" l="1"/>
  <c r="AF67" i="7"/>
  <c r="AJ61" i="13"/>
  <c r="AI61" i="13"/>
  <c r="AH61" i="13"/>
  <c r="AG61" i="13"/>
  <c r="AF61" i="13"/>
  <c r="L67" i="7"/>
  <c r="U61" i="13" s="1"/>
  <c r="T67" i="7"/>
  <c r="AB61" i="13" s="1"/>
  <c r="S67" i="7"/>
  <c r="AA61" i="13" s="1"/>
  <c r="P67" i="7"/>
  <c r="X61" i="13" s="1"/>
  <c r="O67" i="7"/>
  <c r="K67" i="7"/>
  <c r="T61" i="13" s="1"/>
  <c r="H67" i="7"/>
  <c r="P61" i="13" s="1"/>
  <c r="G67" i="7"/>
  <c r="O61" i="13" s="1"/>
  <c r="F67" i="7"/>
  <c r="N61" i="13" s="1"/>
  <c r="E67" i="7"/>
  <c r="M61" i="13" s="1"/>
  <c r="D67" i="7"/>
  <c r="L61" i="13" s="1"/>
  <c r="Q67" i="7" l="1"/>
  <c r="Y61" i="13" s="1"/>
  <c r="J67" i="7"/>
  <c r="R61" i="13" s="1"/>
  <c r="I67" i="7"/>
  <c r="Q61" i="13" s="1"/>
  <c r="AE61" i="13" s="1"/>
  <c r="W61" i="13"/>
  <c r="U67" i="7"/>
  <c r="AC61" i="13" s="1"/>
  <c r="N67" i="7" l="1"/>
  <c r="R67" i="7" s="1"/>
  <c r="V61" i="13" l="1"/>
  <c r="Z61" i="13"/>
  <c r="W34" i="7"/>
  <c r="W33" i="7"/>
  <c r="W32" i="7"/>
  <c r="W31" i="7"/>
  <c r="W30" i="7"/>
  <c r="W29" i="7"/>
  <c r="L66" i="7" l="1"/>
  <c r="U60" i="13" s="1"/>
  <c r="EC6" i="11" l="1"/>
  <c r="AI2" i="15" l="1"/>
  <c r="EB6" i="11"/>
  <c r="AJ59" i="13"/>
  <c r="AI59" i="13"/>
  <c r="AH59" i="13"/>
  <c r="AG59" i="13"/>
  <c r="AF59" i="13"/>
  <c r="AJ58" i="13"/>
  <c r="AI58" i="13"/>
  <c r="AH58" i="13"/>
  <c r="AG58" i="13"/>
  <c r="AF58" i="13"/>
  <c r="AJ57" i="13"/>
  <c r="AI57" i="13"/>
  <c r="AH57" i="13"/>
  <c r="AG57" i="13"/>
  <c r="AF57" i="13"/>
  <c r="AJ56" i="13"/>
  <c r="AI56" i="13"/>
  <c r="AH56" i="13"/>
  <c r="AG56" i="13"/>
  <c r="AF56" i="13"/>
  <c r="AJ55" i="13"/>
  <c r="AI55" i="13"/>
  <c r="AH55" i="13"/>
  <c r="AG55" i="13"/>
  <c r="AF55" i="13"/>
  <c r="AJ54" i="13"/>
  <c r="AI54" i="13"/>
  <c r="AH54" i="13"/>
  <c r="AG54" i="13"/>
  <c r="AF54" i="13"/>
  <c r="AJ53" i="13"/>
  <c r="AI53" i="13"/>
  <c r="AH53" i="13"/>
  <c r="AG53" i="13"/>
  <c r="AF53" i="13"/>
  <c r="AJ52" i="13"/>
  <c r="AI52" i="13"/>
  <c r="AH52" i="13"/>
  <c r="AG52" i="13"/>
  <c r="AF52" i="13"/>
  <c r="AJ51" i="13"/>
  <c r="AI51" i="13"/>
  <c r="AH51" i="13"/>
  <c r="AG51" i="13"/>
  <c r="AF51" i="13"/>
  <c r="AJ50" i="13"/>
  <c r="AI50" i="13"/>
  <c r="AH50" i="13"/>
  <c r="AG50" i="13"/>
  <c r="AF50" i="13"/>
  <c r="AJ49" i="13"/>
  <c r="AI49" i="13"/>
  <c r="AH49" i="13"/>
  <c r="AG49" i="13"/>
  <c r="AF49" i="13"/>
  <c r="AJ48" i="13"/>
  <c r="AI48" i="13"/>
  <c r="AH48" i="13"/>
  <c r="AG48" i="13"/>
  <c r="AF48" i="13"/>
  <c r="AJ47" i="13"/>
  <c r="AI47" i="13"/>
  <c r="AH47" i="13"/>
  <c r="AG47" i="13"/>
  <c r="AF47" i="13"/>
  <c r="AJ46" i="13"/>
  <c r="AI46" i="13"/>
  <c r="AH46" i="13"/>
  <c r="AG46" i="13"/>
  <c r="AF46" i="13"/>
  <c r="AJ45" i="13"/>
  <c r="AI45" i="13"/>
  <c r="AH45" i="13"/>
  <c r="AG45" i="13"/>
  <c r="AF45" i="13"/>
  <c r="AJ44" i="13"/>
  <c r="AI44" i="13"/>
  <c r="AH44" i="13"/>
  <c r="AG44" i="13"/>
  <c r="AF44" i="13"/>
  <c r="AJ43" i="13"/>
  <c r="AI43" i="13"/>
  <c r="AH43" i="13"/>
  <c r="AG43" i="13"/>
  <c r="AF43" i="13"/>
  <c r="AJ42" i="13"/>
  <c r="AI42" i="13"/>
  <c r="AH42" i="13"/>
  <c r="AG42" i="13"/>
  <c r="AF42" i="13"/>
  <c r="AJ41" i="13"/>
  <c r="AI41" i="13"/>
  <c r="AH41" i="13"/>
  <c r="AG41" i="13"/>
  <c r="AF41" i="13"/>
  <c r="AJ40" i="13"/>
  <c r="AI40" i="13"/>
  <c r="AH40" i="13"/>
  <c r="AG40" i="13"/>
  <c r="AF40" i="13"/>
  <c r="AJ39" i="13"/>
  <c r="AI39" i="13"/>
  <c r="AH39" i="13"/>
  <c r="AG39" i="13"/>
  <c r="AF39" i="13"/>
  <c r="AJ38" i="13"/>
  <c r="AI38" i="13"/>
  <c r="AH38" i="13"/>
  <c r="AG38" i="13"/>
  <c r="AF38" i="13"/>
  <c r="AJ37" i="13"/>
  <c r="AI37" i="13"/>
  <c r="AH37" i="13"/>
  <c r="AG37" i="13"/>
  <c r="AF37" i="13"/>
  <c r="AJ36" i="13"/>
  <c r="AI36" i="13"/>
  <c r="AH36" i="13"/>
  <c r="AG36" i="13"/>
  <c r="AF36" i="13"/>
  <c r="AJ35" i="13"/>
  <c r="AI35" i="13"/>
  <c r="AH35" i="13"/>
  <c r="AG35" i="13"/>
  <c r="AF35" i="13"/>
  <c r="AJ34" i="13"/>
  <c r="AI34" i="13"/>
  <c r="AH34" i="13"/>
  <c r="AG34" i="13"/>
  <c r="AF34" i="13"/>
  <c r="AJ33" i="13"/>
  <c r="AI33" i="13"/>
  <c r="AH33" i="13"/>
  <c r="AG33" i="13"/>
  <c r="AF33" i="13"/>
  <c r="AJ32" i="13"/>
  <c r="AI32" i="13"/>
  <c r="AH32" i="13"/>
  <c r="AG32" i="13"/>
  <c r="AF32" i="13"/>
  <c r="AJ31" i="13"/>
  <c r="AI31" i="13"/>
  <c r="AH31" i="13"/>
  <c r="AG31" i="13"/>
  <c r="AF31" i="13"/>
  <c r="AJ30" i="13"/>
  <c r="AI30" i="13"/>
  <c r="AH30" i="13"/>
  <c r="AG30" i="13"/>
  <c r="AF30" i="13"/>
  <c r="AJ29" i="13"/>
  <c r="AI29" i="13"/>
  <c r="AH29" i="13"/>
  <c r="AG29" i="13"/>
  <c r="AF29" i="13"/>
  <c r="AJ28" i="13"/>
  <c r="AI28" i="13"/>
  <c r="AH28" i="13"/>
  <c r="AG28" i="13"/>
  <c r="AF28" i="13"/>
  <c r="AJ27" i="13"/>
  <c r="AI27" i="13"/>
  <c r="AH27" i="13"/>
  <c r="AG27" i="13"/>
  <c r="AF27" i="13"/>
  <c r="AJ26" i="13"/>
  <c r="AI26" i="13"/>
  <c r="AH26" i="13"/>
  <c r="AG26" i="13"/>
  <c r="AF26" i="13"/>
  <c r="AJ25" i="13"/>
  <c r="AI25" i="13"/>
  <c r="AH25" i="13"/>
  <c r="AG25" i="13"/>
  <c r="AF25" i="13"/>
  <c r="AJ24" i="13"/>
  <c r="AI24" i="13"/>
  <c r="AH24" i="13"/>
  <c r="AG24" i="13"/>
  <c r="AF24" i="13"/>
  <c r="AJ23" i="13"/>
  <c r="AI23" i="13"/>
  <c r="AH23" i="13"/>
  <c r="AG23" i="13"/>
  <c r="AF23" i="13"/>
  <c r="AJ22" i="13"/>
  <c r="AI22" i="13"/>
  <c r="AH22" i="13"/>
  <c r="AG22" i="13"/>
  <c r="AF22" i="13"/>
  <c r="AJ21" i="13"/>
  <c r="AI21" i="13"/>
  <c r="AH21" i="13"/>
  <c r="AG21" i="13"/>
  <c r="AF21" i="13"/>
  <c r="AJ20" i="13"/>
  <c r="AI20" i="13"/>
  <c r="AH20" i="13"/>
  <c r="AG20" i="13"/>
  <c r="AF20" i="13"/>
  <c r="AJ19" i="13"/>
  <c r="AI19" i="13"/>
  <c r="AH19" i="13"/>
  <c r="AG19" i="13"/>
  <c r="AF19" i="13"/>
  <c r="AJ18" i="13"/>
  <c r="AI18" i="13"/>
  <c r="AH18" i="13"/>
  <c r="AG18" i="13"/>
  <c r="AF18" i="13"/>
  <c r="AJ17" i="13"/>
  <c r="AI17" i="13"/>
  <c r="AH17" i="13"/>
  <c r="AG17" i="13"/>
  <c r="AF17" i="13"/>
  <c r="AJ16" i="13"/>
  <c r="AI16" i="13"/>
  <c r="AH16" i="13"/>
  <c r="AG16" i="13"/>
  <c r="AF16" i="13"/>
  <c r="AJ15" i="13"/>
  <c r="AI15" i="13"/>
  <c r="AH15" i="13"/>
  <c r="AG15" i="13"/>
  <c r="AF15" i="13"/>
  <c r="AJ14" i="13"/>
  <c r="AI14" i="13"/>
  <c r="AH14" i="13"/>
  <c r="AG14" i="13"/>
  <c r="AF14" i="13"/>
  <c r="AJ13" i="13"/>
  <c r="AI13" i="13"/>
  <c r="AH13" i="13"/>
  <c r="AG13" i="13"/>
  <c r="AF13" i="13"/>
  <c r="AJ12" i="13"/>
  <c r="AI12" i="13"/>
  <c r="AH12" i="13"/>
  <c r="AG12" i="13"/>
  <c r="AF12" i="13"/>
  <c r="AJ11" i="13"/>
  <c r="AI11" i="13"/>
  <c r="AH11" i="13"/>
  <c r="AG11" i="13"/>
  <c r="AF11" i="13"/>
  <c r="AJ10" i="13"/>
  <c r="AI10" i="13"/>
  <c r="AH10" i="13"/>
  <c r="AG10" i="13"/>
  <c r="AF10" i="13"/>
  <c r="AJ9" i="13"/>
  <c r="AI9" i="13"/>
  <c r="AH9" i="13"/>
  <c r="AG9" i="13"/>
  <c r="AF9" i="13"/>
  <c r="AJ8" i="13"/>
  <c r="AI8" i="13"/>
  <c r="AH8" i="13"/>
  <c r="AG8" i="13"/>
  <c r="AF8" i="13"/>
  <c r="AJ7" i="13"/>
  <c r="AI7" i="13"/>
  <c r="AH7" i="13"/>
  <c r="AG7" i="13"/>
  <c r="AF7" i="13"/>
  <c r="AJ6" i="13"/>
  <c r="AI6" i="13"/>
  <c r="AH6" i="13"/>
  <c r="AG6" i="13"/>
  <c r="AF6" i="13"/>
  <c r="AJ5" i="13"/>
  <c r="AI5" i="13"/>
  <c r="AH5" i="13"/>
  <c r="AG5" i="13"/>
  <c r="AF5" i="13"/>
  <c r="AJ60" i="13"/>
  <c r="AI60" i="13"/>
  <c r="AH60" i="13"/>
  <c r="AG60" i="13"/>
  <c r="AF60" i="13"/>
  <c r="EA6" i="11" l="1"/>
  <c r="DZ6" i="11"/>
  <c r="BR3" i="5" l="1"/>
  <c r="BR4" i="5" s="1"/>
  <c r="BR5" i="5" s="1"/>
  <c r="BR6" i="5" s="1"/>
  <c r="BR7" i="5" s="1"/>
  <c r="BR8" i="5" s="1"/>
  <c r="BR9" i="5" s="1"/>
  <c r="BR10" i="5" s="1"/>
  <c r="BR11" i="5" s="1"/>
  <c r="BR12" i="5" s="1"/>
  <c r="BR13" i="5" s="1"/>
  <c r="BR14" i="5" s="1"/>
  <c r="BR15" i="5" s="1"/>
  <c r="BR16" i="5" s="1"/>
  <c r="BR17" i="5" s="1"/>
  <c r="BR18" i="5" s="1"/>
  <c r="BR19" i="5" s="1"/>
  <c r="BR20" i="5" s="1"/>
  <c r="BR21" i="5" s="1"/>
  <c r="BR22" i="5" s="1"/>
  <c r="BR23" i="5" s="1"/>
  <c r="BR24" i="5" s="1"/>
  <c r="BR25" i="5" s="1"/>
  <c r="BR26" i="5" s="1"/>
  <c r="BR27" i="5" s="1"/>
  <c r="BR28" i="5" s="1"/>
  <c r="BR29" i="5" s="1"/>
  <c r="BR30" i="5" s="1"/>
  <c r="BR31" i="5" s="1"/>
  <c r="BR32" i="5" s="1"/>
  <c r="BR33" i="5" s="1"/>
  <c r="BR34" i="5" s="1"/>
  <c r="BR35" i="5" s="1"/>
  <c r="BR36" i="5" s="1"/>
  <c r="BR37" i="5" s="1"/>
  <c r="BR38" i="5" s="1"/>
  <c r="BR39" i="5" s="1"/>
  <c r="BR40" i="5" s="1"/>
  <c r="BR41" i="5" s="1"/>
  <c r="BR42" i="5" s="1"/>
  <c r="BR43" i="5" s="1"/>
  <c r="BR44" i="5" s="1"/>
  <c r="BR45" i="5" s="1"/>
  <c r="BR46" i="5" s="1"/>
  <c r="BR47" i="5" s="1"/>
  <c r="BR48" i="5" s="1"/>
  <c r="BR49" i="5" s="1"/>
  <c r="BR50" i="5" s="1"/>
  <c r="BR51" i="5" s="1"/>
  <c r="BR52" i="5" s="1"/>
  <c r="BR53" i="5" s="1"/>
  <c r="BR54" i="5" s="1"/>
  <c r="BR55" i="5" s="1"/>
  <c r="BR56" i="5" s="1"/>
  <c r="BR57" i="5" s="1"/>
  <c r="BR58" i="5" s="1"/>
  <c r="BR59" i="5" s="1"/>
  <c r="BR60" i="5" s="1"/>
  <c r="BR61" i="5" s="1"/>
  <c r="BW61" i="5"/>
  <c r="BV61" i="5" s="1"/>
  <c r="BW60" i="5"/>
  <c r="BV60" i="5" s="1"/>
  <c r="BW59" i="5"/>
  <c r="BV59" i="5" s="1"/>
  <c r="BW58" i="5"/>
  <c r="BV58" i="5" s="1"/>
  <c r="BW57" i="5"/>
  <c r="BV57" i="5" s="1"/>
  <c r="BW56" i="5"/>
  <c r="BV56" i="5" s="1"/>
  <c r="BW55" i="5"/>
  <c r="BV55" i="5" s="1"/>
  <c r="BW54" i="5"/>
  <c r="BV54" i="5" s="1"/>
  <c r="BW53" i="5"/>
  <c r="BV53" i="5" s="1"/>
  <c r="BW52" i="5"/>
  <c r="BV52" i="5" s="1"/>
  <c r="BW51" i="5"/>
  <c r="BV51" i="5" s="1"/>
  <c r="BW50" i="5"/>
  <c r="BV50" i="5" s="1"/>
  <c r="BW49" i="5"/>
  <c r="BV49" i="5" s="1"/>
  <c r="BW48" i="5"/>
  <c r="BV48" i="5" s="1"/>
  <c r="BW47" i="5"/>
  <c r="BV47" i="5" s="1"/>
  <c r="BW46" i="5"/>
  <c r="BV46" i="5" s="1"/>
  <c r="BW45" i="5"/>
  <c r="BV45" i="5" s="1"/>
  <c r="BW44" i="5"/>
  <c r="BV44" i="5" s="1"/>
  <c r="BW43" i="5"/>
  <c r="BV43" i="5" s="1"/>
  <c r="BW42" i="5"/>
  <c r="BV42" i="5" s="1"/>
  <c r="BW41" i="5"/>
  <c r="BV41" i="5" s="1"/>
  <c r="BW40" i="5"/>
  <c r="BV40" i="5" s="1"/>
  <c r="BW39" i="5"/>
  <c r="BV39" i="5" s="1"/>
  <c r="BW38" i="5"/>
  <c r="BV38" i="5" s="1"/>
  <c r="BW37" i="5"/>
  <c r="BV37" i="5" s="1"/>
  <c r="BW36" i="5"/>
  <c r="BV36" i="5" s="1"/>
  <c r="BW35" i="5"/>
  <c r="BV35" i="5" s="1"/>
  <c r="BW34" i="5"/>
  <c r="BV34" i="5" s="1"/>
  <c r="BW33" i="5"/>
  <c r="BV33" i="5" s="1"/>
  <c r="BW32" i="5"/>
  <c r="BV32" i="5" s="1"/>
  <c r="BW31" i="5"/>
  <c r="BV31" i="5" s="1"/>
  <c r="BW30" i="5"/>
  <c r="BV30" i="5" s="1"/>
  <c r="BW29" i="5"/>
  <c r="BV29" i="5" s="1"/>
  <c r="BW28" i="5"/>
  <c r="BV28" i="5" s="1"/>
  <c r="BW27" i="5"/>
  <c r="BV27" i="5" s="1"/>
  <c r="BW26" i="5"/>
  <c r="BV26" i="5" s="1"/>
  <c r="BW25" i="5"/>
  <c r="BV25" i="5" s="1"/>
  <c r="BW24" i="5"/>
  <c r="BV24" i="5" s="1"/>
  <c r="BW23" i="5"/>
  <c r="BV23" i="5" s="1"/>
  <c r="BW22" i="5"/>
  <c r="BV22" i="5" s="1"/>
  <c r="BW21" i="5"/>
  <c r="BV21" i="5" s="1"/>
  <c r="BW20" i="5"/>
  <c r="BV20" i="5" s="1"/>
  <c r="BW19" i="5"/>
  <c r="BV19" i="5" s="1"/>
  <c r="BW18" i="5"/>
  <c r="BV18" i="5" s="1"/>
  <c r="BW17" i="5"/>
  <c r="BV17" i="5" s="1"/>
  <c r="BW16" i="5"/>
  <c r="BV16" i="5" s="1"/>
  <c r="BW15" i="5"/>
  <c r="BV15" i="5" s="1"/>
  <c r="BW14" i="5"/>
  <c r="BV14" i="5" s="1"/>
  <c r="BW13" i="5"/>
  <c r="BV13" i="5" s="1"/>
  <c r="BW12" i="5"/>
  <c r="BV12" i="5" s="1"/>
  <c r="BW11" i="5"/>
  <c r="BV11" i="5" s="1"/>
  <c r="BW10" i="5"/>
  <c r="BV10" i="5" s="1"/>
  <c r="BW9" i="5"/>
  <c r="BV9" i="5" s="1"/>
  <c r="BW8" i="5"/>
  <c r="BV8" i="5" s="1"/>
  <c r="BW7" i="5"/>
  <c r="BV7" i="5" s="1"/>
  <c r="BW6" i="5"/>
  <c r="BV6" i="5" s="1"/>
  <c r="BW5" i="5"/>
  <c r="BV5" i="5" s="1"/>
  <c r="BW4" i="5"/>
  <c r="BV4" i="5" s="1"/>
  <c r="BW3" i="5"/>
  <c r="BV3" i="5" s="1"/>
  <c r="BW2" i="5"/>
  <c r="BV2" i="5" s="1"/>
  <c r="BU3" i="5"/>
  <c r="BU4" i="5" s="1"/>
  <c r="BU5" i="5" s="1"/>
  <c r="BU6" i="5" s="1"/>
  <c r="BU7" i="5" s="1"/>
  <c r="BU8" i="5" s="1"/>
  <c r="BU9" i="5" s="1"/>
  <c r="BU10" i="5" s="1"/>
  <c r="BU11" i="5" s="1"/>
  <c r="BU12" i="5" s="1"/>
  <c r="BU13" i="5" s="1"/>
  <c r="BU14" i="5" s="1"/>
  <c r="BU15" i="5" s="1"/>
  <c r="BU16" i="5" s="1"/>
  <c r="BU17" i="5" s="1"/>
  <c r="BU18" i="5" s="1"/>
  <c r="BU19" i="5" s="1"/>
  <c r="BU20" i="5" s="1"/>
  <c r="BU21" i="5" s="1"/>
  <c r="BU22" i="5" s="1"/>
  <c r="BU23" i="5" s="1"/>
  <c r="BU24" i="5" s="1"/>
  <c r="BU25" i="5" s="1"/>
  <c r="BU26" i="5" s="1"/>
  <c r="BU27" i="5" s="1"/>
  <c r="BU28" i="5" s="1"/>
  <c r="BU29" i="5" s="1"/>
  <c r="BU30" i="5" s="1"/>
  <c r="BU31" i="5" s="1"/>
  <c r="BU32" i="5" s="1"/>
  <c r="BU33" i="5" s="1"/>
  <c r="BU34" i="5" s="1"/>
  <c r="BU35" i="5" s="1"/>
  <c r="BU36" i="5" s="1"/>
  <c r="BU37" i="5" s="1"/>
  <c r="BU38" i="5" s="1"/>
  <c r="BU39" i="5" s="1"/>
  <c r="BU40" i="5" s="1"/>
  <c r="BU41" i="5" s="1"/>
  <c r="BU42" i="5" s="1"/>
  <c r="BU43" i="5" s="1"/>
  <c r="BU44" i="5" s="1"/>
  <c r="BU45" i="5" s="1"/>
  <c r="BU46" i="5" s="1"/>
  <c r="BU47" i="5" s="1"/>
  <c r="BU48" i="5" s="1"/>
  <c r="BU49" i="5" s="1"/>
  <c r="BU50" i="5" s="1"/>
  <c r="BU51" i="5" s="1"/>
  <c r="BU52" i="5" s="1"/>
  <c r="BU53" i="5" s="1"/>
  <c r="BU54" i="5" s="1"/>
  <c r="BU55" i="5" s="1"/>
  <c r="BU56" i="5" s="1"/>
  <c r="BU57" i="5" s="1"/>
  <c r="BU58" i="5" s="1"/>
  <c r="BU59" i="5" s="1"/>
  <c r="BU60" i="5" s="1"/>
  <c r="BU61" i="5" s="1"/>
  <c r="BT3" i="5"/>
  <c r="BT4" i="5" s="1"/>
  <c r="BT5" i="5" s="1"/>
  <c r="BT6" i="5" s="1"/>
  <c r="BT7" i="5" s="1"/>
  <c r="BT8" i="5" s="1"/>
  <c r="BT9" i="5" s="1"/>
  <c r="BT10" i="5" s="1"/>
  <c r="BT11" i="5" s="1"/>
  <c r="BT12" i="5" s="1"/>
  <c r="BT13" i="5" s="1"/>
  <c r="BT14" i="5" s="1"/>
  <c r="BT15" i="5" s="1"/>
  <c r="BT16" i="5" s="1"/>
  <c r="BT17" i="5" s="1"/>
  <c r="BT18" i="5" s="1"/>
  <c r="BT19" i="5" s="1"/>
  <c r="BT20" i="5" s="1"/>
  <c r="BT21" i="5" s="1"/>
  <c r="BT22" i="5" s="1"/>
  <c r="BT23" i="5" s="1"/>
  <c r="BT24" i="5" s="1"/>
  <c r="BT25" i="5" s="1"/>
  <c r="BT26" i="5" s="1"/>
  <c r="BT27" i="5" s="1"/>
  <c r="BT28" i="5" s="1"/>
  <c r="BT29" i="5" s="1"/>
  <c r="BT30" i="5" s="1"/>
  <c r="BT31" i="5" s="1"/>
  <c r="BT32" i="5" s="1"/>
  <c r="BT33" i="5" s="1"/>
  <c r="BT34" i="5" s="1"/>
  <c r="BT35" i="5" s="1"/>
  <c r="BT36" i="5" s="1"/>
  <c r="BT37" i="5" s="1"/>
  <c r="BT38" i="5" s="1"/>
  <c r="BT39" i="5" s="1"/>
  <c r="BT40" i="5" s="1"/>
  <c r="BT41" i="5" s="1"/>
  <c r="BT42" i="5" s="1"/>
  <c r="BT43" i="5" s="1"/>
  <c r="BT44" i="5" s="1"/>
  <c r="BT45" i="5" s="1"/>
  <c r="BT46" i="5" s="1"/>
  <c r="BT47" i="5" s="1"/>
  <c r="BT48" i="5" s="1"/>
  <c r="BT49" i="5" s="1"/>
  <c r="BT50" i="5" s="1"/>
  <c r="BT51" i="5" s="1"/>
  <c r="BT52" i="5" s="1"/>
  <c r="BT53" i="5" s="1"/>
  <c r="BT54" i="5" s="1"/>
  <c r="BT55" i="5" s="1"/>
  <c r="BT56" i="5" s="1"/>
  <c r="BT57" i="5" s="1"/>
  <c r="BT58" i="5" s="1"/>
  <c r="BT59" i="5" s="1"/>
  <c r="BT60" i="5" s="1"/>
  <c r="BT61" i="5" s="1"/>
  <c r="AD5" i="13" l="1"/>
  <c r="AD6" i="13" s="1"/>
  <c r="AD7" i="13" s="1"/>
  <c r="AD8" i="13" s="1"/>
  <c r="AD9" i="13" s="1"/>
  <c r="AD10" i="13" s="1"/>
  <c r="AD11" i="13" s="1"/>
  <c r="AD12" i="13" s="1"/>
  <c r="AD13" i="13" s="1"/>
  <c r="AD14" i="13" s="1"/>
  <c r="AD15" i="13" s="1"/>
  <c r="AD16" i="13" s="1"/>
  <c r="AD17" i="13" s="1"/>
  <c r="AD18" i="13" s="1"/>
  <c r="AD19" i="13" s="1"/>
  <c r="AD20" i="13" s="1"/>
  <c r="AD21" i="13" s="1"/>
  <c r="AD22" i="13" s="1"/>
  <c r="AD23" i="13" s="1"/>
  <c r="AD24" i="13" s="1"/>
  <c r="AD25" i="13" s="1"/>
  <c r="AD26" i="13" s="1"/>
  <c r="AD27" i="13" s="1"/>
  <c r="AD28" i="13" s="1"/>
  <c r="AD29" i="13" s="1"/>
  <c r="AD30" i="13" s="1"/>
  <c r="AD31" i="13" s="1"/>
  <c r="AD32" i="13" s="1"/>
  <c r="AD33" i="13" s="1"/>
  <c r="AD34" i="13" s="1"/>
  <c r="AD35" i="13" s="1"/>
  <c r="AD36" i="13" s="1"/>
  <c r="AD37" i="13" s="1"/>
  <c r="AD38" i="13" s="1"/>
  <c r="AD39" i="13" s="1"/>
  <c r="AD40" i="13" s="1"/>
  <c r="AD41" i="13" s="1"/>
  <c r="AD42" i="13" s="1"/>
  <c r="AD43" i="13" s="1"/>
  <c r="AD44" i="13" s="1"/>
  <c r="AD45" i="13" s="1"/>
  <c r="AD46" i="13" s="1"/>
  <c r="AD47" i="13" s="1"/>
  <c r="AD48" i="13" s="1"/>
  <c r="AD49" i="13" s="1"/>
  <c r="AD50" i="13" s="1"/>
  <c r="AD51" i="13" s="1"/>
  <c r="AD52" i="13" s="1"/>
  <c r="AD53" i="13" s="1"/>
  <c r="AD54" i="13" s="1"/>
  <c r="AD55" i="13" s="1"/>
  <c r="AD56" i="13" s="1"/>
  <c r="AD57" i="13" s="1"/>
  <c r="AD58" i="13" s="1"/>
  <c r="AD59" i="13" s="1"/>
  <c r="AD60" i="13" s="1"/>
  <c r="AD61" i="13" s="1"/>
  <c r="AH2" i="15"/>
  <c r="DS6" i="11"/>
  <c r="K66" i="7" l="1"/>
  <c r="T60" i="13" s="1"/>
  <c r="K65" i="7"/>
  <c r="T59" i="13" s="1"/>
  <c r="K64" i="7"/>
  <c r="T58" i="13" s="1"/>
  <c r="K63" i="7"/>
  <c r="T57" i="13" s="1"/>
  <c r="K62" i="7"/>
  <c r="T56" i="13" s="1"/>
  <c r="K61" i="7"/>
  <c r="T55" i="13" s="1"/>
  <c r="K60" i="7"/>
  <c r="T54" i="13" s="1"/>
  <c r="K59" i="7"/>
  <c r="T53" i="13" s="1"/>
  <c r="K58" i="7"/>
  <c r="T52" i="13" s="1"/>
  <c r="K57" i="7"/>
  <c r="T51" i="13" s="1"/>
  <c r="K56" i="7"/>
  <c r="T50" i="13" s="1"/>
  <c r="K55" i="7"/>
  <c r="T49" i="13" s="1"/>
  <c r="K54" i="7"/>
  <c r="T48" i="13" s="1"/>
  <c r="K53" i="7"/>
  <c r="T47" i="13" s="1"/>
  <c r="K52" i="7"/>
  <c r="T46" i="13" s="1"/>
  <c r="K51" i="7"/>
  <c r="T45" i="13" s="1"/>
  <c r="K50" i="7"/>
  <c r="T44" i="13" s="1"/>
  <c r="K49" i="7"/>
  <c r="T43" i="13" s="1"/>
  <c r="K48" i="7"/>
  <c r="T42" i="13" s="1"/>
  <c r="K47" i="7"/>
  <c r="T41" i="13" s="1"/>
  <c r="K46" i="7"/>
  <c r="T40" i="13" s="1"/>
  <c r="K45" i="7"/>
  <c r="T39" i="13" s="1"/>
  <c r="K44" i="7"/>
  <c r="T38" i="13" s="1"/>
  <c r="K43" i="7"/>
  <c r="T37" i="13" s="1"/>
  <c r="K42" i="7"/>
  <c r="T36" i="13" s="1"/>
  <c r="K41" i="7"/>
  <c r="T35" i="13" s="1"/>
  <c r="K40" i="7"/>
  <c r="T34" i="13" s="1"/>
  <c r="BG57" i="5" l="1"/>
  <c r="BG56" i="5"/>
  <c r="BG55" i="5"/>
  <c r="BG54" i="5"/>
  <c r="BG53" i="5"/>
  <c r="BG52" i="5"/>
  <c r="BG51" i="5"/>
  <c r="BG50" i="5"/>
  <c r="BG49" i="5"/>
  <c r="BG48" i="5"/>
  <c r="BG47" i="5"/>
  <c r="BG46" i="5"/>
  <c r="BG45" i="5"/>
  <c r="BG44" i="5"/>
  <c r="BG43" i="5"/>
  <c r="BG42" i="5"/>
  <c r="BG41" i="5"/>
  <c r="BG40" i="5"/>
  <c r="BG39" i="5"/>
  <c r="BG38" i="5"/>
  <c r="BG37" i="5"/>
  <c r="BG36" i="5"/>
  <c r="BG35" i="5"/>
  <c r="BG34" i="5"/>
  <c r="BG33" i="5"/>
  <c r="BG32" i="5"/>
  <c r="BG31" i="5"/>
  <c r="BG30" i="5"/>
  <c r="BG29" i="5"/>
  <c r="BG28" i="5"/>
  <c r="BG27" i="5"/>
  <c r="BG26" i="5"/>
  <c r="BG25" i="5"/>
  <c r="BG24" i="5"/>
  <c r="BG23" i="5"/>
  <c r="BG22" i="5"/>
  <c r="BG21" i="5"/>
  <c r="BG20" i="5"/>
  <c r="BG19" i="5"/>
  <c r="BG18" i="5"/>
  <c r="BG17" i="5"/>
  <c r="BG16" i="5"/>
  <c r="BG15" i="5"/>
  <c r="BG14" i="5"/>
  <c r="BG13" i="5"/>
  <c r="BG12" i="5"/>
  <c r="BG11" i="5"/>
  <c r="BG10" i="5"/>
  <c r="BG9" i="5"/>
  <c r="BG8" i="5"/>
  <c r="BG7" i="5"/>
  <c r="BG6" i="5"/>
  <c r="BG5" i="5"/>
  <c r="BG4" i="5"/>
  <c r="BG3" i="5"/>
  <c r="BG2" i="5"/>
  <c r="AG32" i="7" l="1"/>
  <c r="AF32" i="7"/>
  <c r="AG65" i="7"/>
  <c r="AF65" i="7"/>
  <c r="AG64" i="7"/>
  <c r="AF64" i="7"/>
  <c r="AB5" i="7" l="1"/>
  <c r="A2" i="15"/>
  <c r="B2" i="15"/>
  <c r="C2" i="15"/>
  <c r="D2" i="15"/>
  <c r="E2" i="15"/>
  <c r="F2" i="15"/>
  <c r="G2" i="15"/>
  <c r="H2" i="15"/>
  <c r="I2" i="15"/>
  <c r="J2" i="15"/>
  <c r="K2" i="15"/>
  <c r="L2" i="15"/>
  <c r="M2" i="15"/>
  <c r="N2" i="15"/>
  <c r="O2" i="15"/>
  <c r="P2" i="15"/>
  <c r="Q2" i="15"/>
  <c r="R2" i="15"/>
  <c r="S2" i="15"/>
  <c r="T2" i="15"/>
  <c r="U2" i="15"/>
  <c r="V2" i="15"/>
  <c r="W2" i="15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B6" i="11"/>
  <c r="E6" i="11"/>
  <c r="D6" i="11"/>
  <c r="C6" i="11"/>
  <c r="A6" i="11"/>
  <c r="S1" i="9"/>
  <c r="Q1" i="9"/>
  <c r="O2" i="9"/>
  <c r="O1" i="9"/>
  <c r="F2" i="9"/>
  <c r="F1" i="9"/>
  <c r="AD3" i="7"/>
  <c r="AD2" i="7"/>
  <c r="AB3" i="7"/>
  <c r="AB2" i="7"/>
  <c r="Y2" i="7"/>
  <c r="W3" i="7"/>
  <c r="S3" i="7"/>
  <c r="Q3" i="7"/>
  <c r="Q2" i="7"/>
  <c r="O3" i="7"/>
  <c r="O2" i="7"/>
  <c r="D3" i="7"/>
  <c r="D2" i="7"/>
  <c r="R6" i="9" l="1"/>
  <c r="U4" i="9"/>
  <c r="B3" i="10"/>
  <c r="C2" i="10"/>
  <c r="CB6" i="11" l="1"/>
  <c r="AC13" i="7"/>
  <c r="U6" i="9"/>
  <c r="AL6" i="11"/>
  <c r="J20" i="9"/>
  <c r="C3" i="10"/>
  <c r="B2" i="10"/>
  <c r="A5" i="13" l="1"/>
  <c r="A6" i="13" s="1"/>
  <c r="A7" i="13" s="1"/>
  <c r="A8" i="13" s="1"/>
  <c r="A9" i="13" s="1"/>
  <c r="A10" i="13" s="1"/>
  <c r="A11" i="13" s="1"/>
  <c r="A12" i="13" s="1"/>
  <c r="B5" i="13"/>
  <c r="B6" i="13" s="1"/>
  <c r="B7" i="13" s="1"/>
  <c r="B8" i="13" s="1"/>
  <c r="B9" i="13" s="1"/>
  <c r="B10" i="13" s="1"/>
  <c r="B11" i="13" s="1"/>
  <c r="B12" i="13" s="1"/>
  <c r="C5" i="13"/>
  <c r="C6" i="13" s="1"/>
  <c r="C7" i="13" s="1"/>
  <c r="C8" i="13" s="1"/>
  <c r="C9" i="13" s="1"/>
  <c r="C10" i="13" s="1"/>
  <c r="C11" i="13" s="1"/>
  <c r="C12" i="13" s="1"/>
  <c r="D5" i="13"/>
  <c r="D6" i="13" s="1"/>
  <c r="D7" i="13" s="1"/>
  <c r="D8" i="13" s="1"/>
  <c r="D9" i="13" s="1"/>
  <c r="D10" i="13" s="1"/>
  <c r="D11" i="13" s="1"/>
  <c r="D12" i="13" s="1"/>
  <c r="E5" i="13"/>
  <c r="E6" i="13" s="1"/>
  <c r="E7" i="13" s="1"/>
  <c r="E8" i="13" s="1"/>
  <c r="E9" i="13" s="1"/>
  <c r="E10" i="13" s="1"/>
  <c r="E11" i="13" s="1"/>
  <c r="E12" i="13" s="1"/>
  <c r="F5" i="13"/>
  <c r="F6" i="13" s="1"/>
  <c r="F7" i="13" s="1"/>
  <c r="F8" i="13" s="1"/>
  <c r="F9" i="13" s="1"/>
  <c r="F10" i="13" s="1"/>
  <c r="F11" i="13" s="1"/>
  <c r="F12" i="13" s="1"/>
  <c r="G5" i="13"/>
  <c r="G6" i="13" s="1"/>
  <c r="G7" i="13" s="1"/>
  <c r="G8" i="13" s="1"/>
  <c r="G9" i="13" s="1"/>
  <c r="G10" i="13" s="1"/>
  <c r="G11" i="13" s="1"/>
  <c r="G12" i="13" s="1"/>
  <c r="H5" i="13"/>
  <c r="H6" i="13" s="1"/>
  <c r="H7" i="13" s="1"/>
  <c r="H8" i="13" s="1"/>
  <c r="H9" i="13" s="1"/>
  <c r="H10" i="13" s="1"/>
  <c r="H11" i="13" s="1"/>
  <c r="H12" i="13" s="1"/>
  <c r="G13" i="13" l="1"/>
  <c r="G14" i="13" s="1"/>
  <c r="G15" i="13" s="1"/>
  <c r="G16" i="13" s="1"/>
  <c r="G17" i="13" s="1"/>
  <c r="G18" i="13" s="1"/>
  <c r="G19" i="13" s="1"/>
  <c r="G20" i="13" s="1"/>
  <c r="G21" i="13" s="1"/>
  <c r="G22" i="13" s="1"/>
  <c r="G23" i="13" s="1"/>
  <c r="G24" i="13" s="1"/>
  <c r="G25" i="13" s="1"/>
  <c r="G26" i="13" s="1"/>
  <c r="G27" i="13" s="1"/>
  <c r="G28" i="13" s="1"/>
  <c r="G29" i="13" s="1"/>
  <c r="G30" i="13" l="1"/>
  <c r="G32" i="13" s="1"/>
  <c r="G33" i="13" s="1"/>
  <c r="G34" i="13" s="1"/>
  <c r="G35" i="13" s="1"/>
  <c r="G36" i="13" s="1"/>
  <c r="G37" i="13" s="1"/>
  <c r="G38" i="13" s="1"/>
  <c r="G39" i="13" s="1"/>
  <c r="G40" i="13" s="1"/>
  <c r="G41" i="13" s="1"/>
  <c r="G42" i="13" s="1"/>
  <c r="G43" i="13" s="1"/>
  <c r="G44" i="13" s="1"/>
  <c r="G45" i="13" s="1"/>
  <c r="G46" i="13" s="1"/>
  <c r="G47" i="13" s="1"/>
  <c r="G48" i="13" s="1"/>
  <c r="G49" i="13" s="1"/>
  <c r="G50" i="13" s="1"/>
  <c r="G51" i="13" s="1"/>
  <c r="G52" i="13" s="1"/>
  <c r="G53" i="13" s="1"/>
  <c r="G54" i="13" s="1"/>
  <c r="G55" i="13" s="1"/>
  <c r="G56" i="13" s="1"/>
  <c r="G57" i="13" s="1"/>
  <c r="G58" i="13" s="1"/>
  <c r="G59" i="13" s="1"/>
  <c r="G60" i="13" s="1"/>
  <c r="G61" i="13" s="1"/>
  <c r="G31" i="13"/>
  <c r="T32" i="7" l="1"/>
  <c r="AB30" i="13" s="1"/>
  <c r="S32" i="7"/>
  <c r="AA30" i="13" s="1"/>
  <c r="P32" i="7"/>
  <c r="X30" i="13" s="1"/>
  <c r="O32" i="7"/>
  <c r="W30" i="13" s="1"/>
  <c r="M32" i="7"/>
  <c r="U30" i="13" s="1"/>
  <c r="L32" i="7"/>
  <c r="T30" i="13" s="1"/>
  <c r="K32" i="7"/>
  <c r="S30" i="13" s="1"/>
  <c r="J32" i="7"/>
  <c r="R30" i="13" s="1"/>
  <c r="H32" i="7"/>
  <c r="P30" i="13" s="1"/>
  <c r="G32" i="7"/>
  <c r="O30" i="13" s="1"/>
  <c r="F32" i="7"/>
  <c r="N30" i="13" s="1"/>
  <c r="E32" i="7"/>
  <c r="M30" i="13" s="1"/>
  <c r="D32" i="7"/>
  <c r="L30" i="13" s="1"/>
  <c r="T64" i="7"/>
  <c r="AB58" i="13" s="1"/>
  <c r="S64" i="7"/>
  <c r="AA58" i="13" s="1"/>
  <c r="P64" i="7"/>
  <c r="X58" i="13" s="1"/>
  <c r="O64" i="7"/>
  <c r="W58" i="13" s="1"/>
  <c r="L64" i="7"/>
  <c r="U58" i="13" s="1"/>
  <c r="J64" i="7"/>
  <c r="R58" i="13" s="1"/>
  <c r="H64" i="7"/>
  <c r="P58" i="13" s="1"/>
  <c r="G64" i="7"/>
  <c r="O58" i="13" s="1"/>
  <c r="F64" i="7"/>
  <c r="N58" i="13" s="1"/>
  <c r="E64" i="7"/>
  <c r="M58" i="13" s="1"/>
  <c r="D64" i="7"/>
  <c r="L58" i="13" s="1"/>
  <c r="Q32" i="7" l="1"/>
  <c r="Y30" i="13" s="1"/>
  <c r="U32" i="7"/>
  <c r="AC30" i="13" s="1"/>
  <c r="I32" i="7"/>
  <c r="Q30" i="13" s="1"/>
  <c r="N64" i="7"/>
  <c r="N32" i="7"/>
  <c r="V30" i="13" s="1"/>
  <c r="U64" i="7"/>
  <c r="AC58" i="13" s="1"/>
  <c r="I64" i="7"/>
  <c r="Q58" i="13" s="1"/>
  <c r="AE58" i="13" s="1"/>
  <c r="Q64" i="7"/>
  <c r="Y58" i="13" s="1"/>
  <c r="T65" i="7"/>
  <c r="AB59" i="13" s="1"/>
  <c r="S65" i="7"/>
  <c r="P65" i="7"/>
  <c r="X59" i="13" s="1"/>
  <c r="O65" i="7"/>
  <c r="L65" i="7"/>
  <c r="U59" i="13" s="1"/>
  <c r="J65" i="7"/>
  <c r="R59" i="13" s="1"/>
  <c r="H65" i="7"/>
  <c r="G65" i="7"/>
  <c r="O59" i="13" s="1"/>
  <c r="F65" i="7"/>
  <c r="N59" i="13" s="1"/>
  <c r="E65" i="7"/>
  <c r="M59" i="13" s="1"/>
  <c r="D65" i="7"/>
  <c r="L59" i="13" s="1"/>
  <c r="AG33" i="7"/>
  <c r="AF33" i="7"/>
  <c r="T33" i="7"/>
  <c r="AB31" i="13" s="1"/>
  <c r="S33" i="7"/>
  <c r="P33" i="7"/>
  <c r="X31" i="13" s="1"/>
  <c r="O33" i="7"/>
  <c r="W31" i="13" s="1"/>
  <c r="M33" i="7"/>
  <c r="U31" i="13" s="1"/>
  <c r="L33" i="7"/>
  <c r="T31" i="13" s="1"/>
  <c r="K33" i="7"/>
  <c r="S31" i="13" s="1"/>
  <c r="H33" i="7"/>
  <c r="P31" i="13" s="1"/>
  <c r="G33" i="7"/>
  <c r="O31" i="13" s="1"/>
  <c r="F33" i="7"/>
  <c r="N31" i="13" s="1"/>
  <c r="E33" i="7"/>
  <c r="M31" i="13" s="1"/>
  <c r="D33" i="7"/>
  <c r="AK33" i="7" l="1"/>
  <c r="R32" i="7"/>
  <c r="Z30" i="13" s="1"/>
  <c r="R64" i="7"/>
  <c r="Z58" i="13" s="1"/>
  <c r="V58" i="13"/>
  <c r="I65" i="7"/>
  <c r="Q59" i="13" s="1"/>
  <c r="P59" i="13"/>
  <c r="N65" i="7"/>
  <c r="U33" i="7"/>
  <c r="AC31" i="13" s="1"/>
  <c r="AA31" i="13"/>
  <c r="Q65" i="7"/>
  <c r="Y59" i="13" s="1"/>
  <c r="W59" i="13"/>
  <c r="L31" i="13"/>
  <c r="J33" i="7"/>
  <c r="R31" i="13" s="1"/>
  <c r="U65" i="7"/>
  <c r="AC59" i="13" s="1"/>
  <c r="AA59" i="13"/>
  <c r="I33" i="7"/>
  <c r="Q31" i="13" s="1"/>
  <c r="Q33" i="7"/>
  <c r="Y31" i="13" s="1"/>
  <c r="AE31" i="13" l="1"/>
  <c r="AE59" i="13"/>
  <c r="N33" i="7"/>
  <c r="V31" i="13" s="1"/>
  <c r="R65" i="7"/>
  <c r="Z59" i="13" s="1"/>
  <c r="V59" i="13"/>
  <c r="BE6" i="11"/>
  <c r="BC6" i="11"/>
  <c r="AR6" i="11"/>
  <c r="AH6" i="11"/>
  <c r="AF6" i="11"/>
  <c r="U6" i="11"/>
  <c r="O4" i="9"/>
  <c r="H13" i="13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F13" i="13"/>
  <c r="F14" i="13" s="1"/>
  <c r="F15" i="13" s="1"/>
  <c r="F16" i="13" s="1"/>
  <c r="F17" i="13" s="1"/>
  <c r="F18" i="13" s="1"/>
  <c r="F19" i="13" s="1"/>
  <c r="F20" i="13" s="1"/>
  <c r="F21" i="13" s="1"/>
  <c r="F22" i="13" s="1"/>
  <c r="F23" i="13" s="1"/>
  <c r="F24" i="13" s="1"/>
  <c r="F25" i="13" s="1"/>
  <c r="F26" i="13" s="1"/>
  <c r="F27" i="13" s="1"/>
  <c r="F28" i="13" s="1"/>
  <c r="F29" i="13" s="1"/>
  <c r="E13" i="13"/>
  <c r="E14" i="13" s="1"/>
  <c r="E15" i="13" s="1"/>
  <c r="E16" i="13" s="1"/>
  <c r="E17" i="13" s="1"/>
  <c r="E18" i="13" s="1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D13" i="13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C13" i="13"/>
  <c r="C14" i="13" s="1"/>
  <c r="C15" i="13" s="1"/>
  <c r="C16" i="13" s="1"/>
  <c r="C17" i="13" s="1"/>
  <c r="C18" i="13" s="1"/>
  <c r="C19" i="13" s="1"/>
  <c r="C20" i="13" s="1"/>
  <c r="C21" i="13" s="1"/>
  <c r="C22" i="13" s="1"/>
  <c r="C23" i="13" s="1"/>
  <c r="C24" i="13" s="1"/>
  <c r="C25" i="13" s="1"/>
  <c r="C26" i="13" s="1"/>
  <c r="C27" i="13" s="1"/>
  <c r="C28" i="13" s="1"/>
  <c r="C29" i="13" s="1"/>
  <c r="B13" i="13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A13" i="13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G66" i="7"/>
  <c r="AF66" i="7"/>
  <c r="T66" i="7"/>
  <c r="AB60" i="13" s="1"/>
  <c r="S66" i="7"/>
  <c r="AA60" i="13" s="1"/>
  <c r="P66" i="7"/>
  <c r="X60" i="13" s="1"/>
  <c r="O66" i="7"/>
  <c r="W60" i="13" s="1"/>
  <c r="H66" i="7"/>
  <c r="P60" i="13" s="1"/>
  <c r="G66" i="7"/>
  <c r="O60" i="13" s="1"/>
  <c r="F66" i="7"/>
  <c r="N60" i="13" s="1"/>
  <c r="E66" i="7"/>
  <c r="M60" i="13" s="1"/>
  <c r="D66" i="7"/>
  <c r="AG63" i="7"/>
  <c r="AF63" i="7"/>
  <c r="T63" i="7"/>
  <c r="AB57" i="13" s="1"/>
  <c r="S63" i="7"/>
  <c r="AA57" i="13" s="1"/>
  <c r="P63" i="7"/>
  <c r="X57" i="13" s="1"/>
  <c r="O63" i="7"/>
  <c r="W57" i="13" s="1"/>
  <c r="L63" i="7"/>
  <c r="U57" i="13" s="1"/>
  <c r="H63" i="7"/>
  <c r="P57" i="13" s="1"/>
  <c r="G63" i="7"/>
  <c r="O57" i="13" s="1"/>
  <c r="F63" i="7"/>
  <c r="N57" i="13" s="1"/>
  <c r="E63" i="7"/>
  <c r="M57" i="13" s="1"/>
  <c r="D63" i="7"/>
  <c r="AG62" i="7"/>
  <c r="AF62" i="7"/>
  <c r="T62" i="7"/>
  <c r="AB56" i="13" s="1"/>
  <c r="S62" i="7"/>
  <c r="AA56" i="13" s="1"/>
  <c r="P62" i="7"/>
  <c r="X56" i="13" s="1"/>
  <c r="O62" i="7"/>
  <c r="W56" i="13" s="1"/>
  <c r="L62" i="7"/>
  <c r="U56" i="13" s="1"/>
  <c r="H62" i="7"/>
  <c r="P56" i="13" s="1"/>
  <c r="G62" i="7"/>
  <c r="O56" i="13" s="1"/>
  <c r="F62" i="7"/>
  <c r="N56" i="13" s="1"/>
  <c r="E62" i="7"/>
  <c r="M56" i="13" s="1"/>
  <c r="D62" i="7"/>
  <c r="AG61" i="7"/>
  <c r="AF61" i="7"/>
  <c r="T61" i="7"/>
  <c r="AB55" i="13" s="1"/>
  <c r="S61" i="7"/>
  <c r="AA55" i="13" s="1"/>
  <c r="P61" i="7"/>
  <c r="X55" i="13" s="1"/>
  <c r="O61" i="7"/>
  <c r="W55" i="13" s="1"/>
  <c r="L61" i="7"/>
  <c r="U55" i="13" s="1"/>
  <c r="H61" i="7"/>
  <c r="P55" i="13" s="1"/>
  <c r="G61" i="7"/>
  <c r="O55" i="13" s="1"/>
  <c r="F61" i="7"/>
  <c r="N55" i="13" s="1"/>
  <c r="E61" i="7"/>
  <c r="M55" i="13" s="1"/>
  <c r="D61" i="7"/>
  <c r="AG60" i="7"/>
  <c r="AF60" i="7"/>
  <c r="T60" i="7"/>
  <c r="AB54" i="13" s="1"/>
  <c r="S60" i="7"/>
  <c r="AA54" i="13" s="1"/>
  <c r="P60" i="7"/>
  <c r="X54" i="13" s="1"/>
  <c r="O60" i="7"/>
  <c r="W54" i="13" s="1"/>
  <c r="L60" i="7"/>
  <c r="U54" i="13" s="1"/>
  <c r="H60" i="7"/>
  <c r="P54" i="13" s="1"/>
  <c r="G60" i="7"/>
  <c r="O54" i="13" s="1"/>
  <c r="F60" i="7"/>
  <c r="N54" i="13" s="1"/>
  <c r="E60" i="7"/>
  <c r="M54" i="13" s="1"/>
  <c r="D60" i="7"/>
  <c r="AG59" i="7"/>
  <c r="AF59" i="7"/>
  <c r="T59" i="7"/>
  <c r="AB53" i="13" s="1"/>
  <c r="S59" i="7"/>
  <c r="AA53" i="13" s="1"/>
  <c r="P59" i="7"/>
  <c r="X53" i="13" s="1"/>
  <c r="O59" i="7"/>
  <c r="W53" i="13" s="1"/>
  <c r="L59" i="7"/>
  <c r="U53" i="13" s="1"/>
  <c r="H59" i="7"/>
  <c r="P53" i="13" s="1"/>
  <c r="G59" i="7"/>
  <c r="O53" i="13" s="1"/>
  <c r="F59" i="7"/>
  <c r="N53" i="13" s="1"/>
  <c r="E59" i="7"/>
  <c r="M53" i="13" s="1"/>
  <c r="D59" i="7"/>
  <c r="AG58" i="7"/>
  <c r="AF58" i="7"/>
  <c r="T58" i="7"/>
  <c r="AB52" i="13" s="1"/>
  <c r="S58" i="7"/>
  <c r="AA52" i="13" s="1"/>
  <c r="P58" i="7"/>
  <c r="X52" i="13" s="1"/>
  <c r="O58" i="7"/>
  <c r="W52" i="13" s="1"/>
  <c r="L58" i="7"/>
  <c r="U52" i="13" s="1"/>
  <c r="H58" i="7"/>
  <c r="P52" i="13" s="1"/>
  <c r="G58" i="7"/>
  <c r="O52" i="13" s="1"/>
  <c r="F58" i="7"/>
  <c r="N52" i="13" s="1"/>
  <c r="E58" i="7"/>
  <c r="M52" i="13" s="1"/>
  <c r="D58" i="7"/>
  <c r="AG57" i="7"/>
  <c r="AF57" i="7"/>
  <c r="T57" i="7"/>
  <c r="AB51" i="13" s="1"/>
  <c r="S57" i="7"/>
  <c r="AA51" i="13" s="1"/>
  <c r="P57" i="7"/>
  <c r="X51" i="13" s="1"/>
  <c r="O57" i="7"/>
  <c r="W51" i="13" s="1"/>
  <c r="L57" i="7"/>
  <c r="U51" i="13" s="1"/>
  <c r="H57" i="7"/>
  <c r="P51" i="13" s="1"/>
  <c r="G57" i="7"/>
  <c r="O51" i="13" s="1"/>
  <c r="F57" i="7"/>
  <c r="N51" i="13" s="1"/>
  <c r="E57" i="7"/>
  <c r="M51" i="13" s="1"/>
  <c r="D57" i="7"/>
  <c r="AG56" i="7"/>
  <c r="AF56" i="7"/>
  <c r="T56" i="7"/>
  <c r="AB50" i="13" s="1"/>
  <c r="S56" i="7"/>
  <c r="AA50" i="13" s="1"/>
  <c r="P56" i="7"/>
  <c r="X50" i="13" s="1"/>
  <c r="O56" i="7"/>
  <c r="W50" i="13" s="1"/>
  <c r="L56" i="7"/>
  <c r="U50" i="13" s="1"/>
  <c r="H56" i="7"/>
  <c r="P50" i="13" s="1"/>
  <c r="G56" i="7"/>
  <c r="O50" i="13" s="1"/>
  <c r="F56" i="7"/>
  <c r="N50" i="13" s="1"/>
  <c r="E56" i="7"/>
  <c r="M50" i="13" s="1"/>
  <c r="D56" i="7"/>
  <c r="AG55" i="7"/>
  <c r="AF55" i="7"/>
  <c r="T55" i="7"/>
  <c r="AB49" i="13" s="1"/>
  <c r="S55" i="7"/>
  <c r="AA49" i="13" s="1"/>
  <c r="P55" i="7"/>
  <c r="X49" i="13" s="1"/>
  <c r="O55" i="7"/>
  <c r="W49" i="13" s="1"/>
  <c r="L55" i="7"/>
  <c r="U49" i="13" s="1"/>
  <c r="H55" i="7"/>
  <c r="P49" i="13" s="1"/>
  <c r="G55" i="7"/>
  <c r="O49" i="13" s="1"/>
  <c r="F55" i="7"/>
  <c r="N49" i="13" s="1"/>
  <c r="E55" i="7"/>
  <c r="M49" i="13" s="1"/>
  <c r="D55" i="7"/>
  <c r="AG54" i="7"/>
  <c r="AF54" i="7"/>
  <c r="T54" i="7"/>
  <c r="AB48" i="13" s="1"/>
  <c r="S54" i="7"/>
  <c r="AA48" i="13" s="1"/>
  <c r="P54" i="7"/>
  <c r="X48" i="13" s="1"/>
  <c r="O54" i="7"/>
  <c r="W48" i="13" s="1"/>
  <c r="L54" i="7"/>
  <c r="U48" i="13" s="1"/>
  <c r="H54" i="7"/>
  <c r="P48" i="13" s="1"/>
  <c r="G54" i="7"/>
  <c r="O48" i="13" s="1"/>
  <c r="F54" i="7"/>
  <c r="N48" i="13" s="1"/>
  <c r="E54" i="7"/>
  <c r="M48" i="13" s="1"/>
  <c r="D54" i="7"/>
  <c r="AG53" i="7"/>
  <c r="AF53" i="7"/>
  <c r="T53" i="7"/>
  <c r="S53" i="7"/>
  <c r="P53" i="7"/>
  <c r="X47" i="13" s="1"/>
  <c r="O53" i="7"/>
  <c r="W47" i="13" s="1"/>
  <c r="L53" i="7"/>
  <c r="U47" i="13" s="1"/>
  <c r="H53" i="7"/>
  <c r="P47" i="13" s="1"/>
  <c r="G53" i="7"/>
  <c r="O47" i="13" s="1"/>
  <c r="F53" i="7"/>
  <c r="N47" i="13" s="1"/>
  <c r="E53" i="7"/>
  <c r="M47" i="13" s="1"/>
  <c r="D53" i="7"/>
  <c r="AG52" i="7"/>
  <c r="AF52" i="7"/>
  <c r="T52" i="7"/>
  <c r="AC23" i="7" s="1"/>
  <c r="S52" i="7"/>
  <c r="AB23" i="7" s="1"/>
  <c r="P52" i="7"/>
  <c r="X46" i="13" s="1"/>
  <c r="O52" i="7"/>
  <c r="W46" i="13" s="1"/>
  <c r="L52" i="7"/>
  <c r="U46" i="13" s="1"/>
  <c r="H52" i="7"/>
  <c r="P46" i="13" s="1"/>
  <c r="G52" i="7"/>
  <c r="O46" i="13" s="1"/>
  <c r="F52" i="7"/>
  <c r="N46" i="13" s="1"/>
  <c r="E52" i="7"/>
  <c r="M46" i="13" s="1"/>
  <c r="D52" i="7"/>
  <c r="AG51" i="7"/>
  <c r="AF51" i="7"/>
  <c r="T51" i="7"/>
  <c r="AB45" i="13" s="1"/>
  <c r="S51" i="7"/>
  <c r="AA45" i="13" s="1"/>
  <c r="P51" i="7"/>
  <c r="X45" i="13" s="1"/>
  <c r="O51" i="7"/>
  <c r="W45" i="13" s="1"/>
  <c r="L51" i="7"/>
  <c r="U45" i="13" s="1"/>
  <c r="H51" i="7"/>
  <c r="P45" i="13" s="1"/>
  <c r="G51" i="7"/>
  <c r="O45" i="13" s="1"/>
  <c r="F51" i="7"/>
  <c r="N45" i="13" s="1"/>
  <c r="E51" i="7"/>
  <c r="M45" i="13" s="1"/>
  <c r="D51" i="7"/>
  <c r="AG50" i="7"/>
  <c r="AF50" i="7"/>
  <c r="T50" i="7"/>
  <c r="AB44" i="13" s="1"/>
  <c r="S50" i="7"/>
  <c r="AA44" i="13" s="1"/>
  <c r="P50" i="7"/>
  <c r="X44" i="13" s="1"/>
  <c r="O50" i="7"/>
  <c r="W44" i="13" s="1"/>
  <c r="L50" i="7"/>
  <c r="U44" i="13" s="1"/>
  <c r="H50" i="7"/>
  <c r="P44" i="13" s="1"/>
  <c r="G50" i="7"/>
  <c r="O44" i="13" s="1"/>
  <c r="F50" i="7"/>
  <c r="N44" i="13" s="1"/>
  <c r="E50" i="7"/>
  <c r="M44" i="13" s="1"/>
  <c r="D50" i="7"/>
  <c r="AG49" i="7"/>
  <c r="AF49" i="7"/>
  <c r="T49" i="7"/>
  <c r="AB43" i="13" s="1"/>
  <c r="S49" i="7"/>
  <c r="AA43" i="13" s="1"/>
  <c r="P49" i="7"/>
  <c r="X43" i="13" s="1"/>
  <c r="O49" i="7"/>
  <c r="W43" i="13" s="1"/>
  <c r="L49" i="7"/>
  <c r="U43" i="13" s="1"/>
  <c r="H49" i="7"/>
  <c r="P43" i="13" s="1"/>
  <c r="G49" i="7"/>
  <c r="O43" i="13" s="1"/>
  <c r="F49" i="7"/>
  <c r="N43" i="13" s="1"/>
  <c r="E49" i="7"/>
  <c r="M43" i="13" s="1"/>
  <c r="D49" i="7"/>
  <c r="AG48" i="7"/>
  <c r="AF48" i="7"/>
  <c r="T48" i="7"/>
  <c r="AB42" i="13" s="1"/>
  <c r="S48" i="7"/>
  <c r="AA42" i="13" s="1"/>
  <c r="P48" i="7"/>
  <c r="X42" i="13" s="1"/>
  <c r="O48" i="7"/>
  <c r="W42" i="13" s="1"/>
  <c r="L48" i="7"/>
  <c r="U42" i="13" s="1"/>
  <c r="H48" i="7"/>
  <c r="P42" i="13" s="1"/>
  <c r="G48" i="7"/>
  <c r="O42" i="13" s="1"/>
  <c r="F48" i="7"/>
  <c r="N42" i="13" s="1"/>
  <c r="E48" i="7"/>
  <c r="M42" i="13" s="1"/>
  <c r="D48" i="7"/>
  <c r="AG47" i="7"/>
  <c r="AF47" i="7"/>
  <c r="T47" i="7"/>
  <c r="AB41" i="13" s="1"/>
  <c r="S47" i="7"/>
  <c r="AA41" i="13" s="1"/>
  <c r="P47" i="7"/>
  <c r="X41" i="13" s="1"/>
  <c r="O47" i="7"/>
  <c r="W41" i="13" s="1"/>
  <c r="L47" i="7"/>
  <c r="U41" i="13" s="1"/>
  <c r="H47" i="7"/>
  <c r="P41" i="13" s="1"/>
  <c r="G47" i="7"/>
  <c r="O41" i="13" s="1"/>
  <c r="F47" i="7"/>
  <c r="N41" i="13" s="1"/>
  <c r="E47" i="7"/>
  <c r="M41" i="13" s="1"/>
  <c r="D47" i="7"/>
  <c r="AG46" i="7"/>
  <c r="AF46" i="7"/>
  <c r="T46" i="7"/>
  <c r="AB40" i="13" s="1"/>
  <c r="S46" i="7"/>
  <c r="AA40" i="13" s="1"/>
  <c r="P46" i="7"/>
  <c r="X40" i="13" s="1"/>
  <c r="O46" i="7"/>
  <c r="W40" i="13" s="1"/>
  <c r="L46" i="7"/>
  <c r="U40" i="13" s="1"/>
  <c r="H46" i="7"/>
  <c r="P40" i="13" s="1"/>
  <c r="G46" i="7"/>
  <c r="O40" i="13" s="1"/>
  <c r="F46" i="7"/>
  <c r="N40" i="13" s="1"/>
  <c r="E46" i="7"/>
  <c r="M40" i="13" s="1"/>
  <c r="D46" i="7"/>
  <c r="AG45" i="7"/>
  <c r="AF45" i="7"/>
  <c r="T45" i="7"/>
  <c r="AB39" i="13" s="1"/>
  <c r="S45" i="7"/>
  <c r="AA39" i="13" s="1"/>
  <c r="P45" i="7"/>
  <c r="X39" i="13" s="1"/>
  <c r="O45" i="7"/>
  <c r="W39" i="13" s="1"/>
  <c r="L45" i="7"/>
  <c r="U39" i="13" s="1"/>
  <c r="H45" i="7"/>
  <c r="P39" i="13" s="1"/>
  <c r="G45" i="7"/>
  <c r="O39" i="13" s="1"/>
  <c r="F45" i="7"/>
  <c r="N39" i="13" s="1"/>
  <c r="E45" i="7"/>
  <c r="M39" i="13" s="1"/>
  <c r="D45" i="7"/>
  <c r="AG44" i="7"/>
  <c r="AF44" i="7"/>
  <c r="T44" i="7"/>
  <c r="AB38" i="13" s="1"/>
  <c r="S44" i="7"/>
  <c r="AA38" i="13" s="1"/>
  <c r="P44" i="7"/>
  <c r="X38" i="13" s="1"/>
  <c r="O44" i="7"/>
  <c r="W38" i="13" s="1"/>
  <c r="L44" i="7"/>
  <c r="U38" i="13" s="1"/>
  <c r="H44" i="7"/>
  <c r="P38" i="13" s="1"/>
  <c r="G44" i="7"/>
  <c r="O38" i="13" s="1"/>
  <c r="F44" i="7"/>
  <c r="N38" i="13" s="1"/>
  <c r="E44" i="7"/>
  <c r="M38" i="13" s="1"/>
  <c r="D44" i="7"/>
  <c r="AG43" i="7"/>
  <c r="AF43" i="7"/>
  <c r="T43" i="7"/>
  <c r="AB37" i="13" s="1"/>
  <c r="S43" i="7"/>
  <c r="AA37" i="13" s="1"/>
  <c r="P43" i="7"/>
  <c r="X37" i="13" s="1"/>
  <c r="O43" i="7"/>
  <c r="W37" i="13" s="1"/>
  <c r="L43" i="7"/>
  <c r="U37" i="13" s="1"/>
  <c r="H43" i="7"/>
  <c r="P37" i="13" s="1"/>
  <c r="G43" i="7"/>
  <c r="O37" i="13" s="1"/>
  <c r="F43" i="7"/>
  <c r="N37" i="13" s="1"/>
  <c r="E43" i="7"/>
  <c r="M37" i="13" s="1"/>
  <c r="D43" i="7"/>
  <c r="AG42" i="7"/>
  <c r="AF42" i="7"/>
  <c r="T42" i="7"/>
  <c r="AB36" i="13" s="1"/>
  <c r="S42" i="7"/>
  <c r="AA36" i="13" s="1"/>
  <c r="P42" i="7"/>
  <c r="X36" i="13" s="1"/>
  <c r="O42" i="7"/>
  <c r="W36" i="13" s="1"/>
  <c r="L42" i="7"/>
  <c r="U36" i="13" s="1"/>
  <c r="H42" i="7"/>
  <c r="P36" i="13" s="1"/>
  <c r="G42" i="7"/>
  <c r="O36" i="13" s="1"/>
  <c r="F42" i="7"/>
  <c r="N36" i="13" s="1"/>
  <c r="E42" i="7"/>
  <c r="M36" i="13" s="1"/>
  <c r="D42" i="7"/>
  <c r="AG41" i="7"/>
  <c r="AF41" i="7"/>
  <c r="T41" i="7"/>
  <c r="AB35" i="13" s="1"/>
  <c r="S41" i="7"/>
  <c r="AA35" i="13" s="1"/>
  <c r="P41" i="7"/>
  <c r="X35" i="13" s="1"/>
  <c r="O41" i="7"/>
  <c r="W35" i="13" s="1"/>
  <c r="L41" i="7"/>
  <c r="U35" i="13" s="1"/>
  <c r="H41" i="7"/>
  <c r="P35" i="13" s="1"/>
  <c r="G41" i="7"/>
  <c r="O35" i="13" s="1"/>
  <c r="F41" i="7"/>
  <c r="N35" i="13" s="1"/>
  <c r="E41" i="7"/>
  <c r="M35" i="13" s="1"/>
  <c r="D41" i="7"/>
  <c r="AG40" i="7"/>
  <c r="AF40" i="7"/>
  <c r="T40" i="7"/>
  <c r="AB34" i="13" s="1"/>
  <c r="S40" i="7"/>
  <c r="AA34" i="13" s="1"/>
  <c r="P40" i="7"/>
  <c r="X34" i="13" s="1"/>
  <c r="O40" i="7"/>
  <c r="W34" i="13" s="1"/>
  <c r="L40" i="7"/>
  <c r="U34" i="13" s="1"/>
  <c r="H40" i="7"/>
  <c r="P34" i="13" s="1"/>
  <c r="G40" i="7"/>
  <c r="O34" i="13" s="1"/>
  <c r="F40" i="7"/>
  <c r="N34" i="13" s="1"/>
  <c r="E40" i="7"/>
  <c r="M34" i="13" s="1"/>
  <c r="D40" i="7"/>
  <c r="AG39" i="7"/>
  <c r="AF39" i="7"/>
  <c r="T39" i="7"/>
  <c r="S39" i="7"/>
  <c r="P39" i="7"/>
  <c r="O39" i="7"/>
  <c r="L39" i="7"/>
  <c r="K39" i="7"/>
  <c r="H39" i="7"/>
  <c r="G39" i="7"/>
  <c r="F39" i="7"/>
  <c r="E39" i="7"/>
  <c r="D39" i="7"/>
  <c r="AG34" i="7"/>
  <c r="AF34" i="7"/>
  <c r="T34" i="7"/>
  <c r="AB32" i="13" s="1"/>
  <c r="S34" i="7"/>
  <c r="AA32" i="13" s="1"/>
  <c r="P34" i="7"/>
  <c r="X32" i="13" s="1"/>
  <c r="O34" i="7"/>
  <c r="W32" i="13" s="1"/>
  <c r="M34" i="7"/>
  <c r="U32" i="13" s="1"/>
  <c r="L34" i="7"/>
  <c r="T32" i="13" s="1"/>
  <c r="K34" i="7"/>
  <c r="S32" i="13" s="1"/>
  <c r="H34" i="7"/>
  <c r="P32" i="13" s="1"/>
  <c r="G34" i="7"/>
  <c r="O32" i="13" s="1"/>
  <c r="F34" i="7"/>
  <c r="N32" i="13" s="1"/>
  <c r="E34" i="7"/>
  <c r="M32" i="13" s="1"/>
  <c r="D34" i="7"/>
  <c r="AG31" i="7"/>
  <c r="AF31" i="7"/>
  <c r="T31" i="7"/>
  <c r="AB29" i="13" s="1"/>
  <c r="S31" i="7"/>
  <c r="P31" i="7"/>
  <c r="X29" i="13" s="1"/>
  <c r="O31" i="7"/>
  <c r="W29" i="13" s="1"/>
  <c r="M31" i="7"/>
  <c r="U29" i="13" s="1"/>
  <c r="L31" i="7"/>
  <c r="T29" i="13" s="1"/>
  <c r="K31" i="7"/>
  <c r="S29" i="13" s="1"/>
  <c r="H31" i="7"/>
  <c r="P29" i="13" s="1"/>
  <c r="G31" i="7"/>
  <c r="O29" i="13" s="1"/>
  <c r="F31" i="7"/>
  <c r="N29" i="13" s="1"/>
  <c r="E31" i="7"/>
  <c r="M29" i="13" s="1"/>
  <c r="D31" i="7"/>
  <c r="AG30" i="7"/>
  <c r="AF30" i="7"/>
  <c r="T30" i="7"/>
  <c r="AB28" i="13" s="1"/>
  <c r="S30" i="7"/>
  <c r="AA28" i="13" s="1"/>
  <c r="P30" i="7"/>
  <c r="X28" i="13" s="1"/>
  <c r="O30" i="7"/>
  <c r="W28" i="13" s="1"/>
  <c r="M30" i="7"/>
  <c r="U28" i="13" s="1"/>
  <c r="L30" i="7"/>
  <c r="T28" i="13" s="1"/>
  <c r="K30" i="7"/>
  <c r="S28" i="13" s="1"/>
  <c r="H30" i="7"/>
  <c r="P28" i="13" s="1"/>
  <c r="G30" i="7"/>
  <c r="O28" i="13" s="1"/>
  <c r="F30" i="7"/>
  <c r="N28" i="13" s="1"/>
  <c r="E30" i="7"/>
  <c r="M28" i="13" s="1"/>
  <c r="D30" i="7"/>
  <c r="AG29" i="7"/>
  <c r="AF29" i="7"/>
  <c r="T29" i="7"/>
  <c r="AB27" i="13" s="1"/>
  <c r="S29" i="7"/>
  <c r="AA27" i="13" s="1"/>
  <c r="P29" i="7"/>
  <c r="X27" i="13" s="1"/>
  <c r="O29" i="7"/>
  <c r="W27" i="13" s="1"/>
  <c r="M29" i="7"/>
  <c r="U27" i="13" s="1"/>
  <c r="L29" i="7"/>
  <c r="T27" i="13" s="1"/>
  <c r="K29" i="7"/>
  <c r="S27" i="13" s="1"/>
  <c r="H29" i="7"/>
  <c r="P27" i="13" s="1"/>
  <c r="G29" i="7"/>
  <c r="O27" i="13" s="1"/>
  <c r="F29" i="7"/>
  <c r="N27" i="13" s="1"/>
  <c r="E29" i="7"/>
  <c r="M27" i="13" s="1"/>
  <c r="D29" i="7"/>
  <c r="AG28" i="7"/>
  <c r="AF28" i="7"/>
  <c r="T28" i="7"/>
  <c r="AB26" i="13" s="1"/>
  <c r="S28" i="7"/>
  <c r="AA26" i="13" s="1"/>
  <c r="P28" i="7"/>
  <c r="X26" i="13" s="1"/>
  <c r="O28" i="7"/>
  <c r="W26" i="13" s="1"/>
  <c r="M28" i="7"/>
  <c r="U26" i="13" s="1"/>
  <c r="L28" i="7"/>
  <c r="T26" i="13" s="1"/>
  <c r="K28" i="7"/>
  <c r="S26" i="13" s="1"/>
  <c r="H28" i="7"/>
  <c r="P26" i="13" s="1"/>
  <c r="G28" i="7"/>
  <c r="O26" i="13" s="1"/>
  <c r="F28" i="7"/>
  <c r="N26" i="13" s="1"/>
  <c r="E28" i="7"/>
  <c r="M26" i="13" s="1"/>
  <c r="D28" i="7"/>
  <c r="AG27" i="7"/>
  <c r="AF27" i="7"/>
  <c r="T27" i="7"/>
  <c r="AB25" i="13" s="1"/>
  <c r="S27" i="7"/>
  <c r="AA25" i="13" s="1"/>
  <c r="P27" i="7"/>
  <c r="X25" i="13" s="1"/>
  <c r="O27" i="7"/>
  <c r="W25" i="13" s="1"/>
  <c r="M27" i="7"/>
  <c r="U25" i="13" s="1"/>
  <c r="L27" i="7"/>
  <c r="T25" i="13" s="1"/>
  <c r="K27" i="7"/>
  <c r="S25" i="13" s="1"/>
  <c r="H27" i="7"/>
  <c r="P25" i="13" s="1"/>
  <c r="G27" i="7"/>
  <c r="O25" i="13" s="1"/>
  <c r="F27" i="7"/>
  <c r="N25" i="13" s="1"/>
  <c r="E27" i="7"/>
  <c r="M25" i="13" s="1"/>
  <c r="D27" i="7"/>
  <c r="AG26" i="7"/>
  <c r="AF26" i="7"/>
  <c r="T26" i="7"/>
  <c r="AB24" i="13" s="1"/>
  <c r="S26" i="7"/>
  <c r="AA24" i="13" s="1"/>
  <c r="P26" i="7"/>
  <c r="X24" i="13" s="1"/>
  <c r="O26" i="7"/>
  <c r="W24" i="13" s="1"/>
  <c r="M26" i="7"/>
  <c r="U24" i="13" s="1"/>
  <c r="L26" i="7"/>
  <c r="T24" i="13" s="1"/>
  <c r="K26" i="7"/>
  <c r="S24" i="13" s="1"/>
  <c r="H26" i="7"/>
  <c r="P24" i="13" s="1"/>
  <c r="G26" i="7"/>
  <c r="O24" i="13" s="1"/>
  <c r="F26" i="7"/>
  <c r="N24" i="13" s="1"/>
  <c r="E26" i="7"/>
  <c r="M24" i="13" s="1"/>
  <c r="D26" i="7"/>
  <c r="AG25" i="7"/>
  <c r="AF25" i="7"/>
  <c r="T25" i="7"/>
  <c r="AB23" i="13" s="1"/>
  <c r="S25" i="7"/>
  <c r="P25" i="7"/>
  <c r="X23" i="13" s="1"/>
  <c r="O25" i="7"/>
  <c r="W23" i="13" s="1"/>
  <c r="M25" i="7"/>
  <c r="U23" i="13" s="1"/>
  <c r="L25" i="7"/>
  <c r="T23" i="13" s="1"/>
  <c r="K25" i="7"/>
  <c r="S23" i="13" s="1"/>
  <c r="H25" i="7"/>
  <c r="P23" i="13" s="1"/>
  <c r="G25" i="7"/>
  <c r="O23" i="13" s="1"/>
  <c r="F25" i="7"/>
  <c r="N23" i="13" s="1"/>
  <c r="E25" i="7"/>
  <c r="M23" i="13" s="1"/>
  <c r="D25" i="7"/>
  <c r="L23" i="13" s="1"/>
  <c r="AG24" i="7"/>
  <c r="AF24" i="7"/>
  <c r="T24" i="7"/>
  <c r="AB22" i="13" s="1"/>
  <c r="S24" i="7"/>
  <c r="AA22" i="13" s="1"/>
  <c r="P24" i="7"/>
  <c r="X22" i="13" s="1"/>
  <c r="O24" i="7"/>
  <c r="W22" i="13" s="1"/>
  <c r="M24" i="7"/>
  <c r="U22" i="13" s="1"/>
  <c r="L24" i="7"/>
  <c r="T22" i="13" s="1"/>
  <c r="K24" i="7"/>
  <c r="S22" i="13" s="1"/>
  <c r="H24" i="7"/>
  <c r="P22" i="13" s="1"/>
  <c r="G24" i="7"/>
  <c r="O22" i="13" s="1"/>
  <c r="F24" i="7"/>
  <c r="N22" i="13" s="1"/>
  <c r="E24" i="7"/>
  <c r="M22" i="13" s="1"/>
  <c r="D24" i="7"/>
  <c r="L22" i="13" s="1"/>
  <c r="AG23" i="7"/>
  <c r="AF23" i="7"/>
  <c r="T23" i="7"/>
  <c r="AB21" i="13" s="1"/>
  <c r="S23" i="7"/>
  <c r="P23" i="7"/>
  <c r="X21" i="13" s="1"/>
  <c r="O23" i="7"/>
  <c r="W21" i="13" s="1"/>
  <c r="M23" i="7"/>
  <c r="U21" i="13" s="1"/>
  <c r="L23" i="7"/>
  <c r="T21" i="13" s="1"/>
  <c r="K23" i="7"/>
  <c r="S21" i="13" s="1"/>
  <c r="H23" i="7"/>
  <c r="P21" i="13" s="1"/>
  <c r="G23" i="7"/>
  <c r="O21" i="13" s="1"/>
  <c r="F23" i="7"/>
  <c r="N21" i="13" s="1"/>
  <c r="E23" i="7"/>
  <c r="M21" i="13" s="1"/>
  <c r="D23" i="7"/>
  <c r="L21" i="13" s="1"/>
  <c r="AG22" i="7"/>
  <c r="AF22" i="7"/>
  <c r="T22" i="7"/>
  <c r="AB20" i="13" s="1"/>
  <c r="S22" i="7"/>
  <c r="AA20" i="13" s="1"/>
  <c r="P22" i="7"/>
  <c r="X20" i="13" s="1"/>
  <c r="O22" i="7"/>
  <c r="W20" i="13" s="1"/>
  <c r="M22" i="7"/>
  <c r="U20" i="13" s="1"/>
  <c r="L22" i="7"/>
  <c r="T20" i="13" s="1"/>
  <c r="K22" i="7"/>
  <c r="S20" i="13" s="1"/>
  <c r="H22" i="7"/>
  <c r="P20" i="13" s="1"/>
  <c r="G22" i="7"/>
  <c r="O20" i="13" s="1"/>
  <c r="F22" i="7"/>
  <c r="N20" i="13" s="1"/>
  <c r="E22" i="7"/>
  <c r="M20" i="13" s="1"/>
  <c r="D22" i="7"/>
  <c r="L20" i="13" s="1"/>
  <c r="AG21" i="7"/>
  <c r="AF21" i="7"/>
  <c r="T21" i="7"/>
  <c r="AB19" i="13" s="1"/>
  <c r="S21" i="7"/>
  <c r="P21" i="7"/>
  <c r="X19" i="13" s="1"/>
  <c r="O21" i="7"/>
  <c r="W19" i="13" s="1"/>
  <c r="M21" i="7"/>
  <c r="U19" i="13" s="1"/>
  <c r="L21" i="7"/>
  <c r="T19" i="13" s="1"/>
  <c r="K21" i="7"/>
  <c r="S19" i="13" s="1"/>
  <c r="H21" i="7"/>
  <c r="P19" i="13" s="1"/>
  <c r="G21" i="7"/>
  <c r="O19" i="13" s="1"/>
  <c r="F21" i="7"/>
  <c r="N19" i="13" s="1"/>
  <c r="E21" i="7"/>
  <c r="M19" i="13" s="1"/>
  <c r="D21" i="7"/>
  <c r="L19" i="13" s="1"/>
  <c r="AG20" i="7"/>
  <c r="AF20" i="7"/>
  <c r="T20" i="7"/>
  <c r="AB18" i="13" s="1"/>
  <c r="S20" i="7"/>
  <c r="AA18" i="13" s="1"/>
  <c r="P20" i="7"/>
  <c r="X18" i="13" s="1"/>
  <c r="O20" i="7"/>
  <c r="W18" i="13" s="1"/>
  <c r="M20" i="7"/>
  <c r="U18" i="13" s="1"/>
  <c r="L20" i="7"/>
  <c r="T18" i="13" s="1"/>
  <c r="K20" i="7"/>
  <c r="S18" i="13" s="1"/>
  <c r="H20" i="7"/>
  <c r="P18" i="13" s="1"/>
  <c r="G20" i="7"/>
  <c r="O18" i="13" s="1"/>
  <c r="F20" i="7"/>
  <c r="N18" i="13" s="1"/>
  <c r="E20" i="7"/>
  <c r="M18" i="13" s="1"/>
  <c r="D20" i="7"/>
  <c r="AG19" i="7"/>
  <c r="AF19" i="7"/>
  <c r="T19" i="7"/>
  <c r="AB17" i="13" s="1"/>
  <c r="S19" i="7"/>
  <c r="AA17" i="13" s="1"/>
  <c r="P19" i="7"/>
  <c r="X17" i="13" s="1"/>
  <c r="O19" i="7"/>
  <c r="W17" i="13" s="1"/>
  <c r="M19" i="7"/>
  <c r="U17" i="13" s="1"/>
  <c r="L19" i="7"/>
  <c r="T17" i="13" s="1"/>
  <c r="K19" i="7"/>
  <c r="S17" i="13" s="1"/>
  <c r="H19" i="7"/>
  <c r="P17" i="13" s="1"/>
  <c r="G19" i="7"/>
  <c r="O17" i="13" s="1"/>
  <c r="F19" i="7"/>
  <c r="N17" i="13" s="1"/>
  <c r="E19" i="7"/>
  <c r="M17" i="13" s="1"/>
  <c r="D19" i="7"/>
  <c r="AG18" i="7"/>
  <c r="AF18" i="7"/>
  <c r="T18" i="7"/>
  <c r="AB16" i="13" s="1"/>
  <c r="S18" i="7"/>
  <c r="AA16" i="13" s="1"/>
  <c r="P18" i="7"/>
  <c r="X16" i="13" s="1"/>
  <c r="O18" i="7"/>
  <c r="W16" i="13" s="1"/>
  <c r="M18" i="7"/>
  <c r="U16" i="13" s="1"/>
  <c r="L18" i="7"/>
  <c r="T16" i="13" s="1"/>
  <c r="K18" i="7"/>
  <c r="S16" i="13" s="1"/>
  <c r="H18" i="7"/>
  <c r="P16" i="13" s="1"/>
  <c r="G18" i="7"/>
  <c r="O16" i="13" s="1"/>
  <c r="F18" i="7"/>
  <c r="N16" i="13" s="1"/>
  <c r="E18" i="7"/>
  <c r="M16" i="13" s="1"/>
  <c r="D18" i="7"/>
  <c r="AG17" i="7"/>
  <c r="AF17" i="7"/>
  <c r="T17" i="7"/>
  <c r="AB15" i="13" s="1"/>
  <c r="S17" i="7"/>
  <c r="AA15" i="13" s="1"/>
  <c r="P17" i="7"/>
  <c r="X15" i="13" s="1"/>
  <c r="O17" i="7"/>
  <c r="W15" i="13" s="1"/>
  <c r="M17" i="7"/>
  <c r="U15" i="13" s="1"/>
  <c r="L17" i="7"/>
  <c r="T15" i="13" s="1"/>
  <c r="K17" i="7"/>
  <c r="S15" i="13" s="1"/>
  <c r="H17" i="7"/>
  <c r="P15" i="13" s="1"/>
  <c r="G17" i="7"/>
  <c r="O15" i="13" s="1"/>
  <c r="F17" i="7"/>
  <c r="N15" i="13" s="1"/>
  <c r="E17" i="7"/>
  <c r="M15" i="13" s="1"/>
  <c r="D17" i="7"/>
  <c r="AG16" i="7"/>
  <c r="AF16" i="7"/>
  <c r="T16" i="7"/>
  <c r="AB14" i="13" s="1"/>
  <c r="S16" i="7"/>
  <c r="AA14" i="13" s="1"/>
  <c r="P16" i="7"/>
  <c r="X14" i="13" s="1"/>
  <c r="O16" i="7"/>
  <c r="W14" i="13" s="1"/>
  <c r="M16" i="7"/>
  <c r="U14" i="13" s="1"/>
  <c r="L16" i="7"/>
  <c r="T14" i="13" s="1"/>
  <c r="K16" i="7"/>
  <c r="S14" i="13" s="1"/>
  <c r="H16" i="7"/>
  <c r="P14" i="13" s="1"/>
  <c r="G16" i="7"/>
  <c r="O14" i="13" s="1"/>
  <c r="F16" i="7"/>
  <c r="N14" i="13" s="1"/>
  <c r="E16" i="7"/>
  <c r="M14" i="13" s="1"/>
  <c r="D16" i="7"/>
  <c r="AG15" i="7"/>
  <c r="AF15" i="7"/>
  <c r="T15" i="7"/>
  <c r="AB13" i="13" s="1"/>
  <c r="S15" i="7"/>
  <c r="P15" i="7"/>
  <c r="X13" i="13" s="1"/>
  <c r="O15" i="7"/>
  <c r="W13" i="13" s="1"/>
  <c r="M15" i="7"/>
  <c r="U13" i="13" s="1"/>
  <c r="L15" i="7"/>
  <c r="T13" i="13" s="1"/>
  <c r="K15" i="7"/>
  <c r="S13" i="13" s="1"/>
  <c r="H15" i="7"/>
  <c r="P13" i="13" s="1"/>
  <c r="G15" i="7"/>
  <c r="O13" i="13" s="1"/>
  <c r="F15" i="7"/>
  <c r="N13" i="13" s="1"/>
  <c r="E15" i="7"/>
  <c r="M13" i="13" s="1"/>
  <c r="D15" i="7"/>
  <c r="AG14" i="7"/>
  <c r="AF14" i="7"/>
  <c r="T14" i="7"/>
  <c r="AB12" i="13" s="1"/>
  <c r="S14" i="7"/>
  <c r="AA12" i="13" s="1"/>
  <c r="P14" i="7"/>
  <c r="X12" i="13" s="1"/>
  <c r="O14" i="7"/>
  <c r="W12" i="13" s="1"/>
  <c r="M14" i="7"/>
  <c r="U12" i="13" s="1"/>
  <c r="L14" i="7"/>
  <c r="T12" i="13" s="1"/>
  <c r="K14" i="7"/>
  <c r="S12" i="13" s="1"/>
  <c r="H14" i="7"/>
  <c r="P12" i="13" s="1"/>
  <c r="G14" i="7"/>
  <c r="O12" i="13" s="1"/>
  <c r="F14" i="7"/>
  <c r="N12" i="13" s="1"/>
  <c r="E14" i="7"/>
  <c r="M12" i="13" s="1"/>
  <c r="D14" i="7"/>
  <c r="AG13" i="7"/>
  <c r="AF13" i="7"/>
  <c r="T13" i="7"/>
  <c r="AB11" i="13" s="1"/>
  <c r="S13" i="7"/>
  <c r="AA11" i="13" s="1"/>
  <c r="P13" i="7"/>
  <c r="X11" i="13" s="1"/>
  <c r="O13" i="7"/>
  <c r="W11" i="13" s="1"/>
  <c r="M13" i="7"/>
  <c r="U11" i="13" s="1"/>
  <c r="L13" i="7"/>
  <c r="T11" i="13" s="1"/>
  <c r="K13" i="7"/>
  <c r="S11" i="13" s="1"/>
  <c r="H13" i="7"/>
  <c r="P11" i="13" s="1"/>
  <c r="G13" i="7"/>
  <c r="O11" i="13" s="1"/>
  <c r="F13" i="7"/>
  <c r="N11" i="13" s="1"/>
  <c r="E13" i="7"/>
  <c r="M11" i="13" s="1"/>
  <c r="D13" i="7"/>
  <c r="AG12" i="7"/>
  <c r="AF12" i="7"/>
  <c r="T12" i="7"/>
  <c r="AB10" i="13" s="1"/>
  <c r="S12" i="7"/>
  <c r="AA10" i="13" s="1"/>
  <c r="P12" i="7"/>
  <c r="X10" i="13" s="1"/>
  <c r="O12" i="7"/>
  <c r="W10" i="13" s="1"/>
  <c r="M12" i="7"/>
  <c r="U10" i="13" s="1"/>
  <c r="L12" i="7"/>
  <c r="T10" i="13" s="1"/>
  <c r="K12" i="7"/>
  <c r="S10" i="13" s="1"/>
  <c r="H12" i="7"/>
  <c r="P10" i="13" s="1"/>
  <c r="G12" i="7"/>
  <c r="O10" i="13" s="1"/>
  <c r="F12" i="7"/>
  <c r="N10" i="13" s="1"/>
  <c r="E12" i="7"/>
  <c r="M10" i="13" s="1"/>
  <c r="D12" i="7"/>
  <c r="AG11" i="7"/>
  <c r="AF11" i="7"/>
  <c r="T11" i="7"/>
  <c r="AB9" i="13" s="1"/>
  <c r="S11" i="7"/>
  <c r="AA9" i="13" s="1"/>
  <c r="P11" i="7"/>
  <c r="X9" i="13" s="1"/>
  <c r="O11" i="7"/>
  <c r="W9" i="13" s="1"/>
  <c r="M11" i="7"/>
  <c r="U9" i="13" s="1"/>
  <c r="L11" i="7"/>
  <c r="T9" i="13" s="1"/>
  <c r="K11" i="7"/>
  <c r="S9" i="13" s="1"/>
  <c r="H11" i="7"/>
  <c r="P9" i="13" s="1"/>
  <c r="G11" i="7"/>
  <c r="O9" i="13" s="1"/>
  <c r="F11" i="7"/>
  <c r="N9" i="13" s="1"/>
  <c r="E11" i="7"/>
  <c r="M9" i="13" s="1"/>
  <c r="D11" i="7"/>
  <c r="AG10" i="7"/>
  <c r="AF10" i="7"/>
  <c r="T10" i="7"/>
  <c r="AB8" i="13" s="1"/>
  <c r="S10" i="7"/>
  <c r="AA8" i="13" s="1"/>
  <c r="P10" i="7"/>
  <c r="X8" i="13" s="1"/>
  <c r="O10" i="7"/>
  <c r="W8" i="13" s="1"/>
  <c r="M10" i="7"/>
  <c r="U8" i="13" s="1"/>
  <c r="L10" i="7"/>
  <c r="T8" i="13" s="1"/>
  <c r="K10" i="7"/>
  <c r="S8" i="13" s="1"/>
  <c r="H10" i="7"/>
  <c r="P8" i="13" s="1"/>
  <c r="G10" i="7"/>
  <c r="O8" i="13" s="1"/>
  <c r="F10" i="7"/>
  <c r="N8" i="13" s="1"/>
  <c r="E10" i="7"/>
  <c r="M8" i="13" s="1"/>
  <c r="D10" i="7"/>
  <c r="AG9" i="7"/>
  <c r="AF9" i="7"/>
  <c r="T9" i="7"/>
  <c r="AB7" i="13" s="1"/>
  <c r="S9" i="7"/>
  <c r="AA7" i="13" s="1"/>
  <c r="P9" i="7"/>
  <c r="X7" i="13" s="1"/>
  <c r="O9" i="7"/>
  <c r="W7" i="13" s="1"/>
  <c r="M9" i="7"/>
  <c r="U7" i="13" s="1"/>
  <c r="L9" i="7"/>
  <c r="T7" i="13" s="1"/>
  <c r="K9" i="7"/>
  <c r="S7" i="13" s="1"/>
  <c r="H9" i="7"/>
  <c r="P7" i="13" s="1"/>
  <c r="G9" i="7"/>
  <c r="O7" i="13" s="1"/>
  <c r="F9" i="7"/>
  <c r="N7" i="13" s="1"/>
  <c r="E9" i="7"/>
  <c r="M7" i="13" s="1"/>
  <c r="D9" i="7"/>
  <c r="AG8" i="7"/>
  <c r="AF8" i="7"/>
  <c r="T8" i="7"/>
  <c r="AB6" i="13" s="1"/>
  <c r="S8" i="7"/>
  <c r="AA6" i="13" s="1"/>
  <c r="P8" i="7"/>
  <c r="X6" i="13" s="1"/>
  <c r="O8" i="7"/>
  <c r="W6" i="13" s="1"/>
  <c r="M8" i="7"/>
  <c r="U6" i="13" s="1"/>
  <c r="L8" i="7"/>
  <c r="T6" i="13" s="1"/>
  <c r="K8" i="7"/>
  <c r="S6" i="13" s="1"/>
  <c r="H8" i="7"/>
  <c r="P6" i="13" s="1"/>
  <c r="G8" i="7"/>
  <c r="O6" i="13" s="1"/>
  <c r="F8" i="7"/>
  <c r="N6" i="13" s="1"/>
  <c r="E8" i="7"/>
  <c r="M6" i="13" s="1"/>
  <c r="D8" i="7"/>
  <c r="AG7" i="7"/>
  <c r="AF7" i="7"/>
  <c r="T7" i="7"/>
  <c r="S7" i="7"/>
  <c r="AA5" i="13" s="1"/>
  <c r="P7" i="7"/>
  <c r="X5" i="13" s="1"/>
  <c r="O7" i="7"/>
  <c r="W5" i="13" s="1"/>
  <c r="M7" i="7"/>
  <c r="U5" i="13" s="1"/>
  <c r="L7" i="7"/>
  <c r="T5" i="13" s="1"/>
  <c r="K7" i="7"/>
  <c r="S5" i="13" s="1"/>
  <c r="H7" i="7"/>
  <c r="P5" i="13" s="1"/>
  <c r="G7" i="7"/>
  <c r="O5" i="13" s="1"/>
  <c r="F7" i="7"/>
  <c r="N5" i="13" s="1"/>
  <c r="E7" i="7"/>
  <c r="M5" i="13" s="1"/>
  <c r="D7" i="7"/>
  <c r="L6" i="9"/>
  <c r="AF68" i="7" l="1"/>
  <c r="AG68" i="7"/>
  <c r="ER6" i="11" s="1"/>
  <c r="D68" i="7"/>
  <c r="W33" i="13"/>
  <c r="O68" i="7"/>
  <c r="DG6" i="11" s="1"/>
  <c r="X33" i="13"/>
  <c r="P68" i="7"/>
  <c r="DH6" i="11" s="1"/>
  <c r="AA33" i="13"/>
  <c r="S68" i="7"/>
  <c r="DK6" i="11" s="1"/>
  <c r="AB33" i="13"/>
  <c r="T68" i="7"/>
  <c r="DL6" i="11" s="1"/>
  <c r="M33" i="13"/>
  <c r="E68" i="7"/>
  <c r="N33" i="13"/>
  <c r="F68" i="7"/>
  <c r="O33" i="13"/>
  <c r="G68" i="7"/>
  <c r="P33" i="13"/>
  <c r="H68" i="7"/>
  <c r="T33" i="13"/>
  <c r="K68" i="7"/>
  <c r="U33" i="13"/>
  <c r="L68" i="7"/>
  <c r="AE9" i="7"/>
  <c r="AE8" i="7"/>
  <c r="AE30" i="13"/>
  <c r="AA46" i="13"/>
  <c r="AA5" i="9"/>
  <c r="AA47" i="13"/>
  <c r="AB24" i="7"/>
  <c r="AB5" i="9" s="1"/>
  <c r="AB46" i="13"/>
  <c r="AB47" i="13"/>
  <c r="AC24" i="7"/>
  <c r="H30" i="13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H60" i="13" s="1"/>
  <c r="H61" i="13" s="1"/>
  <c r="H31" i="13"/>
  <c r="F30" i="13"/>
  <c r="F32" i="13" s="1"/>
  <c r="F33" i="13" s="1"/>
  <c r="F34" i="13" s="1"/>
  <c r="F35" i="13" s="1"/>
  <c r="F36" i="13" s="1"/>
  <c r="F37" i="13" s="1"/>
  <c r="F38" i="13" s="1"/>
  <c r="F39" i="13" s="1"/>
  <c r="F40" i="13" s="1"/>
  <c r="F41" i="13" s="1"/>
  <c r="F42" i="13" s="1"/>
  <c r="F43" i="13" s="1"/>
  <c r="F44" i="13" s="1"/>
  <c r="F45" i="13" s="1"/>
  <c r="F46" i="13" s="1"/>
  <c r="F47" i="13" s="1"/>
  <c r="F48" i="13" s="1"/>
  <c r="F49" i="13" s="1"/>
  <c r="F50" i="13" s="1"/>
  <c r="F51" i="13" s="1"/>
  <c r="F52" i="13" s="1"/>
  <c r="F53" i="13" s="1"/>
  <c r="F54" i="13" s="1"/>
  <c r="F55" i="13" s="1"/>
  <c r="F56" i="13" s="1"/>
  <c r="F57" i="13" s="1"/>
  <c r="F58" i="13" s="1"/>
  <c r="F59" i="13" s="1"/>
  <c r="F60" i="13" s="1"/>
  <c r="F61" i="13" s="1"/>
  <c r="F31" i="13"/>
  <c r="E30" i="13"/>
  <c r="E32" i="13" s="1"/>
  <c r="E33" i="13" s="1"/>
  <c r="E34" i="13" s="1"/>
  <c r="E35" i="13" s="1"/>
  <c r="E36" i="13" s="1"/>
  <c r="E37" i="13" s="1"/>
  <c r="E38" i="13" s="1"/>
  <c r="E39" i="13" s="1"/>
  <c r="E40" i="13" s="1"/>
  <c r="E41" i="13" s="1"/>
  <c r="E42" i="13" s="1"/>
  <c r="E43" i="13" s="1"/>
  <c r="E44" i="13" s="1"/>
  <c r="E45" i="13" s="1"/>
  <c r="E46" i="13" s="1"/>
  <c r="E47" i="13" s="1"/>
  <c r="E48" i="13" s="1"/>
  <c r="E49" i="13" s="1"/>
  <c r="E50" i="13" s="1"/>
  <c r="E51" i="13" s="1"/>
  <c r="E52" i="13" s="1"/>
  <c r="E53" i="13" s="1"/>
  <c r="E54" i="13" s="1"/>
  <c r="E55" i="13" s="1"/>
  <c r="E56" i="13" s="1"/>
  <c r="E57" i="13" s="1"/>
  <c r="E58" i="13" s="1"/>
  <c r="E59" i="13" s="1"/>
  <c r="E60" i="13" s="1"/>
  <c r="E61" i="13" s="1"/>
  <c r="E31" i="13"/>
  <c r="D30" i="13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31" i="13"/>
  <c r="C30" i="13"/>
  <c r="C32" i="13" s="1"/>
  <c r="C33" i="13" s="1"/>
  <c r="C34" i="13" s="1"/>
  <c r="C35" i="13" s="1"/>
  <c r="C36" i="13" s="1"/>
  <c r="C37" i="13" s="1"/>
  <c r="C38" i="13" s="1"/>
  <c r="C39" i="13" s="1"/>
  <c r="C40" i="13" s="1"/>
  <c r="C41" i="13" s="1"/>
  <c r="C42" i="13" s="1"/>
  <c r="C43" i="13" s="1"/>
  <c r="C44" i="13" s="1"/>
  <c r="C45" i="13" s="1"/>
  <c r="C46" i="13" s="1"/>
  <c r="C47" i="13" s="1"/>
  <c r="C48" i="13" s="1"/>
  <c r="C49" i="13" s="1"/>
  <c r="C50" i="13" s="1"/>
  <c r="C51" i="13" s="1"/>
  <c r="C52" i="13" s="1"/>
  <c r="C53" i="13" s="1"/>
  <c r="C54" i="13" s="1"/>
  <c r="C55" i="13" s="1"/>
  <c r="C56" i="13" s="1"/>
  <c r="C57" i="13" s="1"/>
  <c r="C58" i="13" s="1"/>
  <c r="C59" i="13" s="1"/>
  <c r="C60" i="13" s="1"/>
  <c r="C61" i="13" s="1"/>
  <c r="C31" i="13"/>
  <c r="B30" i="13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31" i="13"/>
  <c r="A30" i="13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31" i="13"/>
  <c r="L34" i="13"/>
  <c r="AK40" i="7"/>
  <c r="L46" i="13"/>
  <c r="AK52" i="7"/>
  <c r="L60" i="13"/>
  <c r="AK66" i="7"/>
  <c r="L8" i="13"/>
  <c r="AK10" i="7"/>
  <c r="L14" i="13"/>
  <c r="AK16" i="7"/>
  <c r="L26" i="13"/>
  <c r="AK28" i="7"/>
  <c r="L35" i="13"/>
  <c r="AK41" i="7"/>
  <c r="L47" i="13"/>
  <c r="AK53" i="7"/>
  <c r="L36" i="13"/>
  <c r="AK42" i="7"/>
  <c r="L48" i="13"/>
  <c r="AK54" i="7"/>
  <c r="L9" i="13"/>
  <c r="AK11" i="7"/>
  <c r="L15" i="13"/>
  <c r="AK17" i="7"/>
  <c r="L27" i="13"/>
  <c r="AK29" i="7"/>
  <c r="L37" i="13"/>
  <c r="AK43" i="7"/>
  <c r="L49" i="13"/>
  <c r="AK55" i="7"/>
  <c r="L38" i="13"/>
  <c r="AK44" i="7"/>
  <c r="L50" i="13"/>
  <c r="AK56" i="7"/>
  <c r="L10" i="13"/>
  <c r="AK12" i="7"/>
  <c r="L16" i="13"/>
  <c r="AK18" i="7"/>
  <c r="L28" i="13"/>
  <c r="AK30" i="7"/>
  <c r="L39" i="13"/>
  <c r="AK45" i="7"/>
  <c r="L51" i="13"/>
  <c r="AK57" i="7"/>
  <c r="L40" i="13"/>
  <c r="AK46" i="7"/>
  <c r="L52" i="13"/>
  <c r="AK58" i="7"/>
  <c r="L11" i="13"/>
  <c r="AK13" i="7"/>
  <c r="L17" i="13"/>
  <c r="AK19" i="7"/>
  <c r="L29" i="13"/>
  <c r="AK31" i="7"/>
  <c r="L41" i="13"/>
  <c r="AK47" i="7"/>
  <c r="L53" i="13"/>
  <c r="AK59" i="7"/>
  <c r="L5" i="13"/>
  <c r="AK7" i="7"/>
  <c r="AL7" i="7"/>
  <c r="L42" i="13"/>
  <c r="AK48" i="7"/>
  <c r="L54" i="13"/>
  <c r="AK60" i="7"/>
  <c r="L6" i="13"/>
  <c r="AK8" i="7"/>
  <c r="L12" i="13"/>
  <c r="AK14" i="7"/>
  <c r="L18" i="13"/>
  <c r="AK20" i="7"/>
  <c r="L24" i="13"/>
  <c r="AK26" i="7"/>
  <c r="L32" i="13"/>
  <c r="AK34" i="7"/>
  <c r="L43" i="13"/>
  <c r="AK49" i="7"/>
  <c r="L55" i="13"/>
  <c r="AK61" i="7"/>
  <c r="L44" i="13"/>
  <c r="AK50" i="7"/>
  <c r="L56" i="13"/>
  <c r="AK62" i="7"/>
  <c r="L7" i="13"/>
  <c r="AK9" i="7"/>
  <c r="AL9" i="7"/>
  <c r="L13" i="13"/>
  <c r="AK15" i="7"/>
  <c r="L25" i="13"/>
  <c r="AK27" i="7"/>
  <c r="L33" i="13"/>
  <c r="AK39" i="7"/>
  <c r="L45" i="13"/>
  <c r="AK51" i="7"/>
  <c r="L57" i="13"/>
  <c r="AK63" i="7"/>
  <c r="R33" i="7"/>
  <c r="J41" i="7"/>
  <c r="R35" i="13" s="1"/>
  <c r="J53" i="7"/>
  <c r="R47" i="13" s="1"/>
  <c r="J66" i="7"/>
  <c r="R60" i="13" s="1"/>
  <c r="U62" i="7"/>
  <c r="AC56" i="13" s="1"/>
  <c r="J50" i="7"/>
  <c r="R44" i="13" s="1"/>
  <c r="J60" i="7"/>
  <c r="R54" i="13" s="1"/>
  <c r="J27" i="7"/>
  <c r="R25" i="13" s="1"/>
  <c r="J46" i="7"/>
  <c r="R40" i="13" s="1"/>
  <c r="J48" i="7"/>
  <c r="R42" i="13" s="1"/>
  <c r="U50" i="7"/>
  <c r="AC44" i="13" s="1"/>
  <c r="J62" i="7"/>
  <c r="R56" i="13" s="1"/>
  <c r="J43" i="7"/>
  <c r="R37" i="13" s="1"/>
  <c r="J55" i="7"/>
  <c r="R49" i="13" s="1"/>
  <c r="AF35" i="7"/>
  <c r="J25" i="7"/>
  <c r="N25" i="7" s="1"/>
  <c r="J34" i="7"/>
  <c r="R32" i="13" s="1"/>
  <c r="J58" i="7"/>
  <c r="R52" i="13" s="1"/>
  <c r="J31" i="7"/>
  <c r="R29" i="13" s="1"/>
  <c r="U15" i="7"/>
  <c r="AC13" i="13" s="1"/>
  <c r="J61" i="7"/>
  <c r="R55" i="13" s="1"/>
  <c r="J15" i="7"/>
  <c r="R13" i="13" s="1"/>
  <c r="J40" i="7"/>
  <c r="R34" i="13" s="1"/>
  <c r="J52" i="7"/>
  <c r="R46" i="13" s="1"/>
  <c r="J16" i="7"/>
  <c r="R14" i="13" s="1"/>
  <c r="J22" i="7"/>
  <c r="R20" i="13" s="1"/>
  <c r="J18" i="7"/>
  <c r="R16" i="13" s="1"/>
  <c r="J57" i="7"/>
  <c r="R51" i="13" s="1"/>
  <c r="J49" i="7"/>
  <c r="R43" i="13" s="1"/>
  <c r="J10" i="7"/>
  <c r="R8" i="13" s="1"/>
  <c r="J28" i="7"/>
  <c r="R26" i="13" s="1"/>
  <c r="J51" i="7"/>
  <c r="R45" i="13" s="1"/>
  <c r="J29" i="7"/>
  <c r="R27" i="13" s="1"/>
  <c r="J63" i="7"/>
  <c r="R57" i="13" s="1"/>
  <c r="J42" i="7"/>
  <c r="R36" i="13" s="1"/>
  <c r="J54" i="7"/>
  <c r="R48" i="13" s="1"/>
  <c r="J8" i="7"/>
  <c r="N8" i="7" s="1"/>
  <c r="Q9" i="7"/>
  <c r="Y7" i="13" s="1"/>
  <c r="J13" i="7"/>
  <c r="R11" i="13" s="1"/>
  <c r="J24" i="7"/>
  <c r="R22" i="13" s="1"/>
  <c r="J30" i="7"/>
  <c r="N30" i="7" s="1"/>
  <c r="U31" i="7"/>
  <c r="AC29" i="13" s="1"/>
  <c r="J44" i="7"/>
  <c r="R38" i="13" s="1"/>
  <c r="J56" i="7"/>
  <c r="R50" i="13" s="1"/>
  <c r="J19" i="7"/>
  <c r="R17" i="13" s="1"/>
  <c r="J45" i="7"/>
  <c r="R39" i="13" s="1"/>
  <c r="U9" i="7"/>
  <c r="AC7" i="13" s="1"/>
  <c r="J20" i="7"/>
  <c r="R18" i="13" s="1"/>
  <c r="U21" i="7"/>
  <c r="AC19" i="13" s="1"/>
  <c r="Q34" i="7"/>
  <c r="Y32" i="13" s="1"/>
  <c r="J47" i="7"/>
  <c r="R41" i="13" s="1"/>
  <c r="J59" i="7"/>
  <c r="R53" i="13" s="1"/>
  <c r="J9" i="7"/>
  <c r="R7" i="13" s="1"/>
  <c r="AG35" i="7"/>
  <c r="EP6" i="11" s="1"/>
  <c r="U11" i="7"/>
  <c r="AC9" i="13" s="1"/>
  <c r="I40" i="7"/>
  <c r="Q34" i="13" s="1"/>
  <c r="J11" i="7"/>
  <c r="R9" i="13" s="1"/>
  <c r="U19" i="7"/>
  <c r="AC17" i="13" s="1"/>
  <c r="J23" i="7"/>
  <c r="R21" i="13" s="1"/>
  <c r="U28" i="7"/>
  <c r="AC26" i="13" s="1"/>
  <c r="U25" i="7"/>
  <c r="AC23" i="13" s="1"/>
  <c r="U34" i="7"/>
  <c r="AC32" i="13" s="1"/>
  <c r="J7" i="7"/>
  <c r="N7" i="7" s="1"/>
  <c r="Q20" i="7"/>
  <c r="Y18" i="13" s="1"/>
  <c r="J12" i="7"/>
  <c r="R10" i="13" s="1"/>
  <c r="J17" i="7"/>
  <c r="R15" i="13" s="1"/>
  <c r="J26" i="7"/>
  <c r="N26" i="7" s="1"/>
  <c r="J21" i="7"/>
  <c r="R19" i="13" s="1"/>
  <c r="Q11" i="7"/>
  <c r="Y9" i="13" s="1"/>
  <c r="T35" i="7"/>
  <c r="J14" i="7"/>
  <c r="N14" i="7" s="1"/>
  <c r="Q19" i="7"/>
  <c r="Y17" i="13" s="1"/>
  <c r="U23" i="7"/>
  <c r="AC21" i="13" s="1"/>
  <c r="Q28" i="7"/>
  <c r="Y26" i="13" s="1"/>
  <c r="J39" i="7"/>
  <c r="Q46" i="7"/>
  <c r="Y40" i="13" s="1"/>
  <c r="Q58" i="7"/>
  <c r="Y52" i="13" s="1"/>
  <c r="I7" i="7"/>
  <c r="U7" i="7"/>
  <c r="AD8" i="7"/>
  <c r="I13" i="7"/>
  <c r="Q11" i="13" s="1"/>
  <c r="U13" i="7"/>
  <c r="AC11" i="13" s="1"/>
  <c r="I18" i="7"/>
  <c r="Q16" i="13" s="1"/>
  <c r="U18" i="7"/>
  <c r="AC16" i="13" s="1"/>
  <c r="Q27" i="7"/>
  <c r="Y25" i="13" s="1"/>
  <c r="Q31" i="7"/>
  <c r="Y29" i="13" s="1"/>
  <c r="K35" i="7"/>
  <c r="I41" i="7"/>
  <c r="Q35" i="13" s="1"/>
  <c r="I44" i="7"/>
  <c r="Q38" i="13" s="1"/>
  <c r="I47" i="7"/>
  <c r="Q41" i="13" s="1"/>
  <c r="I50" i="7"/>
  <c r="Q44" i="13" s="1"/>
  <c r="I53" i="7"/>
  <c r="Q47" i="13" s="1"/>
  <c r="I56" i="7"/>
  <c r="Q50" i="13" s="1"/>
  <c r="I59" i="7"/>
  <c r="Q53" i="13" s="1"/>
  <c r="I62" i="7"/>
  <c r="Q56" i="13" s="1"/>
  <c r="AA19" i="13"/>
  <c r="I28" i="7"/>
  <c r="Q26" i="13" s="1"/>
  <c r="I34" i="7"/>
  <c r="Q32" i="13" s="1"/>
  <c r="L35" i="7"/>
  <c r="I12" i="7"/>
  <c r="Q10" i="13" s="1"/>
  <c r="U12" i="7"/>
  <c r="AC10" i="13" s="1"/>
  <c r="M35" i="7"/>
  <c r="AB5" i="13"/>
  <c r="Q10" i="7"/>
  <c r="Y8" i="13" s="1"/>
  <c r="I17" i="7"/>
  <c r="Q15" i="13" s="1"/>
  <c r="U17" i="7"/>
  <c r="AC15" i="13" s="1"/>
  <c r="I21" i="7"/>
  <c r="Q19" i="13" s="1"/>
  <c r="AE19" i="13" s="1"/>
  <c r="Q23" i="7"/>
  <c r="Y21" i="13" s="1"/>
  <c r="I24" i="7"/>
  <c r="Q22" i="13" s="1"/>
  <c r="AE22" i="13" s="1"/>
  <c r="U24" i="7"/>
  <c r="AC22" i="13" s="1"/>
  <c r="Q26" i="7"/>
  <c r="Y24" i="13" s="1"/>
  <c r="Q30" i="7"/>
  <c r="Y28" i="13" s="1"/>
  <c r="Q39" i="7"/>
  <c r="U40" i="7"/>
  <c r="AC34" i="13" s="1"/>
  <c r="Q42" i="7"/>
  <c r="Y36" i="13" s="1"/>
  <c r="U43" i="7"/>
  <c r="AC37" i="13" s="1"/>
  <c r="Q45" i="7"/>
  <c r="Y39" i="13" s="1"/>
  <c r="U46" i="7"/>
  <c r="AC40" i="13" s="1"/>
  <c r="Q48" i="7"/>
  <c r="Y42" i="13" s="1"/>
  <c r="U49" i="7"/>
  <c r="AC43" i="13" s="1"/>
  <c r="Q51" i="7"/>
  <c r="Y45" i="13" s="1"/>
  <c r="U52" i="7"/>
  <c r="Z18" i="7" s="1"/>
  <c r="Q54" i="7"/>
  <c r="Y48" i="13" s="1"/>
  <c r="U55" i="7"/>
  <c r="AC49" i="13" s="1"/>
  <c r="Q57" i="7"/>
  <c r="Y51" i="13" s="1"/>
  <c r="U58" i="7"/>
  <c r="AC52" i="13" s="1"/>
  <c r="Q60" i="7"/>
  <c r="Y54" i="13" s="1"/>
  <c r="U61" i="7"/>
  <c r="AC55" i="13" s="1"/>
  <c r="Q63" i="7"/>
  <c r="Y57" i="13" s="1"/>
  <c r="U66" i="7"/>
  <c r="AC60" i="13" s="1"/>
  <c r="AA13" i="13"/>
  <c r="AA21" i="13"/>
  <c r="AA29" i="13"/>
  <c r="Q16" i="7"/>
  <c r="Y14" i="13" s="1"/>
  <c r="Q15" i="7"/>
  <c r="Y13" i="13" s="1"/>
  <c r="I27" i="7"/>
  <c r="Q25" i="13" s="1"/>
  <c r="U27" i="7"/>
  <c r="AC25" i="13" s="1"/>
  <c r="I31" i="7"/>
  <c r="Q29" i="13" s="1"/>
  <c r="O35" i="7"/>
  <c r="I43" i="7"/>
  <c r="Q37" i="13" s="1"/>
  <c r="I46" i="7"/>
  <c r="Q40" i="13" s="1"/>
  <c r="I49" i="7"/>
  <c r="Q43" i="13" s="1"/>
  <c r="I52" i="7"/>
  <c r="Q46" i="13" s="1"/>
  <c r="I55" i="7"/>
  <c r="Q49" i="13" s="1"/>
  <c r="I58" i="7"/>
  <c r="Q52" i="13" s="1"/>
  <c r="I61" i="7"/>
  <c r="Q55" i="13" s="1"/>
  <c r="I66" i="7"/>
  <c r="Q60" i="13" s="1"/>
  <c r="D35" i="7"/>
  <c r="P35" i="7"/>
  <c r="CQ6" i="11" s="1"/>
  <c r="Q29" i="7"/>
  <c r="Y27" i="13" s="1"/>
  <c r="E35" i="7"/>
  <c r="AA23" i="13"/>
  <c r="I16" i="7"/>
  <c r="Q14" i="13" s="1"/>
  <c r="U16" i="7"/>
  <c r="AC14" i="13" s="1"/>
  <c r="I20" i="7"/>
  <c r="Q18" i="13" s="1"/>
  <c r="U20" i="7"/>
  <c r="AC18" i="13" s="1"/>
  <c r="Q8" i="7"/>
  <c r="Y6" i="13" s="1"/>
  <c r="I10" i="7"/>
  <c r="Q8" i="13" s="1"/>
  <c r="U10" i="7"/>
  <c r="AC8" i="13" s="1"/>
  <c r="Q22" i="7"/>
  <c r="Y20" i="13" s="1"/>
  <c r="I23" i="7"/>
  <c r="Q21" i="13" s="1"/>
  <c r="AE21" i="13" s="1"/>
  <c r="Q25" i="7"/>
  <c r="Y23" i="13" s="1"/>
  <c r="I26" i="7"/>
  <c r="Q24" i="13" s="1"/>
  <c r="U26" i="7"/>
  <c r="AC24" i="13" s="1"/>
  <c r="I30" i="7"/>
  <c r="Q28" i="13" s="1"/>
  <c r="U30" i="7"/>
  <c r="AC28" i="13" s="1"/>
  <c r="F35" i="7"/>
  <c r="U39" i="7"/>
  <c r="Q41" i="7"/>
  <c r="Y35" i="13" s="1"/>
  <c r="U42" i="7"/>
  <c r="AC36" i="13" s="1"/>
  <c r="Q44" i="7"/>
  <c r="Y38" i="13" s="1"/>
  <c r="U45" i="7"/>
  <c r="AC39" i="13" s="1"/>
  <c r="Q47" i="7"/>
  <c r="Y41" i="13" s="1"/>
  <c r="U48" i="7"/>
  <c r="AC42" i="13" s="1"/>
  <c r="Q50" i="7"/>
  <c r="Y44" i="13" s="1"/>
  <c r="U51" i="7"/>
  <c r="AC45" i="13" s="1"/>
  <c r="Q53" i="7"/>
  <c r="Y47" i="13" s="1"/>
  <c r="U54" i="7"/>
  <c r="AC48" i="13" s="1"/>
  <c r="Q56" i="7"/>
  <c r="Y50" i="13" s="1"/>
  <c r="U57" i="7"/>
  <c r="AC51" i="13" s="1"/>
  <c r="Q59" i="7"/>
  <c r="Y53" i="13" s="1"/>
  <c r="U60" i="7"/>
  <c r="AC54" i="13" s="1"/>
  <c r="Q62" i="7"/>
  <c r="Y56" i="13" s="1"/>
  <c r="U63" i="7"/>
  <c r="AC57" i="13" s="1"/>
  <c r="Q14" i="7"/>
  <c r="Y12" i="13" s="1"/>
  <c r="Q7" i="7"/>
  <c r="AD10" i="7"/>
  <c r="BX6" i="11" s="1"/>
  <c r="Q13" i="7"/>
  <c r="Y11" i="13" s="1"/>
  <c r="I15" i="7"/>
  <c r="Q13" i="13" s="1"/>
  <c r="Q18" i="7"/>
  <c r="Y16" i="13" s="1"/>
  <c r="G35" i="7"/>
  <c r="S35" i="7"/>
  <c r="AB26" i="7" s="1"/>
  <c r="AD26" i="7" s="1"/>
  <c r="I39" i="7"/>
  <c r="I42" i="7"/>
  <c r="Q36" i="13" s="1"/>
  <c r="I45" i="7"/>
  <c r="Q39" i="13" s="1"/>
  <c r="I48" i="7"/>
  <c r="Q42" i="13" s="1"/>
  <c r="I51" i="7"/>
  <c r="Q45" i="13" s="1"/>
  <c r="I54" i="7"/>
  <c r="Q48" i="13" s="1"/>
  <c r="I57" i="7"/>
  <c r="Q51" i="13" s="1"/>
  <c r="I60" i="7"/>
  <c r="Q54" i="13" s="1"/>
  <c r="I63" i="7"/>
  <c r="Q57" i="13" s="1"/>
  <c r="I19" i="7"/>
  <c r="Q17" i="13" s="1"/>
  <c r="H35" i="7"/>
  <c r="I11" i="7"/>
  <c r="Q9" i="13" s="1"/>
  <c r="Q12" i="7"/>
  <c r="Y10" i="13" s="1"/>
  <c r="I29" i="7"/>
  <c r="Q27" i="13" s="1"/>
  <c r="U29" i="7"/>
  <c r="AC27" i="13" s="1"/>
  <c r="I9" i="7"/>
  <c r="Q7" i="13" s="1"/>
  <c r="I14" i="7"/>
  <c r="Q12" i="13" s="1"/>
  <c r="U14" i="7"/>
  <c r="AC12" i="13" s="1"/>
  <c r="I8" i="7"/>
  <c r="Q6" i="13" s="1"/>
  <c r="U8" i="7"/>
  <c r="AC6" i="13" s="1"/>
  <c r="Q17" i="7"/>
  <c r="Y15" i="13" s="1"/>
  <c r="Q21" i="7"/>
  <c r="Y19" i="13" s="1"/>
  <c r="I22" i="7"/>
  <c r="Q20" i="13" s="1"/>
  <c r="AE20" i="13" s="1"/>
  <c r="U22" i="7"/>
  <c r="AC20" i="13" s="1"/>
  <c r="Q24" i="7"/>
  <c r="Y22" i="13" s="1"/>
  <c r="I25" i="7"/>
  <c r="Q23" i="13" s="1"/>
  <c r="AE23" i="13" s="1"/>
  <c r="Q40" i="7"/>
  <c r="Y34" i="13" s="1"/>
  <c r="U41" i="7"/>
  <c r="AC35" i="13" s="1"/>
  <c r="Q43" i="7"/>
  <c r="Y37" i="13" s="1"/>
  <c r="U44" i="7"/>
  <c r="AC38" i="13" s="1"/>
  <c r="U47" i="7"/>
  <c r="AC41" i="13" s="1"/>
  <c r="Q49" i="7"/>
  <c r="Y43" i="13" s="1"/>
  <c r="Q52" i="7"/>
  <c r="Y46" i="13" s="1"/>
  <c r="U53" i="7"/>
  <c r="Q55" i="7"/>
  <c r="Y49" i="13" s="1"/>
  <c r="U56" i="7"/>
  <c r="AC50" i="13" s="1"/>
  <c r="U59" i="7"/>
  <c r="AC53" i="13" s="1"/>
  <c r="Q61" i="7"/>
  <c r="Y55" i="13" s="1"/>
  <c r="Q66" i="7"/>
  <c r="Y60" i="13" s="1"/>
  <c r="AI6" i="11"/>
  <c r="O5" i="9"/>
  <c r="D10" i="9"/>
  <c r="BT6" i="11"/>
  <c r="S4" i="9" l="1"/>
  <c r="EO6" i="11"/>
  <c r="S5" i="9"/>
  <c r="EQ6" i="11"/>
  <c r="CL6" i="11"/>
  <c r="K70" i="7"/>
  <c r="DD6" i="11"/>
  <c r="L70" i="7"/>
  <c r="U68" i="7"/>
  <c r="DM6" i="11" s="1"/>
  <c r="Q68" i="7"/>
  <c r="DI6" i="11" s="1"/>
  <c r="I68" i="7"/>
  <c r="R33" i="13"/>
  <c r="J68" i="7"/>
  <c r="P5" i="9" s="1"/>
  <c r="BG6" i="11" s="1"/>
  <c r="AE10" i="7"/>
  <c r="DX4" i="11" s="1"/>
  <c r="DE6" i="11"/>
  <c r="M70" i="7"/>
  <c r="AE53" i="13"/>
  <c r="AE51" i="13"/>
  <c r="AE43" i="13"/>
  <c r="AE44" i="13"/>
  <c r="AE12" i="13"/>
  <c r="AE41" i="13"/>
  <c r="AE38" i="13"/>
  <c r="AE48" i="13"/>
  <c r="AE8" i="13"/>
  <c r="AE55" i="13"/>
  <c r="AE6" i="13"/>
  <c r="AE25" i="13"/>
  <c r="AE29" i="13"/>
  <c r="AE39" i="13"/>
  <c r="AE49" i="13"/>
  <c r="AE36" i="13"/>
  <c r="AE60" i="13"/>
  <c r="AE54" i="13"/>
  <c r="AE13" i="13"/>
  <c r="AE17" i="13"/>
  <c r="AE28" i="13"/>
  <c r="AE37" i="13"/>
  <c r="AE47" i="13"/>
  <c r="AE46" i="13"/>
  <c r="AE32" i="13"/>
  <c r="AE42" i="13"/>
  <c r="AE11" i="13"/>
  <c r="AE16" i="13"/>
  <c r="AE27" i="13"/>
  <c r="AE35" i="13"/>
  <c r="AE34" i="13"/>
  <c r="AE7" i="13"/>
  <c r="AE24" i="13"/>
  <c r="AE57" i="13"/>
  <c r="AE52" i="13"/>
  <c r="AE10" i="13"/>
  <c r="AE15" i="13"/>
  <c r="AE26" i="13"/>
  <c r="AE56" i="13"/>
  <c r="AE18" i="13"/>
  <c r="AE45" i="13"/>
  <c r="AE40" i="13"/>
  <c r="AE50" i="13"/>
  <c r="AE9" i="13"/>
  <c r="AE14" i="13"/>
  <c r="AC25" i="7"/>
  <c r="AB25" i="7"/>
  <c r="AC5" i="9" s="1"/>
  <c r="AC47" i="13"/>
  <c r="AB18" i="7"/>
  <c r="AB20" i="7" s="1"/>
  <c r="Y4" i="9"/>
  <c r="Y2" i="15" s="1"/>
  <c r="AC26" i="7"/>
  <c r="AC4" i="9"/>
  <c r="AC46" i="13"/>
  <c r="Z20" i="7"/>
  <c r="D26" i="9"/>
  <c r="DO6" i="11"/>
  <c r="AB6" i="9"/>
  <c r="AA6" i="9"/>
  <c r="DN6" i="11"/>
  <c r="D25" i="9"/>
  <c r="AB6" i="7"/>
  <c r="BU6" i="11" s="1"/>
  <c r="AK35" i="7"/>
  <c r="AK68" i="7"/>
  <c r="AL35" i="7"/>
  <c r="Z31" i="13"/>
  <c r="N41" i="7"/>
  <c r="N53" i="7"/>
  <c r="V47" i="13" s="1"/>
  <c r="N58" i="7"/>
  <c r="V52" i="13" s="1"/>
  <c r="AG70" i="7"/>
  <c r="N48" i="7"/>
  <c r="V42" i="13" s="1"/>
  <c r="N27" i="7"/>
  <c r="V25" i="13" s="1"/>
  <c r="N50" i="7"/>
  <c r="V44" i="13" s="1"/>
  <c r="N60" i="7"/>
  <c r="V54" i="13" s="1"/>
  <c r="N66" i="7"/>
  <c r="N16" i="7"/>
  <c r="R16" i="7" s="1"/>
  <c r="Z14" i="13" s="1"/>
  <c r="R6" i="13"/>
  <c r="N43" i="7"/>
  <c r="V37" i="13" s="1"/>
  <c r="N40" i="7"/>
  <c r="V34" i="13" s="1"/>
  <c r="N47" i="7"/>
  <c r="V41" i="13" s="1"/>
  <c r="AF70" i="7"/>
  <c r="N46" i="7"/>
  <c r="N57" i="7"/>
  <c r="V51" i="13" s="1"/>
  <c r="N62" i="7"/>
  <c r="V56" i="13" s="1"/>
  <c r="R23" i="13"/>
  <c r="N55" i="7"/>
  <c r="V49" i="13" s="1"/>
  <c r="N42" i="7"/>
  <c r="N12" i="7"/>
  <c r="V10" i="13" s="1"/>
  <c r="N18" i="7"/>
  <c r="V16" i="13" s="1"/>
  <c r="N22" i="7"/>
  <c r="R22" i="7" s="1"/>
  <c r="Z20" i="13" s="1"/>
  <c r="N51" i="7"/>
  <c r="N23" i="7"/>
  <c r="R23" i="7" s="1"/>
  <c r="Z21" i="13" s="1"/>
  <c r="N56" i="7"/>
  <c r="V50" i="13" s="1"/>
  <c r="N29" i="7"/>
  <c r="R29" i="7" s="1"/>
  <c r="Z27" i="13" s="1"/>
  <c r="N34" i="7"/>
  <c r="V32" i="13" s="1"/>
  <c r="N49" i="7"/>
  <c r="V43" i="13" s="1"/>
  <c r="N28" i="7"/>
  <c r="R28" i="7" s="1"/>
  <c r="Z26" i="13" s="1"/>
  <c r="CU6" i="11"/>
  <c r="R28" i="13"/>
  <c r="R24" i="13"/>
  <c r="N61" i="7"/>
  <c r="N19" i="7"/>
  <c r="V17" i="13" s="1"/>
  <c r="R5" i="13"/>
  <c r="N52" i="7"/>
  <c r="V46" i="13" s="1"/>
  <c r="N54" i="7"/>
  <c r="V48" i="13" s="1"/>
  <c r="N20" i="7"/>
  <c r="V18" i="13" s="1"/>
  <c r="N9" i="7"/>
  <c r="R9" i="7" s="1"/>
  <c r="Z7" i="13" s="1"/>
  <c r="R12" i="13"/>
  <c r="N31" i="7"/>
  <c r="R31" i="7" s="1"/>
  <c r="Z29" i="13" s="1"/>
  <c r="N63" i="7"/>
  <c r="V57" i="13" s="1"/>
  <c r="N45" i="7"/>
  <c r="V39" i="13" s="1"/>
  <c r="N44" i="7"/>
  <c r="N21" i="7"/>
  <c r="R21" i="7" s="1"/>
  <c r="Z19" i="13" s="1"/>
  <c r="N10" i="7"/>
  <c r="V8" i="13" s="1"/>
  <c r="N15" i="7"/>
  <c r="V13" i="13" s="1"/>
  <c r="N17" i="7"/>
  <c r="V15" i="13" s="1"/>
  <c r="N13" i="7"/>
  <c r="N24" i="7"/>
  <c r="R24" i="7" s="1"/>
  <c r="Z22" i="13" s="1"/>
  <c r="N59" i="7"/>
  <c r="V53" i="13" s="1"/>
  <c r="J35" i="7"/>
  <c r="N11" i="7"/>
  <c r="R11" i="7" s="1"/>
  <c r="Z9" i="13" s="1"/>
  <c r="N39" i="7"/>
  <c r="DA6" i="11"/>
  <c r="F5" i="9"/>
  <c r="AW6" i="11" s="1"/>
  <c r="H70" i="7"/>
  <c r="CY6" i="11"/>
  <c r="D5" i="9"/>
  <c r="AU6" i="11" s="1"/>
  <c r="F70" i="7"/>
  <c r="CM6" i="11"/>
  <c r="CI6" i="11"/>
  <c r="F4" i="9"/>
  <c r="P70" i="7"/>
  <c r="AC33" i="13"/>
  <c r="CZ6" i="11"/>
  <c r="E5" i="9"/>
  <c r="AV6" i="11" s="1"/>
  <c r="G70" i="7"/>
  <c r="CE6" i="11"/>
  <c r="B4" i="9"/>
  <c r="CT6" i="11"/>
  <c r="X4" i="9"/>
  <c r="X2" i="15" s="1"/>
  <c r="M5" i="9"/>
  <c r="BD6" i="11" s="1"/>
  <c r="O70" i="7"/>
  <c r="Y33" i="13"/>
  <c r="V28" i="13"/>
  <c r="R30" i="7"/>
  <c r="Z28" i="13" s="1"/>
  <c r="CH6" i="11"/>
  <c r="E4" i="9"/>
  <c r="Q33" i="13"/>
  <c r="AE33" i="13" s="1"/>
  <c r="CF6" i="11"/>
  <c r="C4" i="9"/>
  <c r="V6" i="13"/>
  <c r="R8" i="7"/>
  <c r="Z6" i="13" s="1"/>
  <c r="CN6" i="11"/>
  <c r="V24" i="13"/>
  <c r="R26" i="7"/>
  <c r="Z24" i="13" s="1"/>
  <c r="V23" i="13"/>
  <c r="R25" i="7"/>
  <c r="Z23" i="13" s="1"/>
  <c r="X5" i="9"/>
  <c r="S70" i="7"/>
  <c r="CG6" i="11"/>
  <c r="D4" i="9"/>
  <c r="M4" i="9"/>
  <c r="CP6" i="11"/>
  <c r="BW6" i="11"/>
  <c r="V4" i="9"/>
  <c r="CW6" i="11"/>
  <c r="B5" i="9"/>
  <c r="AS6" i="11" s="1"/>
  <c r="D70" i="7"/>
  <c r="V12" i="13"/>
  <c r="R14" i="7"/>
  <c r="Z12" i="13" s="1"/>
  <c r="CX6" i="11"/>
  <c r="C5" i="9"/>
  <c r="E70" i="7"/>
  <c r="AC5" i="13"/>
  <c r="U35" i="7"/>
  <c r="Y5" i="9"/>
  <c r="T70" i="7"/>
  <c r="Y5" i="13"/>
  <c r="Q35" i="7"/>
  <c r="CR6" i="11" s="1"/>
  <c r="V5" i="13"/>
  <c r="R7" i="7"/>
  <c r="Q5" i="13"/>
  <c r="AE5" i="13" s="1"/>
  <c r="I35" i="7"/>
  <c r="BF6" i="11"/>
  <c r="O6" i="9"/>
  <c r="BM6" i="11"/>
  <c r="S6" i="9" l="1"/>
  <c r="T6" i="9" s="1"/>
  <c r="J22" i="9" s="1"/>
  <c r="AD12" i="7"/>
  <c r="BY6" i="11" s="1"/>
  <c r="EM6" i="11"/>
  <c r="AD14" i="7"/>
  <c r="BZ6" i="11" s="1"/>
  <c r="EN6" i="11"/>
  <c r="R39" i="7"/>
  <c r="Z33" i="13" s="1"/>
  <c r="N68" i="7"/>
  <c r="DF6" i="11" s="1"/>
  <c r="D20" i="9"/>
  <c r="W8" i="7"/>
  <c r="W4" i="9"/>
  <c r="W6" i="9" s="1"/>
  <c r="V6" i="9"/>
  <c r="AD25" i="7"/>
  <c r="AD27" i="7" s="1"/>
  <c r="AP6" i="11"/>
  <c r="AD18" i="7"/>
  <c r="AC18" i="7"/>
  <c r="AC19" i="7"/>
  <c r="AD19" i="7"/>
  <c r="D27" i="9"/>
  <c r="DP6" i="11"/>
  <c r="AD5" i="9"/>
  <c r="D28" i="9"/>
  <c r="AD4" i="9"/>
  <c r="AE2" i="15" s="1"/>
  <c r="AC6" i="9"/>
  <c r="BJ6" i="11"/>
  <c r="AB2" i="15"/>
  <c r="BI6" i="11"/>
  <c r="AA2" i="15"/>
  <c r="R61" i="7"/>
  <c r="Z55" i="13" s="1"/>
  <c r="V55" i="13"/>
  <c r="R44" i="7"/>
  <c r="Z38" i="13" s="1"/>
  <c r="V38" i="13"/>
  <c r="R42" i="7"/>
  <c r="Z36" i="13" s="1"/>
  <c r="V36" i="13"/>
  <c r="R66" i="7"/>
  <c r="Z60" i="13" s="1"/>
  <c r="V60" i="13"/>
  <c r="R46" i="7"/>
  <c r="Z40" i="13" s="1"/>
  <c r="V40" i="13"/>
  <c r="R51" i="7"/>
  <c r="Z45" i="13" s="1"/>
  <c r="V45" i="13"/>
  <c r="R41" i="7"/>
  <c r="Z35" i="13" s="1"/>
  <c r="V35" i="13"/>
  <c r="R27" i="7"/>
  <c r="Z25" i="13" s="1"/>
  <c r="R58" i="7"/>
  <c r="Z52" i="13" s="1"/>
  <c r="R53" i="7"/>
  <c r="Z47" i="13" s="1"/>
  <c r="V14" i="13"/>
  <c r="R60" i="7"/>
  <c r="Z54" i="13" s="1"/>
  <c r="R50" i="7"/>
  <c r="Z44" i="13" s="1"/>
  <c r="R48" i="7"/>
  <c r="Z42" i="13" s="1"/>
  <c r="R43" i="7"/>
  <c r="Z37" i="13" s="1"/>
  <c r="R54" i="7"/>
  <c r="Z48" i="13" s="1"/>
  <c r="R45" i="7"/>
  <c r="Z39" i="13" s="1"/>
  <c r="V21" i="13"/>
  <c r="R57" i="7"/>
  <c r="Z51" i="13" s="1"/>
  <c r="R40" i="7"/>
  <c r="Z34" i="13" s="1"/>
  <c r="V20" i="13"/>
  <c r="R10" i="7"/>
  <c r="Z8" i="13" s="1"/>
  <c r="R19" i="7"/>
  <c r="Z17" i="13" s="1"/>
  <c r="V9" i="13"/>
  <c r="R47" i="7"/>
  <c r="Z41" i="13" s="1"/>
  <c r="R56" i="7"/>
  <c r="Z50" i="13" s="1"/>
  <c r="R52" i="7"/>
  <c r="Z46" i="13" s="1"/>
  <c r="V27" i="13"/>
  <c r="R62" i="7"/>
  <c r="Z56" i="13" s="1"/>
  <c r="V26" i="13"/>
  <c r="V29" i="13"/>
  <c r="R49" i="7"/>
  <c r="Z43" i="13" s="1"/>
  <c r="V7" i="13"/>
  <c r="R34" i="7"/>
  <c r="Z32" i="13" s="1"/>
  <c r="V22" i="13"/>
  <c r="R20" i="7"/>
  <c r="Z18" i="13" s="1"/>
  <c r="R12" i="7"/>
  <c r="Z10" i="13" s="1"/>
  <c r="R55" i="7"/>
  <c r="Z49" i="13" s="1"/>
  <c r="R18" i="7"/>
  <c r="Z16" i="13" s="1"/>
  <c r="V19" i="13"/>
  <c r="R15" i="7"/>
  <c r="Z13" i="13" s="1"/>
  <c r="N35" i="7"/>
  <c r="I4" i="9" s="1"/>
  <c r="R59" i="7"/>
  <c r="Z53" i="13" s="1"/>
  <c r="R63" i="7"/>
  <c r="Z57" i="13" s="1"/>
  <c r="J70" i="7"/>
  <c r="DC6" i="11"/>
  <c r="R17" i="7"/>
  <c r="Z15" i="13" s="1"/>
  <c r="V11" i="13"/>
  <c r="R13" i="7"/>
  <c r="Z11" i="13" s="1"/>
  <c r="V33" i="13"/>
  <c r="Y6" i="9"/>
  <c r="P4" i="9"/>
  <c r="P6" i="9" s="1"/>
  <c r="D21" i="9" s="1"/>
  <c r="CK6" i="11"/>
  <c r="M6" i="9"/>
  <c r="AG6" i="11"/>
  <c r="Y6" i="11"/>
  <c r="EG6" i="11" s="1"/>
  <c r="E6" i="9"/>
  <c r="Q70" i="7"/>
  <c r="D6" i="9"/>
  <c r="X6" i="11"/>
  <c r="EF6" i="11" s="1"/>
  <c r="CV6" i="11"/>
  <c r="Z4" i="9"/>
  <c r="Z2" i="15" s="1"/>
  <c r="AT6" i="11"/>
  <c r="B6" i="9"/>
  <c r="V6" i="11"/>
  <c r="ED6" i="11" s="1"/>
  <c r="Z6" i="11"/>
  <c r="EH6" i="11" s="1"/>
  <c r="F6" i="9"/>
  <c r="Q5" i="9"/>
  <c r="BH6" i="11" s="1"/>
  <c r="C6" i="9"/>
  <c r="W6" i="11"/>
  <c r="CJ6" i="11"/>
  <c r="G4" i="9"/>
  <c r="AM6" i="11"/>
  <c r="DX6" i="11" s="1"/>
  <c r="AO6" i="11"/>
  <c r="X6" i="9"/>
  <c r="Z5" i="9"/>
  <c r="U70" i="7"/>
  <c r="Z5" i="13"/>
  <c r="G5" i="9"/>
  <c r="AX6" i="11" s="1"/>
  <c r="DB6" i="11"/>
  <c r="I70" i="7"/>
  <c r="J21" i="9" l="1"/>
  <c r="CC6" i="11" s="1"/>
  <c r="DW6" i="11" s="1"/>
  <c r="D36" i="9" s="1"/>
  <c r="AC32" i="7" s="1"/>
  <c r="AD13" i="7"/>
  <c r="AD15" i="7" s="1"/>
  <c r="CA6" i="11" s="1"/>
  <c r="DV6" i="11" s="1"/>
  <c r="D35" i="9" s="1"/>
  <c r="AC31" i="7" s="1"/>
  <c r="EE6" i="11"/>
  <c r="ES6" i="11" s="1"/>
  <c r="R68" i="7"/>
  <c r="DJ6" i="11" s="1"/>
  <c r="AN6" i="11"/>
  <c r="D37" i="9"/>
  <c r="AC33" i="7" s="1"/>
  <c r="DQ6" i="11"/>
  <c r="AF2" i="15"/>
  <c r="AG2" i="15" s="1"/>
  <c r="D29" i="9"/>
  <c r="AC20" i="7"/>
  <c r="AD20" i="7"/>
  <c r="DR6" i="11"/>
  <c r="AD6" i="9"/>
  <c r="D9" i="9"/>
  <c r="CO6" i="11"/>
  <c r="AB16" i="7"/>
  <c r="BK6" i="11"/>
  <c r="AC2" i="15"/>
  <c r="AD2" i="15" s="1"/>
  <c r="H4" i="9"/>
  <c r="R35" i="7"/>
  <c r="CS6" i="11" s="1"/>
  <c r="AB7" i="7"/>
  <c r="BV6" i="11" s="1"/>
  <c r="H5" i="9"/>
  <c r="J5" i="9" s="1"/>
  <c r="K5" i="9" s="1"/>
  <c r="N70" i="7"/>
  <c r="AJ6" i="11"/>
  <c r="Q4" i="9"/>
  <c r="AK6" i="11" s="1"/>
  <c r="AQ6" i="11"/>
  <c r="Z6" i="9"/>
  <c r="AA6" i="11"/>
  <c r="EI6" i="11" s="1"/>
  <c r="G6" i="9"/>
  <c r="D12" i="9"/>
  <c r="D13" i="9" s="1"/>
  <c r="N6" i="9"/>
  <c r="CD6" i="11" l="1"/>
  <c r="EL6" i="11"/>
  <c r="D11" i="9"/>
  <c r="BN6" i="11" s="1"/>
  <c r="AB6" i="11"/>
  <c r="J4" i="9"/>
  <c r="BL6" i="11"/>
  <c r="I5" i="9"/>
  <c r="AZ6" i="11" s="1"/>
  <c r="AY6" i="11"/>
  <c r="H6" i="9"/>
  <c r="R70" i="7"/>
  <c r="Q6" i="9"/>
  <c r="D22" i="9" s="1"/>
  <c r="AC6" i="11"/>
  <c r="BO6" i="11"/>
  <c r="D14" i="9"/>
  <c r="BQ6" i="11" s="1"/>
  <c r="BP6" i="11"/>
  <c r="DU6" i="11" s="1"/>
  <c r="BA6" i="11"/>
  <c r="BB6" i="11"/>
  <c r="EK6" i="11" l="1"/>
  <c r="EJ6" i="11"/>
  <c r="D16" i="9"/>
  <c r="BS6" i="11" s="1"/>
  <c r="DT6" i="11" s="1"/>
  <c r="DY6" i="11" s="1"/>
  <c r="J6" i="9"/>
  <c r="K6" i="9" s="1"/>
  <c r="D34" i="9"/>
  <c r="AC30" i="7" s="1"/>
  <c r="AD6" i="11"/>
  <c r="K4" i="9"/>
  <c r="D15" i="9"/>
  <c r="BR6" i="11" s="1"/>
  <c r="I6" i="9"/>
  <c r="D17" i="9" l="1"/>
  <c r="AE6" i="11"/>
  <c r="D33" i="9" l="1"/>
  <c r="AC29" i="7" s="1"/>
  <c r="D38" i="9"/>
  <c r="AC34" i="7" s="1"/>
</calcChain>
</file>

<file path=xl/sharedStrings.xml><?xml version="1.0" encoding="utf-8"?>
<sst xmlns="http://schemas.openxmlformats.org/spreadsheetml/2006/main" count="38659" uniqueCount="4001">
  <si>
    <t>S. No</t>
  </si>
  <si>
    <t>Submitted By</t>
  </si>
  <si>
    <t>Submitted On</t>
  </si>
  <si>
    <t>Quality</t>
  </si>
  <si>
    <t>Case No</t>
  </si>
  <si>
    <t>Case Title</t>
  </si>
  <si>
    <t>Court Level</t>
  </si>
  <si>
    <t>Case Type</t>
  </si>
  <si>
    <t>Session</t>
  </si>
  <si>
    <t>Civil</t>
  </si>
  <si>
    <t>aaaa</t>
  </si>
  <si>
    <t>cccc</t>
  </si>
  <si>
    <t>Case Details</t>
  </si>
  <si>
    <t>Criminal</t>
  </si>
  <si>
    <t>Category Per PQS</t>
  </si>
  <si>
    <t>Homicide</t>
  </si>
  <si>
    <t>Attempt to Murder</t>
  </si>
  <si>
    <t>Cases triable u/s 30 Cr.PC</t>
  </si>
  <si>
    <t>Hurt Cases</t>
  </si>
  <si>
    <t>Abduction/Kidnapping</t>
  </si>
  <si>
    <t>Hudood Laws</t>
  </si>
  <si>
    <t>Foreigner Act</t>
  </si>
  <si>
    <t>Complaint Cases</t>
  </si>
  <si>
    <t>Offences against Children</t>
  </si>
  <si>
    <t>Offences Against Property</t>
  </si>
  <si>
    <t>Sexual Offences</t>
  </si>
  <si>
    <t>Minor Offences</t>
  </si>
  <si>
    <t>Proceedings u/s 514 Cr. P.C</t>
  </si>
  <si>
    <t>Security Proceedings u/s 107/51</t>
  </si>
  <si>
    <t>Bail Applications</t>
  </si>
  <si>
    <t>Other Local and Special Laws</t>
  </si>
  <si>
    <t>Cases under other laws</t>
  </si>
  <si>
    <t>Criminal Appeals</t>
  </si>
  <si>
    <t>Criminal Revisions</t>
  </si>
  <si>
    <t>Criminal Matters</t>
  </si>
  <si>
    <t xml:space="preserve">Date of Institution </t>
  </si>
  <si>
    <t>Date of Transfer In</t>
  </si>
  <si>
    <t>Date of Disposal Transfer Out</t>
  </si>
  <si>
    <t>Disposal Mode Flag</t>
  </si>
  <si>
    <t>Remarks</t>
  </si>
  <si>
    <t>CR-001</t>
  </si>
  <si>
    <t>CR-002</t>
  </si>
  <si>
    <t>CR-003</t>
  </si>
  <si>
    <t>CR-004</t>
  </si>
  <si>
    <t>CR-005</t>
  </si>
  <si>
    <t>CR-006</t>
  </si>
  <si>
    <t>CR-007</t>
  </si>
  <si>
    <t>CR-008</t>
  </si>
  <si>
    <t>CR-009</t>
  </si>
  <si>
    <t>CR-010</t>
  </si>
  <si>
    <t>CR-011</t>
  </si>
  <si>
    <t>CR-012</t>
  </si>
  <si>
    <t>CR-013</t>
  </si>
  <si>
    <t>CR-014</t>
  </si>
  <si>
    <t>CR-015</t>
  </si>
  <si>
    <t>CR-016</t>
  </si>
  <si>
    <t>CR-017</t>
  </si>
  <si>
    <t>CR-018</t>
  </si>
  <si>
    <t>CR-019</t>
  </si>
  <si>
    <t>CR-020</t>
  </si>
  <si>
    <t>CR-021</t>
  </si>
  <si>
    <t>CR-022</t>
  </si>
  <si>
    <t>CR-023</t>
  </si>
  <si>
    <t>CR-024</t>
  </si>
  <si>
    <t>CR-025</t>
  </si>
  <si>
    <t>CR-026</t>
  </si>
  <si>
    <t>Civil-001</t>
  </si>
  <si>
    <t>Civil Suits (Original Jurisdiction)</t>
  </si>
  <si>
    <t>Civil-002</t>
  </si>
  <si>
    <t>Civil Suit</t>
  </si>
  <si>
    <t>Civil-003</t>
  </si>
  <si>
    <t>Suits under Order 37 CPC</t>
  </si>
  <si>
    <t>Civil-004</t>
  </si>
  <si>
    <t>Custody of Minors</t>
  </si>
  <si>
    <t>Civil-005</t>
  </si>
  <si>
    <t>Defamation</t>
  </si>
  <si>
    <t>Civil-006</t>
  </si>
  <si>
    <t>Family Court Cases</t>
  </si>
  <si>
    <t>Civil-007</t>
  </si>
  <si>
    <t>Succession Cases</t>
  </si>
  <si>
    <t>Civil-008</t>
  </si>
  <si>
    <t>Guardianship Cases</t>
  </si>
  <si>
    <t>Civil-009</t>
  </si>
  <si>
    <t>Land Acquisition Cases</t>
  </si>
  <si>
    <t>Civil-010</t>
  </si>
  <si>
    <t>Rent Cases</t>
  </si>
  <si>
    <t>Civil-011</t>
  </si>
  <si>
    <t>Proceeding under KP Mental Health Act 2017</t>
  </si>
  <si>
    <t>Civil-012</t>
  </si>
  <si>
    <t>Tribunal Cases</t>
  </si>
  <si>
    <t>Civil-013</t>
  </si>
  <si>
    <t>Small Claims</t>
  </si>
  <si>
    <t>Civil-014</t>
  </si>
  <si>
    <t>Civil-015</t>
  </si>
  <si>
    <t>Execution Petitions</t>
  </si>
  <si>
    <t>Civil-016</t>
  </si>
  <si>
    <t>Civil-017</t>
  </si>
  <si>
    <t>Civil-018</t>
  </si>
  <si>
    <t>Others</t>
  </si>
  <si>
    <t>Civil-019</t>
  </si>
  <si>
    <t>Application under section 12(2) CPC</t>
  </si>
  <si>
    <t>Civil-020</t>
  </si>
  <si>
    <t>Review Petition</t>
  </si>
  <si>
    <t>Civil-021</t>
  </si>
  <si>
    <t>Objection Petitions</t>
  </si>
  <si>
    <t>Civil-022</t>
  </si>
  <si>
    <t>Civil Appeals</t>
  </si>
  <si>
    <t>Guardianship and Succession Appeals</t>
  </si>
  <si>
    <t>Family Appeals</t>
  </si>
  <si>
    <t>Rent Appeals</t>
  </si>
  <si>
    <t>Civil Matters</t>
  </si>
  <si>
    <t>CR-005-Abduction/Kidnapping</t>
  </si>
  <si>
    <t>Civil Disposal Modes</t>
  </si>
  <si>
    <t>Contested- Trial Based</t>
  </si>
  <si>
    <t>Contested- Non Trial Based</t>
  </si>
  <si>
    <t>Uncontested</t>
  </si>
  <si>
    <t>In Default</t>
  </si>
  <si>
    <t>Transfer Out</t>
  </si>
  <si>
    <t>Criminal Disposal Modes</t>
  </si>
  <si>
    <t>Pleadguilty</t>
  </si>
  <si>
    <t>Civil Matters Status</t>
  </si>
  <si>
    <t>Criminal Matters Status</t>
  </si>
  <si>
    <t>Attendance</t>
  </si>
  <si>
    <t>Written Statement</t>
  </si>
  <si>
    <t>Framing of Charge</t>
  </si>
  <si>
    <t>Framing of Issues</t>
  </si>
  <si>
    <t>Prosecution Evidence</t>
  </si>
  <si>
    <t>Plaintiff Evidence</t>
  </si>
  <si>
    <t>Statement of Accuse</t>
  </si>
  <si>
    <t>Defendant Evidence</t>
  </si>
  <si>
    <t>Defense Evidence (If Any)</t>
  </si>
  <si>
    <t>Arguments</t>
  </si>
  <si>
    <t>Order</t>
  </si>
  <si>
    <t>NP</t>
  </si>
  <si>
    <t>a</t>
  </si>
  <si>
    <t>b</t>
  </si>
  <si>
    <t>c</t>
  </si>
  <si>
    <t>Please Select Designation</t>
  </si>
  <si>
    <t>District &amp; Sessions Judge</t>
  </si>
  <si>
    <t>Addl: District &amp; Sessions Judge</t>
  </si>
  <si>
    <t>Senior Civil Judge (Judicial) \ Judicial Magistrate</t>
  </si>
  <si>
    <t>Senior Civil Judge (Admin) \ Judicial Magistrate</t>
  </si>
  <si>
    <t>Civil Judge/Judicial Magistrate</t>
  </si>
  <si>
    <t>Please Select the Court</t>
  </si>
  <si>
    <t>DSJ Court</t>
  </si>
  <si>
    <t>ADSJ-1</t>
  </si>
  <si>
    <t>ADSJ-2</t>
  </si>
  <si>
    <t>ADSJ-3</t>
  </si>
  <si>
    <t>ADSJ-4</t>
  </si>
  <si>
    <t>ADSJ-5</t>
  </si>
  <si>
    <t>ADSJ-6</t>
  </si>
  <si>
    <t>ADSJ-7</t>
  </si>
  <si>
    <t>ADSJ-8</t>
  </si>
  <si>
    <t>ADSJ-9</t>
  </si>
  <si>
    <t>ADSJ-10</t>
  </si>
  <si>
    <t>ADSJ-11</t>
  </si>
  <si>
    <t>ADSJ-12</t>
  </si>
  <si>
    <t>ADSJ-13</t>
  </si>
  <si>
    <t>ADSJ-14</t>
  </si>
  <si>
    <t>ADSJ-15</t>
  </si>
  <si>
    <t>ADSJ-16</t>
  </si>
  <si>
    <t>ADSJ-17</t>
  </si>
  <si>
    <t>ADSJ-18</t>
  </si>
  <si>
    <t>ADSJ-19</t>
  </si>
  <si>
    <t>ADSJ-20</t>
  </si>
  <si>
    <t>ADSJ-21</t>
  </si>
  <si>
    <t>ADJ-1</t>
  </si>
  <si>
    <t>ADJ-2</t>
  </si>
  <si>
    <t>ADJ-3</t>
  </si>
  <si>
    <t>ADJ-4</t>
  </si>
  <si>
    <t>ADJ-5</t>
  </si>
  <si>
    <t>ADJ-6</t>
  </si>
  <si>
    <t>ADJ-7</t>
  </si>
  <si>
    <t>ADJ-8</t>
  </si>
  <si>
    <t>ADJ-9</t>
  </si>
  <si>
    <t>ADJ-10</t>
  </si>
  <si>
    <t>ADJ-11</t>
  </si>
  <si>
    <t>ADJ-12</t>
  </si>
  <si>
    <t>ADJ-13</t>
  </si>
  <si>
    <t>ADJ-14</t>
  </si>
  <si>
    <t>ADJ-15</t>
  </si>
  <si>
    <t>ADJ-16</t>
  </si>
  <si>
    <t>ADJ-17</t>
  </si>
  <si>
    <t>ADJ-18</t>
  </si>
  <si>
    <t>ADJ-19</t>
  </si>
  <si>
    <t>ASJ-1</t>
  </si>
  <si>
    <t>ASJ-2</t>
  </si>
  <si>
    <t>ASJ-3</t>
  </si>
  <si>
    <t>ASJ-4</t>
  </si>
  <si>
    <t>ASJ-5</t>
  </si>
  <si>
    <t>ASJ-6</t>
  </si>
  <si>
    <t>ASJ-7</t>
  </si>
  <si>
    <t>ASJ-8</t>
  </si>
  <si>
    <t>ASJ-9</t>
  </si>
  <si>
    <t>ASJ-10</t>
  </si>
  <si>
    <t>ASJ-11</t>
  </si>
  <si>
    <t>ASJ-12</t>
  </si>
  <si>
    <t>ASJ-13</t>
  </si>
  <si>
    <t>ASJ-14</t>
  </si>
  <si>
    <t>ASJ-15</t>
  </si>
  <si>
    <t>ASJ-16</t>
  </si>
  <si>
    <t>ASJ-17</t>
  </si>
  <si>
    <t>ASJ-18</t>
  </si>
  <si>
    <t>ASJ-19</t>
  </si>
  <si>
    <t>ASJ-20</t>
  </si>
  <si>
    <t>SCJ/JM</t>
  </si>
  <si>
    <t>SCJ</t>
  </si>
  <si>
    <t>CJ/JM-1</t>
  </si>
  <si>
    <t>CJ/JM-2</t>
  </si>
  <si>
    <t>CJ/JM-3</t>
  </si>
  <si>
    <t>CJ/JM-4</t>
  </si>
  <si>
    <t>CJ/JM-5</t>
  </si>
  <si>
    <t>CJ/JM-6</t>
  </si>
  <si>
    <t>CJ/JM-7</t>
  </si>
  <si>
    <t>CJ/JM-8</t>
  </si>
  <si>
    <t>CJ/JM-9</t>
  </si>
  <si>
    <t>CJ/JM-10</t>
  </si>
  <si>
    <t>CJ/JM-11</t>
  </si>
  <si>
    <t>CJ/JM-12</t>
  </si>
  <si>
    <t>CJ/JM-13</t>
  </si>
  <si>
    <t>CJ/JM-14</t>
  </si>
  <si>
    <t>CJ/JM-15</t>
  </si>
  <si>
    <t>CJ/JM-16</t>
  </si>
  <si>
    <t>CJ/JM-17</t>
  </si>
  <si>
    <t>CJ/JM-18</t>
  </si>
  <si>
    <t>CJ/JM-19</t>
  </si>
  <si>
    <t>CJ/JM-20</t>
  </si>
  <si>
    <t>CJ/JM-21</t>
  </si>
  <si>
    <t>CJ/JM-22</t>
  </si>
  <si>
    <t>CJ/JM-23</t>
  </si>
  <si>
    <t>CJ/JM-24</t>
  </si>
  <si>
    <t>CJ/JM-25</t>
  </si>
  <si>
    <t>CJ/JM-26</t>
  </si>
  <si>
    <t>CJ/JM-27</t>
  </si>
  <si>
    <t>CJ/JM-28</t>
  </si>
  <si>
    <t>CJ/JM-29</t>
  </si>
  <si>
    <t>CJ/JM-30</t>
  </si>
  <si>
    <t>CJ-1</t>
  </si>
  <si>
    <t>CJ-2</t>
  </si>
  <si>
    <t>CJ-3</t>
  </si>
  <si>
    <t>CJ-4</t>
  </si>
  <si>
    <t>CJ-5</t>
  </si>
  <si>
    <t>CJ-6</t>
  </si>
  <si>
    <t>CJ-7</t>
  </si>
  <si>
    <t>CJ-8</t>
  </si>
  <si>
    <t>CJ-9</t>
  </si>
  <si>
    <t>CJ-10</t>
  </si>
  <si>
    <t>CJ-11</t>
  </si>
  <si>
    <t>CJ-12</t>
  </si>
  <si>
    <t>CJ-13</t>
  </si>
  <si>
    <t>CJ-14</t>
  </si>
  <si>
    <t>CJ-15</t>
  </si>
  <si>
    <t>CJ-16</t>
  </si>
  <si>
    <t>CJ-17</t>
  </si>
  <si>
    <t>CJ-18</t>
  </si>
  <si>
    <t>CJ-19</t>
  </si>
  <si>
    <t>CJ-20</t>
  </si>
  <si>
    <t>CJ-21</t>
  </si>
  <si>
    <t>CJ-22</t>
  </si>
  <si>
    <t>CJ-23</t>
  </si>
  <si>
    <t>CJ-24</t>
  </si>
  <si>
    <t>JM-1</t>
  </si>
  <si>
    <t>JM-2</t>
  </si>
  <si>
    <t>JM-3</t>
  </si>
  <si>
    <t>JM-4</t>
  </si>
  <si>
    <t>JM-5</t>
  </si>
  <si>
    <t>JM-6</t>
  </si>
  <si>
    <t>JM-7</t>
  </si>
  <si>
    <t>JM-8</t>
  </si>
  <si>
    <t>JM-9</t>
  </si>
  <si>
    <t>JM-10</t>
  </si>
  <si>
    <t>JM-11</t>
  </si>
  <si>
    <t>RC-1</t>
  </si>
  <si>
    <t>RC-2</t>
  </si>
  <si>
    <t>RC-3</t>
  </si>
  <si>
    <t>RC-4</t>
  </si>
  <si>
    <t>RC-5</t>
  </si>
  <si>
    <t>RC-6</t>
  </si>
  <si>
    <t>FC-1</t>
  </si>
  <si>
    <t>FC-2</t>
  </si>
  <si>
    <t>FC-3</t>
  </si>
  <si>
    <t>FC-4</t>
  </si>
  <si>
    <t>FC-5</t>
  </si>
  <si>
    <t>FC-6</t>
  </si>
  <si>
    <t>Please Select District - Station</t>
  </si>
  <si>
    <t>Peshawar</t>
  </si>
  <si>
    <t>Nowshera</t>
  </si>
  <si>
    <t>Charsadda</t>
  </si>
  <si>
    <t>Charsadda - Shabqadar</t>
  </si>
  <si>
    <t>Charsadda - Tangi</t>
  </si>
  <si>
    <t>Mardan</t>
  </si>
  <si>
    <t>Mardan - Takht Bahi</t>
  </si>
  <si>
    <t>Mardan - Katlang</t>
  </si>
  <si>
    <t>Swabi</t>
  </si>
  <si>
    <t>Swabi - Lahor</t>
  </si>
  <si>
    <t>Malakand</t>
  </si>
  <si>
    <t>Malakand - Dargai</t>
  </si>
  <si>
    <t>Malakand - Batkhela</t>
  </si>
  <si>
    <t>Swat</t>
  </si>
  <si>
    <t>Swat - Matta</t>
  </si>
  <si>
    <t>Swat - Bahrain</t>
  </si>
  <si>
    <t>Swat - Babozai</t>
  </si>
  <si>
    <t>Swat - Khwazakhela</t>
  </si>
  <si>
    <t>Swat - Kabal</t>
  </si>
  <si>
    <t>Shangla</t>
  </si>
  <si>
    <t>Shangla - Puran</t>
  </si>
  <si>
    <t>Shangla - Alpuri</t>
  </si>
  <si>
    <t>Shangla - Bisham</t>
  </si>
  <si>
    <t>Shangla - Chakaiser</t>
  </si>
  <si>
    <t>Lower Dir - Timergara</t>
  </si>
  <si>
    <t>Lower Dir - Chakdara</t>
  </si>
  <si>
    <t>Lower Dir - Samarbagh</t>
  </si>
  <si>
    <t>Lower Dir - Lal Qilla</t>
  </si>
  <si>
    <t>Lower Dir - Balambat</t>
  </si>
  <si>
    <t>Upper Dir</t>
  </si>
  <si>
    <t>Upper Dir - Wari</t>
  </si>
  <si>
    <t>Upper Dir - Sheringal</t>
  </si>
  <si>
    <t>Buner</t>
  </si>
  <si>
    <t>Buner - Tootalai</t>
  </si>
  <si>
    <t>Chitral</t>
  </si>
  <si>
    <t>Chitral - Booni</t>
  </si>
  <si>
    <t>Chitral - Drosh</t>
  </si>
  <si>
    <t>Chitral - Mastuj</t>
  </si>
  <si>
    <t>DIKhan</t>
  </si>
  <si>
    <t>DIKhan - Kulachi</t>
  </si>
  <si>
    <t>DIKhan - Paharpur</t>
  </si>
  <si>
    <t>DIKhan - Daraban</t>
  </si>
  <si>
    <t>DIKhan - Paroa</t>
  </si>
  <si>
    <t>Tank</t>
  </si>
  <si>
    <t>Bannu</t>
  </si>
  <si>
    <t>Lakki</t>
  </si>
  <si>
    <t>Lakki - Sarai Naurang</t>
  </si>
  <si>
    <t>Kohat</t>
  </si>
  <si>
    <t>Kohat - Lachi</t>
  </si>
  <si>
    <t>Hangu</t>
  </si>
  <si>
    <t>Hangu - Thall</t>
  </si>
  <si>
    <t>Karak</t>
  </si>
  <si>
    <t>Karak - Takht Nusrati</t>
  </si>
  <si>
    <t>Karak - Banda Daud Shah</t>
  </si>
  <si>
    <t>Haripur</t>
  </si>
  <si>
    <t>Haripur - Ghazi</t>
  </si>
  <si>
    <t>Abbottabad</t>
  </si>
  <si>
    <t>Abbottabad - Havelian</t>
  </si>
  <si>
    <t>Abbottabad - Nathiagali</t>
  </si>
  <si>
    <t>Mansehra</t>
  </si>
  <si>
    <t>Mansehra - Balakot</t>
  </si>
  <si>
    <t>Mansehra - Oghi</t>
  </si>
  <si>
    <t>Batagram</t>
  </si>
  <si>
    <t>Batagram - Allai</t>
  </si>
  <si>
    <t>Kohistan Upper</t>
  </si>
  <si>
    <t>Torghar</t>
  </si>
  <si>
    <t>Torghar - Kandar</t>
  </si>
  <si>
    <t>Kohistan Lower</t>
  </si>
  <si>
    <r>
      <t>Kolai Pallas</t>
    </r>
    <r>
      <rPr>
        <sz val="10"/>
        <color indexed="8"/>
        <rFont val="Arial"/>
        <family val="2"/>
      </rPr>
      <t> Kohistan</t>
    </r>
  </si>
  <si>
    <t>Bajaur District</t>
  </si>
  <si>
    <t>Khyber District</t>
  </si>
  <si>
    <t>Mohmand District</t>
  </si>
  <si>
    <t>Orakzai District</t>
  </si>
  <si>
    <t>Kurram District</t>
  </si>
  <si>
    <t>Kurram - Sadda</t>
  </si>
  <si>
    <t>North Waziristan District</t>
  </si>
  <si>
    <t>South Waziristan District</t>
  </si>
  <si>
    <t>Chitral Upper</t>
  </si>
  <si>
    <t>Please Select the Court Status</t>
  </si>
  <si>
    <t>Child Protection</t>
  </si>
  <si>
    <t>Special Task</t>
  </si>
  <si>
    <t>MTMC</t>
  </si>
  <si>
    <t>MCAC</t>
  </si>
  <si>
    <t>MCTC</t>
  </si>
  <si>
    <t>Family Court</t>
  </si>
  <si>
    <t>GBV</t>
  </si>
  <si>
    <t>Rent Court</t>
  </si>
  <si>
    <t>Incumbency Status (as per policy endnotes):</t>
  </si>
  <si>
    <t>1 - Remains in this court full month</t>
  </si>
  <si>
    <t>3 - Join this court in mid and completed the month</t>
  </si>
  <si>
    <t>4 - Join this court in mid and did not completed the month</t>
  </si>
  <si>
    <t>Flag Status</t>
  </si>
  <si>
    <t>Opening Flag</t>
  </si>
  <si>
    <t>Institution Flag</t>
  </si>
  <si>
    <t>Disposal Flag</t>
  </si>
  <si>
    <t>Other Institution Flag</t>
  </si>
  <si>
    <t>TranferIn Flag</t>
  </si>
  <si>
    <t>Transger Out Flag</t>
  </si>
  <si>
    <t>Contested Flag</t>
  </si>
  <si>
    <t>Other Uncontested</t>
  </si>
  <si>
    <t>Diposal 1</t>
  </si>
  <si>
    <t>Disposal 2</t>
  </si>
  <si>
    <t>Pending 1</t>
  </si>
  <si>
    <t>Pending 2</t>
  </si>
  <si>
    <t>S.No.</t>
  </si>
  <si>
    <t>PID</t>
  </si>
  <si>
    <t>Name</t>
  </si>
  <si>
    <t>PHC0063-62-1</t>
  </si>
  <si>
    <t>Mr. Muhammad Asim Imam</t>
  </si>
  <si>
    <t>PHC0082-61-1</t>
  </si>
  <si>
    <t>Mr. Azhar Khan</t>
  </si>
  <si>
    <t>PHC0089-61-1</t>
  </si>
  <si>
    <t>Mr. Khawaja Wajih-ud-Din</t>
  </si>
  <si>
    <t>PHC0090-66-3</t>
  </si>
  <si>
    <t>Mr. Muhammad Hamid Mughal</t>
  </si>
  <si>
    <t>PHC0091-65-3</t>
  </si>
  <si>
    <t>Mr. Shafiq Ahmad Tanoli</t>
  </si>
  <si>
    <t>PHC0092-64-1</t>
  </si>
  <si>
    <t>Mr. Muhammad Jamal</t>
  </si>
  <si>
    <t>PHC0093-63-1</t>
  </si>
  <si>
    <t>Mr. Fazal Subhan</t>
  </si>
  <si>
    <t>PHC0094-62-1</t>
  </si>
  <si>
    <t>Mr. Shahid Khan</t>
  </si>
  <si>
    <t>PHC0095-68-1</t>
  </si>
  <si>
    <t>Dr. Khurshid Iqbal</t>
  </si>
  <si>
    <t>PHC0097-67-1</t>
  </si>
  <si>
    <t>Mr. Babar Ali Khan</t>
  </si>
  <si>
    <t>PHC0098-64-1</t>
  </si>
  <si>
    <t>Mr. Abdul Ghafoor Qureshi</t>
  </si>
  <si>
    <t>PHC0099-64-1</t>
  </si>
  <si>
    <t>Mr. Muhammad Younas Khan</t>
  </si>
  <si>
    <t>PHC0103-70-1</t>
  </si>
  <si>
    <t>Mrs. Farah Jamshed</t>
  </si>
  <si>
    <t>PHC0105-67-1</t>
  </si>
  <si>
    <t>Syed Ihtesham Ali</t>
  </si>
  <si>
    <t>PHC0107-67-1</t>
  </si>
  <si>
    <t>Mr. Inamullah Khan</t>
  </si>
  <si>
    <t>PHC0108-64-1</t>
  </si>
  <si>
    <t>Mr. Muhammad Younis</t>
  </si>
  <si>
    <t>PHC0109-62-1</t>
  </si>
  <si>
    <t>Mr. Muhammad Farhatullah Khan</t>
  </si>
  <si>
    <t>PHC0111-67-1</t>
  </si>
  <si>
    <t>Mr. Muhammad Adil Khan</t>
  </si>
  <si>
    <t>PHC0112-68-1</t>
  </si>
  <si>
    <t>Mr. Muhammad Asif Khan</t>
  </si>
  <si>
    <t>PHC0114-67-3</t>
  </si>
  <si>
    <t>Mr. Rajab Ali</t>
  </si>
  <si>
    <t>PHC0116-65-3</t>
  </si>
  <si>
    <t>Mr. Muhammad Iqbal Khan</t>
  </si>
  <si>
    <t>PHC0117-67-3</t>
  </si>
  <si>
    <t>Mr. Nasrullah Khan Gandapur</t>
  </si>
  <si>
    <t>PHC0118-66-3</t>
  </si>
  <si>
    <t>Mr. Ikhtiar Khan</t>
  </si>
  <si>
    <t>PHC0119-62-3</t>
  </si>
  <si>
    <t>Mr. Naveed Ahmad Khan</t>
  </si>
  <si>
    <t>PHC0121-62-3</t>
  </si>
  <si>
    <t>Mr. Ahmad Sultan Tareen</t>
  </si>
  <si>
    <t>PHC0122-66-3</t>
  </si>
  <si>
    <t>Mr. Gohar Rehman</t>
  </si>
  <si>
    <t>PHC0127-66-3</t>
  </si>
  <si>
    <t>Mr. Sajjad Ahmad</t>
  </si>
  <si>
    <t>PHC0128-65-3</t>
  </si>
  <si>
    <t>Mr. Muzzamil Shah Khattak</t>
  </si>
  <si>
    <t>PHC0129-62-3</t>
  </si>
  <si>
    <t>Mr. Liaqat Ali Khan Marwat</t>
  </si>
  <si>
    <t>PHC0131-66-3</t>
  </si>
  <si>
    <t>Mr. Badruddin</t>
  </si>
  <si>
    <t>PHC0133-67-3</t>
  </si>
  <si>
    <t>Mr. Salahuddin</t>
  </si>
  <si>
    <t>PHC0137-73-1</t>
  </si>
  <si>
    <t>Mr. Muhammad Asif-II</t>
  </si>
  <si>
    <t>PHC0140-67-1</t>
  </si>
  <si>
    <t>Mr. Fakhar Zaman</t>
  </si>
  <si>
    <t>PHC0141-69-1</t>
  </si>
  <si>
    <t>Syed Asghar Shah</t>
  </si>
  <si>
    <t>PHC0143-71-1</t>
  </si>
  <si>
    <t>Mr. Naseem Akbar</t>
  </si>
  <si>
    <t>PHC0144-70-1</t>
  </si>
  <si>
    <t>Syed Zamarrud Shah</t>
  </si>
  <si>
    <t>PHC0145-72-1</t>
  </si>
  <si>
    <t>Mr. Muhammad Zeb Khan</t>
  </si>
  <si>
    <t>PHC0146-67-1</t>
  </si>
  <si>
    <t>Mr. Shoaib Khan</t>
  </si>
  <si>
    <t>PHC0147-71-1</t>
  </si>
  <si>
    <t>Mrs. Sofia Waqar Khattak</t>
  </si>
  <si>
    <t>PHC0148-69-1</t>
  </si>
  <si>
    <t>Mr. Muhammad Zafar</t>
  </si>
  <si>
    <t>PHC0149-64-1</t>
  </si>
  <si>
    <t>Mr. Muhammad Rauf Khan</t>
  </si>
  <si>
    <t>PHC0150-67-1</t>
  </si>
  <si>
    <t>Mr. Aurangzeb Khattak</t>
  </si>
  <si>
    <t>PHC0152-73-1</t>
  </si>
  <si>
    <t>Mr. Muhammad Aamir Nazir</t>
  </si>
  <si>
    <t>PHC0153-71-1</t>
  </si>
  <si>
    <t>Mr. Ihsanullah Khan Mahsud</t>
  </si>
  <si>
    <t>PHC0154-65-1</t>
  </si>
  <si>
    <t>Mr. Aurangzeb</t>
  </si>
  <si>
    <t>PHC0155-67-1</t>
  </si>
  <si>
    <t>Syed Aqeel Shah</t>
  </si>
  <si>
    <t>PHC0156-69-1</t>
  </si>
  <si>
    <t>Mr. Ashfaque Taj</t>
  </si>
  <si>
    <t>PHC0157-74-1</t>
  </si>
  <si>
    <t>Mr. Sohail Sheraz Noor Sani</t>
  </si>
  <si>
    <t>PHC0158-67-1</t>
  </si>
  <si>
    <t>Mr. Jehanzeb Shinwari</t>
  </si>
  <si>
    <t>PHC0159-68-1</t>
  </si>
  <si>
    <t>Mrs. Muneera Abbasi</t>
  </si>
  <si>
    <t>PHC0160-68-1</t>
  </si>
  <si>
    <t>Syed Anees Badshah Bukhari</t>
  </si>
  <si>
    <t>PHC0161-70-1</t>
  </si>
  <si>
    <t>Syed Ali Raza</t>
  </si>
  <si>
    <t>PHC0162-63-1</t>
  </si>
  <si>
    <t>Syed Kamal Hussain Shah</t>
  </si>
  <si>
    <t>PHC0163-66-1</t>
  </si>
  <si>
    <t>Mr. Azimullah Mishwani</t>
  </si>
  <si>
    <t>PHC0164-72-1</t>
  </si>
  <si>
    <t>Mr. Aamer Nazir Bhatti</t>
  </si>
  <si>
    <t>PHC0165-71-1</t>
  </si>
  <si>
    <t>Mrs. Rozina Rehman</t>
  </si>
  <si>
    <t>PHC0167-69-1</t>
  </si>
  <si>
    <t>Mr. Asad Hameed Khan</t>
  </si>
  <si>
    <t>PHC0168-70-1</t>
  </si>
  <si>
    <t>Mr. Muhammad Naseem</t>
  </si>
  <si>
    <t>PHC0169-68-1</t>
  </si>
  <si>
    <t>Mr. Tahir Mehmood</t>
  </si>
  <si>
    <t>PHC0173-69-1</t>
  </si>
  <si>
    <t>Mr. Muhammad Arshad</t>
  </si>
  <si>
    <t>PHC0175-72-1</t>
  </si>
  <si>
    <t>Mr. Safi-ullah Jan</t>
  </si>
  <si>
    <t>PHC0177-71-1</t>
  </si>
  <si>
    <t>Mr. Asghar Shah</t>
  </si>
  <si>
    <t>PHC0178-73-1</t>
  </si>
  <si>
    <t>Mr. Jehangir Khan</t>
  </si>
  <si>
    <t>PHC0182-72-1</t>
  </si>
  <si>
    <t>Syed Obaidullah Shah</t>
  </si>
  <si>
    <t>PHC0183-68-1</t>
  </si>
  <si>
    <t>Mr. Fazal Sattar</t>
  </si>
  <si>
    <t>PHC0184-73-1</t>
  </si>
  <si>
    <t>Mr. Khalid Khan Mohmand</t>
  </si>
  <si>
    <t>PHC0185-68-1</t>
  </si>
  <si>
    <t>Mr. Riaz Ahmad</t>
  </si>
  <si>
    <t>PHC0186-68-1</t>
  </si>
  <si>
    <t>Mr. Altafur Rehman</t>
  </si>
  <si>
    <t>PHC0187-68-1</t>
  </si>
  <si>
    <t>Mr. Javed ur Rehman</t>
  </si>
  <si>
    <t>PHC0188-69-1</t>
  </si>
  <si>
    <t>Mr. Liaqat Ali</t>
  </si>
  <si>
    <t>PHC0189-62-1</t>
  </si>
  <si>
    <t>Mr. Muhammad Arif Khan</t>
  </si>
  <si>
    <t>PHC0190-68-1</t>
  </si>
  <si>
    <t>Mr. Azhar Ali</t>
  </si>
  <si>
    <t>PHC0192-74-1</t>
  </si>
  <si>
    <t>Miss Kalsoom Azam</t>
  </si>
  <si>
    <t>PHC0193-73-1</t>
  </si>
  <si>
    <t>Mr. Amjad Zia Siddiqui</t>
  </si>
  <si>
    <t>PHC0194-71-1</t>
  </si>
  <si>
    <t>Mr. Haq Nawaz Khan</t>
  </si>
  <si>
    <t>PHC0195-65-1</t>
  </si>
  <si>
    <t>Miss Ambareen Naveed</t>
  </si>
  <si>
    <t>PHC0196-66-1</t>
  </si>
  <si>
    <t>Mr. Ijaz Ahmad</t>
  </si>
  <si>
    <t>PHC0197-62-1</t>
  </si>
  <si>
    <t>Syed Asghar Ali Shah</t>
  </si>
  <si>
    <t>PHC0200-71-1</t>
  </si>
  <si>
    <t>Mr. Hayat Gul</t>
  </si>
  <si>
    <t>PHC0203-68-1</t>
  </si>
  <si>
    <t>Mr. Inamullah Wazir</t>
  </si>
  <si>
    <t>PHC0204-75-1</t>
  </si>
  <si>
    <t>Mr. Irshad Ahmad Khan</t>
  </si>
  <si>
    <t>PHC0205-73-1</t>
  </si>
  <si>
    <t>Mr. Abid Sarwar</t>
  </si>
  <si>
    <t>PHC0206-73-1</t>
  </si>
  <si>
    <t>Miss Phool Bibi</t>
  </si>
  <si>
    <t>PHC0207-74-1</t>
  </si>
  <si>
    <t>Mr. Hidayatullah Khan</t>
  </si>
  <si>
    <t>PHC0208-68-1</t>
  </si>
  <si>
    <t>Mr. Haq Nawaz</t>
  </si>
  <si>
    <t>PHC0210-72-1</t>
  </si>
  <si>
    <t>Mr. Abdul Baseer</t>
  </si>
  <si>
    <t>PHC0211-71-1</t>
  </si>
  <si>
    <t>Mr. Ajmal Khan Wazir</t>
  </si>
  <si>
    <t>PHC0213-70-1</t>
  </si>
  <si>
    <t>Mr. Wali Muhammad Khan</t>
  </si>
  <si>
    <t>PHC0215-78-1</t>
  </si>
  <si>
    <t>Mr. Kashif Nadeem</t>
  </si>
  <si>
    <t>PHC0216-79-1</t>
  </si>
  <si>
    <t>Mrs. Sadia Arshad</t>
  </si>
  <si>
    <t>PHC0218-72-1</t>
  </si>
  <si>
    <t>Mr. Ijaz Rashid</t>
  </si>
  <si>
    <t>PHC0219-76-1</t>
  </si>
  <si>
    <t>Mr. Nadeem Muhammad</t>
  </si>
  <si>
    <t>PHC0220-75-1</t>
  </si>
  <si>
    <t>Mr. Muhammad Shoaib</t>
  </si>
  <si>
    <t>PHC0221-75-1</t>
  </si>
  <si>
    <t>Miss Zainab Rehman</t>
  </si>
  <si>
    <t>PHC0223-76-1</t>
  </si>
  <si>
    <t>Mr. Asif Rashid</t>
  </si>
  <si>
    <t>PHC0224-78-1</t>
  </si>
  <si>
    <t>Mr. Ghulam Abbas</t>
  </si>
  <si>
    <t>PHC0225-77-1</t>
  </si>
  <si>
    <t>Miss Hajira Rehman</t>
  </si>
  <si>
    <t>PHC0226-77-1</t>
  </si>
  <si>
    <t>Mr. Zia-ur-Rehman</t>
  </si>
  <si>
    <t>PHC0227-76-1</t>
  </si>
  <si>
    <t>Mr. Usman Wali</t>
  </si>
  <si>
    <t>PHC0228-73-1</t>
  </si>
  <si>
    <t>Mr. Abdul Jabbar</t>
  </si>
  <si>
    <t>PHC0229-76-1</t>
  </si>
  <si>
    <t>Miss Hina Khan</t>
  </si>
  <si>
    <t>PHC0232-77-1</t>
  </si>
  <si>
    <t>Miss Sumbal Naseer</t>
  </si>
  <si>
    <t>PHC0233-78-1</t>
  </si>
  <si>
    <t>Mr. Shah Wali Ullah Hamid Hashmi</t>
  </si>
  <si>
    <t>PHC0234-73-1</t>
  </si>
  <si>
    <t>Mr. Usman Bashir Khan</t>
  </si>
  <si>
    <t>PHC0235-73-1</t>
  </si>
  <si>
    <t>Miss Faryal Zia Mufti</t>
  </si>
  <si>
    <t>PHC0236-77-1</t>
  </si>
  <si>
    <t>Mr. Ali Gohar</t>
  </si>
  <si>
    <t>PHC0239-75-1</t>
  </si>
  <si>
    <t>Mr. Shaukat Ahmad Khan</t>
  </si>
  <si>
    <t>PHC0240-74-1</t>
  </si>
  <si>
    <t>Miss Sumera Wali</t>
  </si>
  <si>
    <t>PHC0241-78-1</t>
  </si>
  <si>
    <t>Mr. Ahmad Iftikhar</t>
  </si>
  <si>
    <t>PHC0242-73-1</t>
  </si>
  <si>
    <t>Mr. Dost Muhammad Khan</t>
  </si>
  <si>
    <t>PHC0243-77-1</t>
  </si>
  <si>
    <t>Mr. Tanveer Iqbal</t>
  </si>
  <si>
    <t>PHC0245-76-1</t>
  </si>
  <si>
    <t>Mr. Asad Ali</t>
  </si>
  <si>
    <t>PHC0246-78-1</t>
  </si>
  <si>
    <t>Miss Farzina Shaid</t>
  </si>
  <si>
    <t>PHC0248-76-1</t>
  </si>
  <si>
    <t>Mr. Ishfaq Ali Haider</t>
  </si>
  <si>
    <t>PHC0250-75-1</t>
  </si>
  <si>
    <t>Mr. Ihteshamul Haq Danishmand Khan</t>
  </si>
  <si>
    <t>PHC0251-75-1</t>
  </si>
  <si>
    <t>Miss Zeba Rasheed</t>
  </si>
  <si>
    <t>PHC0252-72-1</t>
  </si>
  <si>
    <t>Miss Aalia Sadia Lodhi</t>
  </si>
  <si>
    <t>PHC0254-73-1</t>
  </si>
  <si>
    <t>Miss Sadia Andaleeb</t>
  </si>
  <si>
    <t>PHC0255-74-1</t>
  </si>
  <si>
    <t>Mr. Muhammad Jamshed</t>
  </si>
  <si>
    <t>PHC0256-77-1</t>
  </si>
  <si>
    <t>Miss Nusrat Naz</t>
  </si>
  <si>
    <t>PHC0259-74-1</t>
  </si>
  <si>
    <t>Mr. Muhammad Asim</t>
  </si>
  <si>
    <t>PHC0260-74-1</t>
  </si>
  <si>
    <t>Mr. Arbab Sohail Hamid</t>
  </si>
  <si>
    <t>PHC0261-78-1</t>
  </si>
  <si>
    <t>Miss Shabana Mehsood</t>
  </si>
  <si>
    <t>PHC0264-80-1</t>
  </si>
  <si>
    <t>Miss Nadia Syed</t>
  </si>
  <si>
    <t>PHC0265-80-1</t>
  </si>
  <si>
    <t>Miss Wadeeya Mushtaq Malik</t>
  </si>
  <si>
    <t>PHC0267-77-1</t>
  </si>
  <si>
    <t>Mr Tufail Ahmad</t>
  </si>
  <si>
    <t>PHC0268-79-1</t>
  </si>
  <si>
    <t>Miss Lubna Zaman</t>
  </si>
  <si>
    <t>PHC0269-78-1</t>
  </si>
  <si>
    <t>Syed Iftekhar Shah</t>
  </si>
  <si>
    <t>PHC0271-76-1</t>
  </si>
  <si>
    <t>Miss Hussan Bano</t>
  </si>
  <si>
    <t>PHC0272-79-1</t>
  </si>
  <si>
    <t>Syed Hamid Qasim</t>
  </si>
  <si>
    <t>PHC0275-76-1</t>
  </si>
  <si>
    <t>Ms Saima Asim</t>
  </si>
  <si>
    <t>PHC0276-76-1</t>
  </si>
  <si>
    <t>Mr. Ajmal Tahir</t>
  </si>
  <si>
    <t>PHC0277-77-1</t>
  </si>
  <si>
    <t>Mr Abid Zaman</t>
  </si>
  <si>
    <t>PHC0278-76-1</t>
  </si>
  <si>
    <t>Mr Ahmad Ihsanullah Qureshi</t>
  </si>
  <si>
    <t>PHC0280-75-1</t>
  </si>
  <si>
    <t>Mr Malik Muhammad Hasnain</t>
  </si>
  <si>
    <t>PHC0281-72-1</t>
  </si>
  <si>
    <t>Mr. Ijaz-ul-Haq Awan</t>
  </si>
  <si>
    <t>PHC0283-76-1</t>
  </si>
  <si>
    <t>Mian Zahidullah Jan</t>
  </si>
  <si>
    <t>PHC0284-78-1</t>
  </si>
  <si>
    <t>Mr. Asim Riaz</t>
  </si>
  <si>
    <t>PHC0285-75-1</t>
  </si>
  <si>
    <t>Mr Abdul Basit</t>
  </si>
  <si>
    <t>PHC0286-72-1</t>
  </si>
  <si>
    <t>Mr Sultan Hussain</t>
  </si>
  <si>
    <t>PHC0287-76-1</t>
  </si>
  <si>
    <t>Mr Adil Zeib Khan</t>
  </si>
  <si>
    <t>PHC0288-79-1</t>
  </si>
  <si>
    <t>Syed Zahid Shah</t>
  </si>
  <si>
    <t>PHC0289-68-1</t>
  </si>
  <si>
    <t>Dr. Qazi Atta Ullah</t>
  </si>
  <si>
    <t>PHC0290-73-1</t>
  </si>
  <si>
    <t>Mr Amin Said</t>
  </si>
  <si>
    <t>PHC0291-75-1</t>
  </si>
  <si>
    <t>Mr Sher Aziz</t>
  </si>
  <si>
    <t>PHC0292-76-1</t>
  </si>
  <si>
    <t>Mr. Faisal Anjum</t>
  </si>
  <si>
    <t>PHC0294-78-1</t>
  </si>
  <si>
    <t>Miss Hina Mehwish</t>
  </si>
  <si>
    <t>PHC0295-76-1</t>
  </si>
  <si>
    <t>Raja Muhammad Shoaib Khan</t>
  </si>
  <si>
    <t>PHC0296-75-1</t>
  </si>
  <si>
    <t>Mr. Alamgir Shah</t>
  </si>
  <si>
    <t>PHC0297-73-1</t>
  </si>
  <si>
    <t>Mr. Nisar Muhammad Khan</t>
  </si>
  <si>
    <t>PHC0298-79-1</t>
  </si>
  <si>
    <t>Miss Javeria Sartaj</t>
  </si>
  <si>
    <t>PHC0299-78-1</t>
  </si>
  <si>
    <t>Miss Kiran Naz</t>
  </si>
  <si>
    <t>PHC0300-74-1</t>
  </si>
  <si>
    <t>Syed Mudassir Shah Termizi</t>
  </si>
  <si>
    <t>PHC0302-79-1</t>
  </si>
  <si>
    <t>Mr. Muhammad Ghayyas Khan</t>
  </si>
  <si>
    <t>PHC0303-79-1</t>
  </si>
  <si>
    <t>Mr. Wajid Ali</t>
  </si>
  <si>
    <t>PHC0304-68-1</t>
  </si>
  <si>
    <t>Mr. Muhammad Fiaz</t>
  </si>
  <si>
    <t>PHC0305-76-1</t>
  </si>
  <si>
    <t>Syed Shaukatullah Shah</t>
  </si>
  <si>
    <t>PHC0306-69-1</t>
  </si>
  <si>
    <t>Mr. Abdul Wahab Qureshi</t>
  </si>
  <si>
    <t>PHC0308-75-1</t>
  </si>
  <si>
    <t>Mr. Zaeem Ahmad</t>
  </si>
  <si>
    <t>PHC0309-75-1</t>
  </si>
  <si>
    <t>Mr. Abdul Majid</t>
  </si>
  <si>
    <t>PHC0310-77-1</t>
  </si>
  <si>
    <t>Mr. Fida Muhammad</t>
  </si>
  <si>
    <t>PHC0311-66-1</t>
  </si>
  <si>
    <t>Mr. Aman Ullah Khan</t>
  </si>
  <si>
    <t>PHC0312-73-1</t>
  </si>
  <si>
    <t>Mr. Muhammad Tayyib Jan</t>
  </si>
  <si>
    <t>PHC0313-78-1</t>
  </si>
  <si>
    <t>Mirza Muhammad Kashif</t>
  </si>
  <si>
    <t>PHC0315-76-1</t>
  </si>
  <si>
    <t>Mr. Afzal Ahmad</t>
  </si>
  <si>
    <t>PHC0316-65-1</t>
  </si>
  <si>
    <t>Mr. Attaullah Jan</t>
  </si>
  <si>
    <t>PHC0317-75-1</t>
  </si>
  <si>
    <t>Mr. Aftab Iqbal</t>
  </si>
  <si>
    <t>PHC0318-77-1</t>
  </si>
  <si>
    <t>Mr. Nasir Khan</t>
  </si>
  <si>
    <t>PHC0319-79-1</t>
  </si>
  <si>
    <t>Mr. Muhammad Faisal</t>
  </si>
  <si>
    <t>PHC0320-75-1</t>
  </si>
  <si>
    <t>Mr. Zafar Ullah</t>
  </si>
  <si>
    <t>PHC0321-78-1</t>
  </si>
  <si>
    <t>Mr. Muhammad Umer Al-Farooq</t>
  </si>
  <si>
    <t>PHC0323-76-1</t>
  </si>
  <si>
    <t>Mr. Tilla Muhammad</t>
  </si>
  <si>
    <t>PHC0324-78-1</t>
  </si>
  <si>
    <t>Mr. Fazal Gul</t>
  </si>
  <si>
    <t>PHC0325-78-1</t>
  </si>
  <si>
    <t>Mr. Shabbir Muhammad Durrani</t>
  </si>
  <si>
    <t>PHC0327-79-1</t>
  </si>
  <si>
    <t>Mr. Ikramullah</t>
  </si>
  <si>
    <t>PHC0328-76-1</t>
  </si>
  <si>
    <t>Mr. Abdul Salam Khan</t>
  </si>
  <si>
    <t>PHC0329-73-1</t>
  </si>
  <si>
    <t>Miss Aqsa Saeed</t>
  </si>
  <si>
    <t>PHC0330-75-1</t>
  </si>
  <si>
    <t>Mr. Tariq Abbas</t>
  </si>
  <si>
    <t>PHC0332-75-1</t>
  </si>
  <si>
    <t>Mr. Muhammad Iqbal</t>
  </si>
  <si>
    <t>PHC0334-77-1</t>
  </si>
  <si>
    <t>Mr. Muhammad Asif</t>
  </si>
  <si>
    <t>PHC0335-75-1</t>
  </si>
  <si>
    <t>Mr. Muhammad Asghar Ali</t>
  </si>
  <si>
    <t>PHC0336-78-1</t>
  </si>
  <si>
    <t>Mr. Assad Ullah</t>
  </si>
  <si>
    <t>PHC0337-79-1</t>
  </si>
  <si>
    <t>Mr. Shahid Mehmood</t>
  </si>
  <si>
    <t>PHC0338-73-1</t>
  </si>
  <si>
    <t>Mr. Ejaz ur Rehman Qazi</t>
  </si>
  <si>
    <t>PHC0339-76-1</t>
  </si>
  <si>
    <t>Miss Mah Jabeen</t>
  </si>
  <si>
    <t>PHC0340-77-1</t>
  </si>
  <si>
    <t>Mr. Naseer Ahmed</t>
  </si>
  <si>
    <t>PHC0341-67-3</t>
  </si>
  <si>
    <t>Mr. Kalim Arshad Khan</t>
  </si>
  <si>
    <t>PHC0342-69-1</t>
  </si>
  <si>
    <t>Miss Farhana Tabassum</t>
  </si>
  <si>
    <t>PHC0343-79-1</t>
  </si>
  <si>
    <t>Syed Hassan Raza Shah</t>
  </si>
  <si>
    <t>PHC0346-79-1</t>
  </si>
  <si>
    <t>Mr. Abdul Qayum Siddiqi</t>
  </si>
  <si>
    <t>PHC0347-74-1</t>
  </si>
  <si>
    <t>Mr. Nasrullah Khan</t>
  </si>
  <si>
    <t>PHC0348-78-1</t>
  </si>
  <si>
    <t>Mr. Ubaid Ullah</t>
  </si>
  <si>
    <t>PHC0349-79-1</t>
  </si>
  <si>
    <t>Mr. Muhammad Ayaz</t>
  </si>
  <si>
    <t>PHC0350-79-1</t>
  </si>
  <si>
    <t>Mr. Muhammad Ishaq</t>
  </si>
  <si>
    <t>PHC0351-79-1</t>
  </si>
  <si>
    <t>Mr. Muhammad Zahoor</t>
  </si>
  <si>
    <t>PHC0353-74-1</t>
  </si>
  <si>
    <t>Mr. Islam ud Din</t>
  </si>
  <si>
    <t>PHC0355-77-1</t>
  </si>
  <si>
    <t>Mr. Bakht Zada</t>
  </si>
  <si>
    <t>PHC0357-72-1</t>
  </si>
  <si>
    <t>Mr. Asmat Ullah</t>
  </si>
  <si>
    <t>PHC0358-80-1</t>
  </si>
  <si>
    <t>Sayed Fazal Wadood</t>
  </si>
  <si>
    <t>PHC0359-76-1</t>
  </si>
  <si>
    <t>Mr. Muhammad Qasim</t>
  </si>
  <si>
    <t>PHC0360-78-1</t>
  </si>
  <si>
    <t>Syed Murad Ali Shah</t>
  </si>
  <si>
    <t>PHC0362-72-1</t>
  </si>
  <si>
    <t>Miss Shah Sultan</t>
  </si>
  <si>
    <t>PHC0363-79-1</t>
  </si>
  <si>
    <t>Mr. Qaiser Khan Afridi</t>
  </si>
  <si>
    <t>PHC0364-75-1</t>
  </si>
  <si>
    <t>Mr. Ihsan ul Haq</t>
  </si>
  <si>
    <t>PHC0365-79-1</t>
  </si>
  <si>
    <t>Mr. Irshad Ali</t>
  </si>
  <si>
    <t>PHC0366-74-1</t>
  </si>
  <si>
    <t>Mr. Abdul Hassan Mohmand</t>
  </si>
  <si>
    <t>PHC0368-77-1</t>
  </si>
  <si>
    <t>Mr. Muhammad Ilyas Khan</t>
  </si>
  <si>
    <t>PHC0369-75-1</t>
  </si>
  <si>
    <t>Mr. Issa Khan</t>
  </si>
  <si>
    <t>PHC0370-79-1</t>
  </si>
  <si>
    <t>Mr. Adam Khan</t>
  </si>
  <si>
    <t>PHC0371-76-1</t>
  </si>
  <si>
    <t>Miss Shams-ul-Huda</t>
  </si>
  <si>
    <t>PHC0372-71-1</t>
  </si>
  <si>
    <t>Mrs. Nusrat Yasmeen Intekhab</t>
  </si>
  <si>
    <t>PHC0374-70-3</t>
  </si>
  <si>
    <t>Mr. Khalid Khan</t>
  </si>
  <si>
    <t>PHC0375-71-3</t>
  </si>
  <si>
    <t>Mr. Mamrez Khan Khalil</t>
  </si>
  <si>
    <t>PHC0378-72-3</t>
  </si>
  <si>
    <t>Ms. Farah Attaullah</t>
  </si>
  <si>
    <t>PHC0379-70-3</t>
  </si>
  <si>
    <t>Mrs. Shahnaz Hameed Khattak</t>
  </si>
  <si>
    <t>PHC0380-71-3</t>
  </si>
  <si>
    <t>Ms. Rashida Bano</t>
  </si>
  <si>
    <t>PHC0381-71-3</t>
  </si>
  <si>
    <t>Mr. Fareed Khan Alizai</t>
  </si>
  <si>
    <t>PHC0382-72-1</t>
  </si>
  <si>
    <t>Mr. Muhammad Sher Ali Khan</t>
  </si>
  <si>
    <t>PHC0383-73-1</t>
  </si>
  <si>
    <t>Mr. Inam Khan</t>
  </si>
  <si>
    <t>PHC0384-74-1</t>
  </si>
  <si>
    <t>Mr. Fazal Nasir Shah</t>
  </si>
  <si>
    <t>PHC0385-74-1</t>
  </si>
  <si>
    <t>Mr. Hussain Ali</t>
  </si>
  <si>
    <t>PHC0386-74-1</t>
  </si>
  <si>
    <t>Miss Haseena Saqlain</t>
  </si>
  <si>
    <t>PHC0388-75-1</t>
  </si>
  <si>
    <t>Mr. Shaukat Ali</t>
  </si>
  <si>
    <t>PHC0389-75-1</t>
  </si>
  <si>
    <t>Mr. Muhammad Mushtaq</t>
  </si>
  <si>
    <t>PHC0390-75-1</t>
  </si>
  <si>
    <t>Mr. Akbar Ali</t>
  </si>
  <si>
    <t>PHC0391-75-1</t>
  </si>
  <si>
    <t>Miss Imrana Shaheen</t>
  </si>
  <si>
    <t>PHC0393-76-1</t>
  </si>
  <si>
    <t>PHC0394-77-1</t>
  </si>
  <si>
    <t>Miss Quratul Ain Chand Irfan</t>
  </si>
  <si>
    <t>PHC0395-77-1</t>
  </si>
  <si>
    <t>Mr. Ijaz Younis</t>
  </si>
  <si>
    <t>PHC0396-77-1</t>
  </si>
  <si>
    <t>Mr. Shah Faisal</t>
  </si>
  <si>
    <t>PHC0397-77-1</t>
  </si>
  <si>
    <t>Mr. Ishtiaq Ahmad</t>
  </si>
  <si>
    <t>PHC0398-78-1</t>
  </si>
  <si>
    <t>Mr. Khalid Mansoor</t>
  </si>
  <si>
    <t>PHC0399-78-1</t>
  </si>
  <si>
    <t>Mr. Ijaz-ur-Rahman</t>
  </si>
  <si>
    <t>PHC0400-78-1</t>
  </si>
  <si>
    <t>Syed Israr Ali Shah</t>
  </si>
  <si>
    <t>PHC0401-78-1</t>
  </si>
  <si>
    <t>Miss Kiran Shaukat</t>
  </si>
  <si>
    <t>PHC0402-78-1</t>
  </si>
  <si>
    <t>Mr. Muhammad Irfan</t>
  </si>
  <si>
    <t>PHC0403-78-1</t>
  </si>
  <si>
    <t>Mr. Najeeb-ul-Haq</t>
  </si>
  <si>
    <t>PHC0405-79-1</t>
  </si>
  <si>
    <t>Mr. Muhammad Hanif</t>
  </si>
  <si>
    <t>PHC0406-79-1</t>
  </si>
  <si>
    <t>Mr. Muhammad Ilyas</t>
  </si>
  <si>
    <t>PHC0407-79-1</t>
  </si>
  <si>
    <t>Mr. Iftikhar Ahmad</t>
  </si>
  <si>
    <t>PHC0408-79-1</t>
  </si>
  <si>
    <t>Syeda Tehreema Sabahat</t>
  </si>
  <si>
    <t>PHC0409-79-1</t>
  </si>
  <si>
    <t>Mr. Muhammad Jamil Khan</t>
  </si>
  <si>
    <t>PHC0410-79-1</t>
  </si>
  <si>
    <t>Mr. Nadeem Akhtar</t>
  </si>
  <si>
    <t>PHC0411-79-1</t>
  </si>
  <si>
    <t>Mr. Asif Kamal</t>
  </si>
  <si>
    <t>PHC0412-80-1</t>
  </si>
  <si>
    <t>Mr. Sheraz Tariq</t>
  </si>
  <si>
    <t>PHC0413-80-1</t>
  </si>
  <si>
    <t>Mr. Khalid Anwar</t>
  </si>
  <si>
    <t>PHC0414-80-1</t>
  </si>
  <si>
    <t>Mr. Ishfaq Ahmad</t>
  </si>
  <si>
    <t>PHC0415-80-1</t>
  </si>
  <si>
    <t>Mr. Muhammad Rehan Samad</t>
  </si>
  <si>
    <t>PHC0416-80-1</t>
  </si>
  <si>
    <t>Miss Tania Hashmi</t>
  </si>
  <si>
    <t>PHC0417-81-1</t>
  </si>
  <si>
    <t>Mr. Shakeel Arshad</t>
  </si>
  <si>
    <t>PHC0418-81-1</t>
  </si>
  <si>
    <t>Mr. Hamid Kamal</t>
  </si>
  <si>
    <t>PHC0419-81-1</t>
  </si>
  <si>
    <t>Syed Mansoor Shah Bukhari</t>
  </si>
  <si>
    <t>PHC0420-81-1</t>
  </si>
  <si>
    <t>Mr. Shahzad Ali Khan</t>
  </si>
  <si>
    <t>PHC0421-81-1</t>
  </si>
  <si>
    <t>Ms Beenish Ismail Syed</t>
  </si>
  <si>
    <t>PHC0422-81-1</t>
  </si>
  <si>
    <t>Miss Nighat Bibi</t>
  </si>
  <si>
    <t>PHC0424-82-1</t>
  </si>
  <si>
    <t>Mr. Seemab Waheed Siddiqui</t>
  </si>
  <si>
    <t>PHC0425-82-1</t>
  </si>
  <si>
    <t>Mr. Farman Ullah</t>
  </si>
  <si>
    <t>PHC0426-82-1</t>
  </si>
  <si>
    <t>PHC0427-82-1</t>
  </si>
  <si>
    <t>Mr. Attaullah</t>
  </si>
  <si>
    <t>PHC0428-82-1</t>
  </si>
  <si>
    <t>Mr. Aftab Javed</t>
  </si>
  <si>
    <t>PHC0430-82-1</t>
  </si>
  <si>
    <t>Miss Marya Wajahat</t>
  </si>
  <si>
    <t>PHC0432-82-1</t>
  </si>
  <si>
    <t>Mr. Mohsin Abbas</t>
  </si>
  <si>
    <t>PHC0434-83-1</t>
  </si>
  <si>
    <t>Miss Nadia Gul Wazir</t>
  </si>
  <si>
    <t>PHC0435-83-1</t>
  </si>
  <si>
    <t>Mr. Imran Ullah</t>
  </si>
  <si>
    <t>PHC0436-84-1</t>
  </si>
  <si>
    <t>Miss Sidra Azmat</t>
  </si>
  <si>
    <t>PHC0437-83-1</t>
  </si>
  <si>
    <t>Mr. Muhammad Wali</t>
  </si>
  <si>
    <t>PHC0438-84-1</t>
  </si>
  <si>
    <t>Mr. Arshad Khan</t>
  </si>
  <si>
    <t>PHC0440-81-1</t>
  </si>
  <si>
    <t>Mr. Omar Azmat Khan</t>
  </si>
  <si>
    <t>PHC0441-82-1</t>
  </si>
  <si>
    <t>Mr. Mazhar Hussain</t>
  </si>
  <si>
    <t>PHC0442-81-1</t>
  </si>
  <si>
    <t>Mr. Mohib-ur-Rehman</t>
  </si>
  <si>
    <t>PHC0443-85-1</t>
  </si>
  <si>
    <t>Mr. Basharat Rauf</t>
  </si>
  <si>
    <t>PHC0444-83-1</t>
  </si>
  <si>
    <t>Mr. Muhammad Aaqib</t>
  </si>
  <si>
    <t>PHC0447-82-1</t>
  </si>
  <si>
    <t>Miss Saira Bano</t>
  </si>
  <si>
    <t>PHC0448-78-1</t>
  </si>
  <si>
    <t>Mr. Qaiser Shahzad</t>
  </si>
  <si>
    <t>PHC0449-80-1</t>
  </si>
  <si>
    <t>Mr. Sheraz Firdos</t>
  </si>
  <si>
    <t>PHC0450-80-1</t>
  </si>
  <si>
    <t>Mr. Zia Ul Hassan</t>
  </si>
  <si>
    <t>PHC0451-84-1</t>
  </si>
  <si>
    <t>Miss Faiza Gul</t>
  </si>
  <si>
    <t>PHC0452-79-1</t>
  </si>
  <si>
    <t>Mr. Tanveer Usman</t>
  </si>
  <si>
    <t>PHC0453-79-1</t>
  </si>
  <si>
    <t>Mr. Muhammad Asghar</t>
  </si>
  <si>
    <t>PHC0454-81-1</t>
  </si>
  <si>
    <t>Mr. Rehmatullah</t>
  </si>
  <si>
    <t>PHC0455-83-1</t>
  </si>
  <si>
    <t>Miss Farkhanda Nosheen</t>
  </si>
  <si>
    <t>PHC0456-80-1</t>
  </si>
  <si>
    <t>PHC0457-84-1</t>
  </si>
  <si>
    <t>Mr. Sheraz Khan</t>
  </si>
  <si>
    <t>PHC0458-80-1</t>
  </si>
  <si>
    <t>Mr. Muhammad Haroon</t>
  </si>
  <si>
    <t>PHC0459-84-1</t>
  </si>
  <si>
    <t>Mr. Sardar Jawad Ahmad</t>
  </si>
  <si>
    <t>PHC0460-82-1</t>
  </si>
  <si>
    <t>Miss Rabia Abbasi</t>
  </si>
  <si>
    <t>PHC0461-78-1</t>
  </si>
  <si>
    <t>Miss Tahira Zainab Malik</t>
  </si>
  <si>
    <t>PHC0462-83-1</t>
  </si>
  <si>
    <t>Miss Qurrat-Ul-Ain Rashid</t>
  </si>
  <si>
    <t>PHC0463-75-1</t>
  </si>
  <si>
    <t>Mr. Zia Jehangir</t>
  </si>
  <si>
    <t>PHC0464-79-1</t>
  </si>
  <si>
    <t>Mr. Gulzar Ullah</t>
  </si>
  <si>
    <t>PHC0465-79-1</t>
  </si>
  <si>
    <t>Mr. Baddar Munir</t>
  </si>
  <si>
    <t>PHC0467-82-1</t>
  </si>
  <si>
    <t>Miss Madiha Rehman</t>
  </si>
  <si>
    <t>PHC0469-77-1</t>
  </si>
  <si>
    <t>Miss Saeeda Akhtar</t>
  </si>
  <si>
    <t>PHC0470-82-1</t>
  </si>
  <si>
    <t>Miss Amina Haider</t>
  </si>
  <si>
    <t>PHC0471-84-1</t>
  </si>
  <si>
    <t>Miss Maliha Allauddin</t>
  </si>
  <si>
    <t>PHC0472-80-1</t>
  </si>
  <si>
    <t>Miss Sanam Sajjad</t>
  </si>
  <si>
    <t>PHC0473-82-1</t>
  </si>
  <si>
    <t>Mr. Ghulam Hamid</t>
  </si>
  <si>
    <t>PHC0474-77-1</t>
  </si>
  <si>
    <t>Mr. Muhammad Sohail</t>
  </si>
  <si>
    <t>PHC0475-77-1</t>
  </si>
  <si>
    <t>Mr. Saleem-ur-Rehman</t>
  </si>
  <si>
    <t>PHC0476-81-1</t>
  </si>
  <si>
    <t>Mr. Fahad Ahmad</t>
  </si>
  <si>
    <t>PHC0478-81-1</t>
  </si>
  <si>
    <t>Mr. Naeem Ullah Khan Jadoon</t>
  </si>
  <si>
    <t>PHC0479-84-1</t>
  </si>
  <si>
    <t>Syed Ijlal Hussain</t>
  </si>
  <si>
    <t>PHC0481-81-1</t>
  </si>
  <si>
    <t>Mr. Naveed Ullah</t>
  </si>
  <si>
    <t>PHC0482-78-1</t>
  </si>
  <si>
    <t>Mr. Amir Ali Afridi</t>
  </si>
  <si>
    <t>PHC0483-79-1</t>
  </si>
  <si>
    <t>Mr. Muhammad Hayat</t>
  </si>
  <si>
    <t>PHC0484-73-1</t>
  </si>
  <si>
    <t>Mr. Farman Ali</t>
  </si>
  <si>
    <t>PHC0485-83-1</t>
  </si>
  <si>
    <t>Mr. Naveed Ahmad</t>
  </si>
  <si>
    <t>PHC0486-81-1</t>
  </si>
  <si>
    <t>Mr. Muhammad Ismail</t>
  </si>
  <si>
    <t>PHC0487-79-1</t>
  </si>
  <si>
    <t>Mr. Saqib Khan</t>
  </si>
  <si>
    <t>PHC0488-75-1</t>
  </si>
  <si>
    <t>Ms Aliya</t>
  </si>
  <si>
    <t>PHC0489-83-1</t>
  </si>
  <si>
    <t>Miss Nazia Hassan</t>
  </si>
  <si>
    <t>PHC0490-80-1</t>
  </si>
  <si>
    <t>Miss Qura-Tul-Ain</t>
  </si>
  <si>
    <t>PHC0492-82-1</t>
  </si>
  <si>
    <t>Mr. Asif Raza</t>
  </si>
  <si>
    <t>PHC0493-77-3</t>
  </si>
  <si>
    <t>Mr. Adil Majeed Khan</t>
  </si>
  <si>
    <t>PHC0494-78-3</t>
  </si>
  <si>
    <t>Mr. Shakir Ullah Khan</t>
  </si>
  <si>
    <t>PHC0495-79-3</t>
  </si>
  <si>
    <t xml:space="preserve"> Arbab Aziz Ahmad</t>
  </si>
  <si>
    <t>PHC0496-78-3</t>
  </si>
  <si>
    <t>Syed Yasir Shabbir</t>
  </si>
  <si>
    <t>PHC0498-76-3</t>
  </si>
  <si>
    <t>Mr. Rashid Ullah Kundi</t>
  </si>
  <si>
    <t>PHC0499-79-3</t>
  </si>
  <si>
    <t>Mr. Jamal Shah Mahsood</t>
  </si>
  <si>
    <t>PHC0500-78-3</t>
  </si>
  <si>
    <t>Mr. Muhammad Saeed Amjad</t>
  </si>
  <si>
    <t>PHC0502-76-3</t>
  </si>
  <si>
    <t>Mr. Naveed-ur-Rahman</t>
  </si>
  <si>
    <t>PHC0503-79-3</t>
  </si>
  <si>
    <t>Mr. Said Badshah</t>
  </si>
  <si>
    <t>PHC0504-77-3</t>
  </si>
  <si>
    <t>PHC0505-77-3</t>
  </si>
  <si>
    <t>Mr. Zia-ul-Haq</t>
  </si>
  <si>
    <t>PHC0506-76-3</t>
  </si>
  <si>
    <t>Mr. Bakht Alam</t>
  </si>
  <si>
    <t>PHC0507-79-3</t>
  </si>
  <si>
    <t>Mr. Wajid Ali Khan</t>
  </si>
  <si>
    <t>PHC0508-79-3</t>
  </si>
  <si>
    <t>Mr. Rahat Ullah</t>
  </si>
  <si>
    <t>PHC0509-80-3</t>
  </si>
  <si>
    <t>Mr. Amjad Hussain</t>
  </si>
  <si>
    <t>PHC0510-76-3</t>
  </si>
  <si>
    <t>Mr. Mohammad Tahir Aurangzeb</t>
  </si>
  <si>
    <t>PHC0511-79-3</t>
  </si>
  <si>
    <t>Mr. Mohammad Khan</t>
  </si>
  <si>
    <t>PHC0512-78-3</t>
  </si>
  <si>
    <t>Mr. Iftikhar Elahi</t>
  </si>
  <si>
    <t>PHC0513-71-3</t>
  </si>
  <si>
    <t>PHC0514-80-3</t>
  </si>
  <si>
    <t>Mr. Kashif Dilawar</t>
  </si>
  <si>
    <t>PHC0515-70-3</t>
  </si>
  <si>
    <t>Mr. Muhammad Zaib Khan</t>
  </si>
  <si>
    <t>PHC0517-78-3</t>
  </si>
  <si>
    <t>Mr. Mian Mahmood</t>
  </si>
  <si>
    <t>PHC0518-86-1</t>
  </si>
  <si>
    <t>Mr. Raees Khan</t>
  </si>
  <si>
    <t>PHC0519-87-1</t>
  </si>
  <si>
    <t>Mr. Saddiq Ahmed</t>
  </si>
  <si>
    <t>PHC0520-88-1</t>
  </si>
  <si>
    <t>Syed Sabir Ali Shah</t>
  </si>
  <si>
    <t>PHC0521-87-1</t>
  </si>
  <si>
    <t>Mr. Ijaz Mahsood</t>
  </si>
  <si>
    <t>PHC0522-87-1</t>
  </si>
  <si>
    <t>Mr. Shaukat Hussain</t>
  </si>
  <si>
    <t>PHC0523-84-1</t>
  </si>
  <si>
    <t>Mr. Yasir Hussain</t>
  </si>
  <si>
    <t>PHC0525-87-1</t>
  </si>
  <si>
    <t>Mr. Aziz Ahmad</t>
  </si>
  <si>
    <t>PHC0526-87-1</t>
  </si>
  <si>
    <t>Mr. Adnan Iqbal</t>
  </si>
  <si>
    <t>PHC0527-88-1</t>
  </si>
  <si>
    <t>Mr. Rafaqat Zahoor</t>
  </si>
  <si>
    <t>PHC0528-85-1</t>
  </si>
  <si>
    <t>Mr. Rashid Ali</t>
  </si>
  <si>
    <t>PHC0529-88-1</t>
  </si>
  <si>
    <t>Mr. Samiullah Khan</t>
  </si>
  <si>
    <t>PHC0530-81-1</t>
  </si>
  <si>
    <t>Ms. Irum Nousheen</t>
  </si>
  <si>
    <t>PHC0531-85-1</t>
  </si>
  <si>
    <t>Mr. Arshad Ali</t>
  </si>
  <si>
    <t>PHC0532-85-1</t>
  </si>
  <si>
    <t>Ms. Iram Aisha</t>
  </si>
  <si>
    <t>PHC0533-84-1</t>
  </si>
  <si>
    <t>Mr. Riaz Aslam</t>
  </si>
  <si>
    <t>PHC0534-85-1</t>
  </si>
  <si>
    <t>Mr. Sareer Shah</t>
  </si>
  <si>
    <t>PHC0535-82-1</t>
  </si>
  <si>
    <t>Mr. Salman Nadir  Muhammad</t>
  </si>
  <si>
    <t>PHC0536-85-1</t>
  </si>
  <si>
    <t>Syed Furqan Mashwani</t>
  </si>
  <si>
    <t>PHC0537-82-1</t>
  </si>
  <si>
    <t>Mr. Murtaza Khan</t>
  </si>
  <si>
    <t>PHC0538-85-1</t>
  </si>
  <si>
    <t>Mr. Muhammad Farooq Ahmad</t>
  </si>
  <si>
    <t>PHC0539-83-1</t>
  </si>
  <si>
    <t>Mr. Muhammad Ikram</t>
  </si>
  <si>
    <t>PHC0540-85-1</t>
  </si>
  <si>
    <t>Mr. Muhammad Imtiaz</t>
  </si>
  <si>
    <t>PHC0541-87-1</t>
  </si>
  <si>
    <t>Mr. Mazhar Ali Khan</t>
  </si>
  <si>
    <t>PHC0542-83-1</t>
  </si>
  <si>
    <t>Mr. Sadiq Ullah</t>
  </si>
  <si>
    <t>PHC0543-84-1</t>
  </si>
  <si>
    <t>Mr. Abdul Haleem</t>
  </si>
  <si>
    <t>PHC0544-83-1</t>
  </si>
  <si>
    <t>Ms. Alia Bibi</t>
  </si>
  <si>
    <t>PHC0546-88-1</t>
  </si>
  <si>
    <t>Mr. Muhammad Waqar</t>
  </si>
  <si>
    <t>PHC0547-84-1</t>
  </si>
  <si>
    <t>Mr. Alam Zeb Khan</t>
  </si>
  <si>
    <t>PHC0548-88-1</t>
  </si>
  <si>
    <t>Mr. Muhammad Anwar</t>
  </si>
  <si>
    <t>PHC0549-89-1</t>
  </si>
  <si>
    <t>Ms. Nazma Shah</t>
  </si>
  <si>
    <t>PHC0550-87-1</t>
  </si>
  <si>
    <t>Ms. Asma Zahir</t>
  </si>
  <si>
    <t>PHC0551-82-1</t>
  </si>
  <si>
    <t>Ms. Saima Razzaq</t>
  </si>
  <si>
    <t>PHC0552-81-1</t>
  </si>
  <si>
    <t>Mr. Tanveed Akhtar</t>
  </si>
  <si>
    <t>PHC0553-83-1</t>
  </si>
  <si>
    <t>Ms. Sehrish Rana</t>
  </si>
  <si>
    <t>PHC0555-88-1</t>
  </si>
  <si>
    <t>Mr. Muhammad Kashif</t>
  </si>
  <si>
    <t>PHC0556-82-1</t>
  </si>
  <si>
    <t>Mr. Mubarak Ali</t>
  </si>
  <si>
    <t>PHC0557-85-1</t>
  </si>
  <si>
    <t>Mr. Habib Ur Rehman Orakzai</t>
  </si>
  <si>
    <t>PHC0558-82-1</t>
  </si>
  <si>
    <t>Syed Ahmad Mujtaba Kamal</t>
  </si>
  <si>
    <t>PHC0559-84-1</t>
  </si>
  <si>
    <t>PHC0560-86-1</t>
  </si>
  <si>
    <t>Ms. Samina Sahar</t>
  </si>
  <si>
    <t>PHC0561-86-1</t>
  </si>
  <si>
    <t>Ms. Sidra Jalal</t>
  </si>
  <si>
    <t>PHC0562-83-1</t>
  </si>
  <si>
    <t>Mr. Noor-Ul-Haq</t>
  </si>
  <si>
    <t>PHC0563-83-1</t>
  </si>
  <si>
    <t>Mr. Muhammad Raees</t>
  </si>
  <si>
    <t>PHC0564-82-1</t>
  </si>
  <si>
    <t>Mr. Muhammad Waheed Wali</t>
  </si>
  <si>
    <t>PHC0565-87-1</t>
  </si>
  <si>
    <t>Ms. Shahnaz</t>
  </si>
  <si>
    <t>PHC0566-85-1</t>
  </si>
  <si>
    <t>Mr. Tahir Khan</t>
  </si>
  <si>
    <t>PHC0567-84-1</t>
  </si>
  <si>
    <t>Mr. Amjid Ullah</t>
  </si>
  <si>
    <t>PHC0568-85-1</t>
  </si>
  <si>
    <t>PHC0569-82-1</t>
  </si>
  <si>
    <t>Mr. Muhammad Ishfaq</t>
  </si>
  <si>
    <t>PHC0570-89-1</t>
  </si>
  <si>
    <t>Mr. Mohammad Ishaq Marwat</t>
  </si>
  <si>
    <t>PHC0571-84-1</t>
  </si>
  <si>
    <t>Mr. Abdul Qayum Khan</t>
  </si>
  <si>
    <t>PHC0572-88-1</t>
  </si>
  <si>
    <t>Ms. Aisha Hayat</t>
  </si>
  <si>
    <t>PHC0573-88-1</t>
  </si>
  <si>
    <t>Mr. Atta Ur Rehman</t>
  </si>
  <si>
    <t>PHC0575-89-1</t>
  </si>
  <si>
    <t>Mr. Hassan Ali Khan</t>
  </si>
  <si>
    <t>PHC0576-82-1</t>
  </si>
  <si>
    <t>Mr. Asghar Habib</t>
  </si>
  <si>
    <t>PHC0577-83-1</t>
  </si>
  <si>
    <t>Mr. Qazi Muhammad Adnan</t>
  </si>
  <si>
    <t>PHC0578-84-1</t>
  </si>
  <si>
    <t>Mr. Zulfiqar Ahmad Khan</t>
  </si>
  <si>
    <t>PHC0579-83-1</t>
  </si>
  <si>
    <t>Mr. Muhammad Junaid Alam</t>
  </si>
  <si>
    <t>PHC0580-85-1</t>
  </si>
  <si>
    <t>Mr. Jamil Faqir</t>
  </si>
  <si>
    <t>PHC0581-88-1</t>
  </si>
  <si>
    <t>Mr. Tariq Khan</t>
  </si>
  <si>
    <t>PHC0582-82-1</t>
  </si>
  <si>
    <t>Ms. Sana Afzal</t>
  </si>
  <si>
    <t>PHC0583-85-1</t>
  </si>
  <si>
    <t>Mr. Shahid Zaman</t>
  </si>
  <si>
    <t>PHC0584-86-1</t>
  </si>
  <si>
    <t>Syed Abbas Bukhari</t>
  </si>
  <si>
    <t>PHC0586-85-1</t>
  </si>
  <si>
    <t>Syed Wahaj Ali Shah</t>
  </si>
  <si>
    <t>PHC0587-86-1</t>
  </si>
  <si>
    <t>Mr. Sharif Ullah</t>
  </si>
  <si>
    <t>PHC0588-86-1</t>
  </si>
  <si>
    <t>Mr. Muhammad Latif Shah</t>
  </si>
  <si>
    <t>PHC0589-82-1</t>
  </si>
  <si>
    <t>Mr. Zahir Khan</t>
  </si>
  <si>
    <t>PHC0590-82-1</t>
  </si>
  <si>
    <t>Ms. Attia Rafiq</t>
  </si>
  <si>
    <t>PHC0591-85-1</t>
  </si>
  <si>
    <t>Mr. Ilyas Saeed</t>
  </si>
  <si>
    <t>PHC0592-85-1</t>
  </si>
  <si>
    <t>Mr. Bilal Khan Tanoli</t>
  </si>
  <si>
    <t>PHC0593-86-1</t>
  </si>
  <si>
    <t>PHC0594-89-1</t>
  </si>
  <si>
    <t>Ms. Nazia Parveen</t>
  </si>
  <si>
    <t>PHC0595-80-1</t>
  </si>
  <si>
    <t>Mr. Imtiaz Alam Khan</t>
  </si>
  <si>
    <t>PHC0596-86-1</t>
  </si>
  <si>
    <t>Mr. Kamal Farid Tanoli</t>
  </si>
  <si>
    <t>PHC0597-83-1</t>
  </si>
  <si>
    <t>Mr. Inam Ullah</t>
  </si>
  <si>
    <t>PHC0598-88-1</t>
  </si>
  <si>
    <t>Ms. Sanam Khalid</t>
  </si>
  <si>
    <t>PHC0599-86-1</t>
  </si>
  <si>
    <t>Mr. Khuram Shahzad</t>
  </si>
  <si>
    <t>PHC0600-83-1</t>
  </si>
  <si>
    <t>Mr. Sajid Ali Khan</t>
  </si>
  <si>
    <t>PHC0601-85-1</t>
  </si>
  <si>
    <t>Mr. Abdul Kaleem Khan</t>
  </si>
  <si>
    <t>PHC0602-83-1</t>
  </si>
  <si>
    <t>Mr. Hassan Mahboob</t>
  </si>
  <si>
    <t>PHC0603-80-1</t>
  </si>
  <si>
    <t>Mr. Muhammad Tariq Khan</t>
  </si>
  <si>
    <t>PHC0604-81-1</t>
  </si>
  <si>
    <t>Mr. Shah Nofal</t>
  </si>
  <si>
    <t>PHC0605-81-1</t>
  </si>
  <si>
    <t>Mr. Haider Ali Khan</t>
  </si>
  <si>
    <t>PHC0606-82-1</t>
  </si>
  <si>
    <t>Mr. Zahid Ali Khan</t>
  </si>
  <si>
    <t>PHC0607-82-1</t>
  </si>
  <si>
    <t>Mr. Hamid Sajjad</t>
  </si>
  <si>
    <t>PHC0608-86-1</t>
  </si>
  <si>
    <t>Mr. Muhammad Adil Misal</t>
  </si>
  <si>
    <t>PHC0609-84-1</t>
  </si>
  <si>
    <t>Mr. Liaqat Khan</t>
  </si>
  <si>
    <t>PHC0610-83-1</t>
  </si>
  <si>
    <t>Ms. Farina Mehreen</t>
  </si>
  <si>
    <t>PHC0611-83-1</t>
  </si>
  <si>
    <t>Mr. Hafeez Ullah</t>
  </si>
  <si>
    <t>PHC0612-88-1</t>
  </si>
  <si>
    <t>Ms. Kinza Shoukat</t>
  </si>
  <si>
    <t>PHC0613-85-1</t>
  </si>
  <si>
    <t>Mr. Nayyar Iqbal</t>
  </si>
  <si>
    <t>PHC0614-85-1</t>
  </si>
  <si>
    <t>Mr. Muhammad Haris Nisar</t>
  </si>
  <si>
    <t>PHC0615-85-1</t>
  </si>
  <si>
    <t>Mr. Sajid Amin</t>
  </si>
  <si>
    <t>PHC0616-80-1</t>
  </si>
  <si>
    <t>Ms. Sadia Haroon</t>
  </si>
  <si>
    <t>PHC0617-84-1</t>
  </si>
  <si>
    <t>PHC0618-80-1</t>
  </si>
  <si>
    <t>Mr. Shah Khalid</t>
  </si>
  <si>
    <t>PHC0619-89-1</t>
  </si>
  <si>
    <t>Mr. Haroon Rashid</t>
  </si>
  <si>
    <t>PHC0620-87-1</t>
  </si>
  <si>
    <t>PHC0621-81-3</t>
  </si>
  <si>
    <t>Mr. Aamer Ali</t>
  </si>
  <si>
    <t>PHC0622-80-3</t>
  </si>
  <si>
    <t>Mr. Aziz Muhammad</t>
  </si>
  <si>
    <t>PHC0623-74-3</t>
  </si>
  <si>
    <t>Mr. Zahid Karim</t>
  </si>
  <si>
    <t>PHC0624-78-3</t>
  </si>
  <si>
    <t>Syed Arif Shah</t>
  </si>
  <si>
    <t>PHC0625-84-3</t>
  </si>
  <si>
    <t>Mr. Muhammad Tayyib</t>
  </si>
  <si>
    <t>PHC0626-77-3</t>
  </si>
  <si>
    <t>Arbab Muhammad Kashif</t>
  </si>
  <si>
    <t>PHC0627-80-3</t>
  </si>
  <si>
    <t>Syed Adnan Shah</t>
  </si>
  <si>
    <t>PHC0628-77-3</t>
  </si>
  <si>
    <t>Mr. Muhammad Jamil</t>
  </si>
  <si>
    <t>PHC0630-87-1</t>
  </si>
  <si>
    <t>Ms. Fozia Nasim</t>
  </si>
  <si>
    <t>PHC0631-83-1</t>
  </si>
  <si>
    <t>Mr. Salman Reayat Khan Khattak</t>
  </si>
  <si>
    <t>PHC0632-87-1</t>
  </si>
  <si>
    <t>Mr. Shoaib Ahmad</t>
  </si>
  <si>
    <t>PHC0633-89-1</t>
  </si>
  <si>
    <t>Mr. Muhammad Kashif Khan</t>
  </si>
  <si>
    <t>PHC0634-89-1</t>
  </si>
  <si>
    <t>Mr. Muhammad Khalil Khan</t>
  </si>
  <si>
    <t>PHC0635-87-1</t>
  </si>
  <si>
    <t>Mr. Sher Hassan Khan</t>
  </si>
  <si>
    <t>PHC0636-90-1</t>
  </si>
  <si>
    <t>Mr. Hamaish Khan</t>
  </si>
  <si>
    <t>PHC0638-87-1</t>
  </si>
  <si>
    <t>Ms. Rabia Yousaf</t>
  </si>
  <si>
    <t>PHC0639-87-1</t>
  </si>
  <si>
    <t>PHC0640-90-1</t>
  </si>
  <si>
    <t>Ms. Dua-e-Mehreen</t>
  </si>
  <si>
    <t>PHC0641-88-1</t>
  </si>
  <si>
    <t>Mr. Ghazanfar Ali</t>
  </si>
  <si>
    <t>PHC0642-84-1</t>
  </si>
  <si>
    <t>PHC0643-87-1</t>
  </si>
  <si>
    <t>Ms. Sabeena Jadoon</t>
  </si>
  <si>
    <t>PHC0644-85-1</t>
  </si>
  <si>
    <t>Ms. Tamkeen Qazi</t>
  </si>
  <si>
    <t>PHC0645-89-1</t>
  </si>
  <si>
    <t>Arbab Waheed Alam</t>
  </si>
  <si>
    <t>PHC0646-87-1</t>
  </si>
  <si>
    <t>Ms. Neelum Ibrahim</t>
  </si>
  <si>
    <t>PHC0647-89-1</t>
  </si>
  <si>
    <t>Ms. Meena Qaisar</t>
  </si>
  <si>
    <t>PHC0648-84-1</t>
  </si>
  <si>
    <t>Mr. Jauhar Ali</t>
  </si>
  <si>
    <t>PHC0649-87-1</t>
  </si>
  <si>
    <t>Ms. Sadaf Ali Khan</t>
  </si>
  <si>
    <t>PHC0650-85-1</t>
  </si>
  <si>
    <t>Ms. Hina Ghafoor</t>
  </si>
  <si>
    <t>PHC0651-84-1</t>
  </si>
  <si>
    <t>Malik Zeeshan Gul</t>
  </si>
  <si>
    <t>PHC0652-90-1</t>
  </si>
  <si>
    <t>Ms. Hamna Rehman Qureshi</t>
  </si>
  <si>
    <t>PHC0653-90-1</t>
  </si>
  <si>
    <t>Ms. Shamim S.Shah</t>
  </si>
  <si>
    <t>PHC0654-88-1</t>
  </si>
  <si>
    <t>Ms. Nosheen Nisar</t>
  </si>
  <si>
    <t>PHC0655-85-1</t>
  </si>
  <si>
    <t>Mr. Muhammad Saqib</t>
  </si>
  <si>
    <t>PHC0656-90-1</t>
  </si>
  <si>
    <t>Mr. Daulat Khan</t>
  </si>
  <si>
    <t>PHC0657-91-1</t>
  </si>
  <si>
    <t>Ms. Faryal Ayaz</t>
  </si>
  <si>
    <t>PHC0658-85-1</t>
  </si>
  <si>
    <t>Mr. Ashfaq Ahmad</t>
  </si>
  <si>
    <t>PHC0659-88-1</t>
  </si>
  <si>
    <t>Ms. Kinza Khan</t>
  </si>
  <si>
    <t>PHC0660-87-1</t>
  </si>
  <si>
    <t>Mr. Shafiq ul Aman</t>
  </si>
  <si>
    <t>PHC0661-90-1</t>
  </si>
  <si>
    <t>Mr. Khizar Ali Khan</t>
  </si>
  <si>
    <t>PHC0662-90-1</t>
  </si>
  <si>
    <t>Ms. Umal Khair Fatima</t>
  </si>
  <si>
    <t>PHC0663-87-1</t>
  </si>
  <si>
    <t>Ms. Maria Shah</t>
  </si>
  <si>
    <t>PHC0664-90-1</t>
  </si>
  <si>
    <t>Mr. Salman Ahmad</t>
  </si>
  <si>
    <t>PHC0665-83-1</t>
  </si>
  <si>
    <t>Sheik Waqas Ahmad</t>
  </si>
  <si>
    <t>PHC0666-84-1</t>
  </si>
  <si>
    <t>Ms. Razia Gul</t>
  </si>
  <si>
    <t>PHC0667-90-1</t>
  </si>
  <si>
    <t>Ms. Hina Gul</t>
  </si>
  <si>
    <t>PHC0668-90-1</t>
  </si>
  <si>
    <t>Ms. Sidra Aslam</t>
  </si>
  <si>
    <t>PHC0669-90-1</t>
  </si>
  <si>
    <t>Ms. Sadia Ali</t>
  </si>
  <si>
    <t>PHC0670-88-1</t>
  </si>
  <si>
    <t>Ms. Iram Bashir</t>
  </si>
  <si>
    <t>PHC0671-90-1</t>
  </si>
  <si>
    <t>Ms. Noreen Farooq</t>
  </si>
  <si>
    <t>PHC0672-92-1</t>
  </si>
  <si>
    <t>Mr. Sanaullah Khan</t>
  </si>
  <si>
    <t>PHC0673-83-1</t>
  </si>
  <si>
    <t>Mr. Muhammad Yousaf</t>
  </si>
  <si>
    <t>PHC0674-73-3</t>
  </si>
  <si>
    <t>Mr. Shah Wali Khan</t>
  </si>
  <si>
    <t>PHC0675-74-3</t>
  </si>
  <si>
    <t>Mr. Khalid Hussain</t>
  </si>
  <si>
    <t>PHC0676-82-3</t>
  </si>
  <si>
    <t>Mr. Shehzad Akhunzada</t>
  </si>
  <si>
    <t>PHC0677-82-3</t>
  </si>
  <si>
    <t>Mr. Muhammad Sajid</t>
  </si>
  <si>
    <t>PHC0678-83-3</t>
  </si>
  <si>
    <t>Mr. Mohib Jan</t>
  </si>
  <si>
    <t>PHC0679-87-1</t>
  </si>
  <si>
    <t>PHC0680-92-1</t>
  </si>
  <si>
    <t>Mr. Imtiaz Ahmad</t>
  </si>
  <si>
    <t>PHC0681-92-1</t>
  </si>
  <si>
    <t>Ms. Sana Shah</t>
  </si>
  <si>
    <t>PHC0682-91-1</t>
  </si>
  <si>
    <t>Mr. Inayat Ullah Khan</t>
  </si>
  <si>
    <t>PHC0683-90-1</t>
  </si>
  <si>
    <t>Mr. Saif Ullah Almas</t>
  </si>
  <si>
    <t>PHC0684-85-1</t>
  </si>
  <si>
    <t>Mr. Sohrab Ahmad</t>
  </si>
  <si>
    <t>PHC0685-88-1</t>
  </si>
  <si>
    <t>Mr. Muhammad Zeeshan Uddin</t>
  </si>
  <si>
    <t>PHC0686-88-1</t>
  </si>
  <si>
    <t>PHC0687-90-1</t>
  </si>
  <si>
    <t>Mr. Shahab Faheem</t>
  </si>
  <si>
    <t>PHC0688-90-1</t>
  </si>
  <si>
    <t>Mr. Imran Akbar Khan</t>
  </si>
  <si>
    <t>PHC0689-89-1</t>
  </si>
  <si>
    <t>Mr. Naseem Ullah</t>
  </si>
  <si>
    <t>PHC0690-89-1</t>
  </si>
  <si>
    <t>Mr. Abdullah Qazi</t>
  </si>
  <si>
    <t>PHC0691-89-1</t>
  </si>
  <si>
    <t>Mr. Haroon ur Rashid</t>
  </si>
  <si>
    <t>PHC0692-85-1</t>
  </si>
  <si>
    <t>Mr. Imtiaz Ullah Khan</t>
  </si>
  <si>
    <t>PHC0693-90-1</t>
  </si>
  <si>
    <t>Mr. Imran Ahmad</t>
  </si>
  <si>
    <t>PHC0694-91-1</t>
  </si>
  <si>
    <t>Ms. Sidra Younas</t>
  </si>
  <si>
    <t>PHC0695-85-1</t>
  </si>
  <si>
    <t>Mr. Aziz Junaid</t>
  </si>
  <si>
    <t>PHC0696-90-1</t>
  </si>
  <si>
    <t>PHC0697-87-1</t>
  </si>
  <si>
    <t>PHC0698-91-1</t>
  </si>
  <si>
    <t>Mr. Badar Riaz</t>
  </si>
  <si>
    <t>PHC0699-89-1</t>
  </si>
  <si>
    <t>Ms. Brakhna Hameed</t>
  </si>
  <si>
    <t>PHC0700-86-1</t>
  </si>
  <si>
    <t>Mr. Jebran Khan</t>
  </si>
  <si>
    <t>PHC0701-91-1</t>
  </si>
  <si>
    <t>Mr. Akhter Iqbal Khan</t>
  </si>
  <si>
    <t>PHC0702-90-1</t>
  </si>
  <si>
    <t>Mr. Ajaz ul Haq</t>
  </si>
  <si>
    <t>PHC0703-88-1</t>
  </si>
  <si>
    <t>Mr. Abid-ur-Rahim</t>
  </si>
  <si>
    <t>PHC0704-90-1</t>
  </si>
  <si>
    <t>Mr. Kaleem Ullah</t>
  </si>
  <si>
    <t>PHC0705-85-1</t>
  </si>
  <si>
    <t>Mr. Gul Muhammad</t>
  </si>
  <si>
    <t>PHC0706-86-1</t>
  </si>
  <si>
    <t>Mr. Sulaiman Khan</t>
  </si>
  <si>
    <t>PHC0707-91-1</t>
  </si>
  <si>
    <t>Mr. Muhammad Rafiq</t>
  </si>
  <si>
    <t>PHC0708-90-1</t>
  </si>
  <si>
    <t>Ms. Shahana</t>
  </si>
  <si>
    <t>PHC0709-87-1</t>
  </si>
  <si>
    <t>Ms. Faiza Malik</t>
  </si>
  <si>
    <t>PHC0710-88-1</t>
  </si>
  <si>
    <t>Ms. Faryal Khan Khalil</t>
  </si>
  <si>
    <t>PHC0711-88-1</t>
  </si>
  <si>
    <t>Mr. Amir Ali</t>
  </si>
  <si>
    <t>PHC0712-85-1</t>
  </si>
  <si>
    <t>Mr. Sheeraz Akbar</t>
  </si>
  <si>
    <t>PHC0713-88-1</t>
  </si>
  <si>
    <t>Ms. Aqsa Bibi</t>
  </si>
  <si>
    <t>PHC0714-88-1</t>
  </si>
  <si>
    <t>Mr. Muhammad Kamil</t>
  </si>
  <si>
    <t>PHC0715-88-1</t>
  </si>
  <si>
    <t>Ms. Palwasha Reema</t>
  </si>
  <si>
    <t>PHC0716-90-1</t>
  </si>
  <si>
    <t>Ms. Mehnaz Khan</t>
  </si>
  <si>
    <t>PHC0717-91-1</t>
  </si>
  <si>
    <t>Ms. Sadia Bibi</t>
  </si>
  <si>
    <t>PHC0718-89-1</t>
  </si>
  <si>
    <t>Mr. Muhammad Umair</t>
  </si>
  <si>
    <t>PHC0719-83-1</t>
  </si>
  <si>
    <t>Mr. Arshad Saeed</t>
  </si>
  <si>
    <t>PHC0720-88-1</t>
  </si>
  <si>
    <t>Mr. Sajjad Khan</t>
  </si>
  <si>
    <t>PHC0721-91-1</t>
  </si>
  <si>
    <t>Ms. Christina Zeb Ul Nisa Feroz</t>
  </si>
  <si>
    <t>PHC0723-87-1</t>
  </si>
  <si>
    <t>Ms. Tazeen Wisal</t>
  </si>
  <si>
    <t>PHC0724-91-1</t>
  </si>
  <si>
    <t>Ms. Ayesha Jadoon</t>
  </si>
  <si>
    <t>PHC0725-88-1</t>
  </si>
  <si>
    <t>Ms. Sehrish Saeed</t>
  </si>
  <si>
    <t>PHC0726-92-1</t>
  </si>
  <si>
    <t>Ms. Ayesha Siddique</t>
  </si>
  <si>
    <t>PHC0727-93-1</t>
  </si>
  <si>
    <t>Mr. Waqar Saeed</t>
  </si>
  <si>
    <t>PHC0728-89-1</t>
  </si>
  <si>
    <t>Ms. Ammara Tabassum</t>
  </si>
  <si>
    <t>PHC0729-85-1</t>
  </si>
  <si>
    <t>PHC0730-91-1</t>
  </si>
  <si>
    <t>Mr. Yousaf Shah</t>
  </si>
  <si>
    <t>PHC0731-88-1</t>
  </si>
  <si>
    <t>Ms. Pawan Waheed Awan</t>
  </si>
  <si>
    <t>PHC0732-90-1</t>
  </si>
  <si>
    <t>Ms. Anum Zeb</t>
  </si>
  <si>
    <t>PHC0733-87-1</t>
  </si>
  <si>
    <t>Mr. Altaf Muhammad Khan</t>
  </si>
  <si>
    <t>PHC0734-90-1</t>
  </si>
  <si>
    <t>PHC0735-91-1</t>
  </si>
  <si>
    <t>Ms. Hajra Arsh</t>
  </si>
  <si>
    <t>PHC0736-92-1</t>
  </si>
  <si>
    <t>Ms. Ayesha Obaid Ullah</t>
  </si>
  <si>
    <t>PHC0737-89-1</t>
  </si>
  <si>
    <t>Ms. Tarana</t>
  </si>
  <si>
    <t>PHC0738-91-1</t>
  </si>
  <si>
    <t>Mr. Muhammad Tayyab</t>
  </si>
  <si>
    <t>PHC0739-92-1</t>
  </si>
  <si>
    <t>Mr. Khursheed Khan</t>
  </si>
  <si>
    <t>PHC0740-89-1</t>
  </si>
  <si>
    <t>Mr. Ziaullah Khan</t>
  </si>
  <si>
    <t>PHC0741-86-1</t>
  </si>
  <si>
    <t>Mr. Abdul Ghaffar Khan</t>
  </si>
  <si>
    <t>PHC0742-91-1</t>
  </si>
  <si>
    <t>Ms. Noor ul Ain Malik</t>
  </si>
  <si>
    <t>PHC0743-91-1</t>
  </si>
  <si>
    <t>Mr. Farqaleet Hassan</t>
  </si>
  <si>
    <t>PHC0744-89-1</t>
  </si>
  <si>
    <t>Mr. Muhammad Adil</t>
  </si>
  <si>
    <t>PID &amp; Name</t>
  </si>
  <si>
    <t>S No</t>
  </si>
  <si>
    <t>PID No</t>
  </si>
  <si>
    <t>Presiding Officer Name</t>
  </si>
  <si>
    <t>Designation</t>
  </si>
  <si>
    <t>Court Number</t>
  </si>
  <si>
    <t>Station</t>
  </si>
  <si>
    <t>Court Status</t>
  </si>
  <si>
    <t>Statement for Month of</t>
  </si>
  <si>
    <t>Year</t>
  </si>
  <si>
    <t>Sundays</t>
  </si>
  <si>
    <t>Leaves</t>
  </si>
  <si>
    <t>Other Holidays</t>
  </si>
  <si>
    <t>Non-Judicial Working Days</t>
  </si>
  <si>
    <t>Number of Strike Days</t>
  </si>
  <si>
    <t>Net Judicial Working Days</t>
  </si>
  <si>
    <t>Incumbency Status</t>
  </si>
  <si>
    <t>Quarterly Backlog Clearnace Target</t>
  </si>
  <si>
    <t>No of Civil Cases in Pipline</t>
  </si>
  <si>
    <t>No of Criminal Cases in Pipline</t>
  </si>
  <si>
    <t>MONTHLY COMPUTERIZED STATEMENT  REGARDING DISPOSAL AND PENDENCY.</t>
  </si>
  <si>
    <t>Name of Presiding Officer:-</t>
  </si>
  <si>
    <t>Station:</t>
  </si>
  <si>
    <t>Court Status:</t>
  </si>
  <si>
    <t>Month:</t>
  </si>
  <si>
    <t>Year:</t>
  </si>
  <si>
    <t>Total No of Days</t>
  </si>
  <si>
    <t>Leaves:</t>
  </si>
  <si>
    <t>Other Holidays:</t>
  </si>
  <si>
    <t>Non Judicial working days:</t>
  </si>
  <si>
    <t>Net Working Days:</t>
  </si>
  <si>
    <t>Pending from last month
Cases</t>
  </si>
  <si>
    <t>Freshly Instituted</t>
  </si>
  <si>
    <t>Other Institutions
(Remanded, 
Restored etc.)</t>
  </si>
  <si>
    <t>Transfer in</t>
  </si>
  <si>
    <t>Transfer out</t>
  </si>
  <si>
    <t>Total for disposal</t>
  </si>
  <si>
    <t>A = Disposal Mode</t>
  </si>
  <si>
    <t>TOTAL 
DISPOSAL
(A)</t>
  </si>
  <si>
    <t xml:space="preserve">Disposal From Backlog Cases instituted before  1 September 2020
</t>
  </si>
  <si>
    <t>Disposal From Pending Cases Instituted after 31 August 2020</t>
  </si>
  <si>
    <t>TOTAL 
DISPOSAL
(B)</t>
  </si>
  <si>
    <t>Tally Column
(A-B=0)</t>
  </si>
  <si>
    <t>Pending at the end of the current month</t>
  </si>
  <si>
    <t>Total Pendency
C+D</t>
  </si>
  <si>
    <t>Monthly Performance Summary</t>
  </si>
  <si>
    <t>Contested Disposal</t>
  </si>
  <si>
    <t>Others Uncontested</t>
  </si>
  <si>
    <r>
      <t xml:space="preserve">Backog Pending Cases , which are instituted before 1 September 2020
</t>
    </r>
    <r>
      <rPr>
        <b/>
        <u/>
        <sz val="12"/>
        <color rgb="FF000000"/>
        <rFont val="Times New Roman"/>
        <family val="1"/>
      </rPr>
      <t>C</t>
    </r>
  </si>
  <si>
    <r>
      <t xml:space="preserve">Pending Cases , which are instituted after 31 August 2020
</t>
    </r>
    <r>
      <rPr>
        <b/>
        <u/>
        <sz val="12"/>
        <color rgb="FF000000"/>
        <rFont val="Times New Roman"/>
        <family val="1"/>
      </rPr>
      <t>D</t>
    </r>
  </si>
  <si>
    <t>Targets under 05 Years Plan</t>
  </si>
  <si>
    <t>Per Month Backlog clearance  Target</t>
  </si>
  <si>
    <t>Total Backlog  Disposal</t>
  </si>
  <si>
    <t>Total Net Disposal( without plead guilty and Security proceeding)</t>
  </si>
  <si>
    <t xml:space="preserve">Trial Based Judgments 
(Subject to applicability and available pendency of such cases) </t>
  </si>
  <si>
    <t>Homicide 
(for Session Courts)</t>
  </si>
  <si>
    <t>Under Section 30 CrPC.
(for Magistrate empowered under section 30 CrPC.)</t>
  </si>
  <si>
    <t>Arms &amp; Amunation</t>
  </si>
  <si>
    <t>Others Trial Based</t>
  </si>
  <si>
    <t>Non Trial Based</t>
  </si>
  <si>
    <t>Total Contested</t>
  </si>
  <si>
    <t>Norcotics Substances</t>
  </si>
  <si>
    <t>Habeas Corpus (491 Cr.PC)</t>
  </si>
  <si>
    <t>Other Criminal Misc Applications</t>
  </si>
  <si>
    <t>Other Institutions
(Remanded.)</t>
  </si>
  <si>
    <t>Disposal From Pending Cases instituted before  1 September 2020</t>
  </si>
  <si>
    <t>Total Pendency
C+D</t>
  </si>
  <si>
    <r>
      <t xml:space="preserve">Pending Cases , which are instituted before 1 September 2020
</t>
    </r>
    <r>
      <rPr>
        <b/>
        <u/>
        <sz val="12"/>
        <color rgb="FF000000"/>
        <rFont val="Times New Roman"/>
        <family val="1"/>
      </rPr>
      <t>C</t>
    </r>
  </si>
  <si>
    <t>Other Civil Misc Applications</t>
  </si>
  <si>
    <t>Disposal OR Transfer Out Flag</t>
  </si>
  <si>
    <t>Date of Other Institution</t>
  </si>
  <si>
    <t>Institution Status</t>
  </si>
  <si>
    <t>Last Month Pendency</t>
  </si>
  <si>
    <t>Fresh Month Institution</t>
  </si>
  <si>
    <t>Other Institution</t>
  </si>
  <si>
    <t>Transfer In</t>
  </si>
  <si>
    <t>CR-004-Hurt Cases</t>
  </si>
  <si>
    <t>Combine</t>
  </si>
  <si>
    <t>CR-001-Homicide</t>
  </si>
  <si>
    <t>CR-002-Attempt to Murder</t>
  </si>
  <si>
    <t>CR-003-Cases triable u/s 30 Cr.PC</t>
  </si>
  <si>
    <t>CR-006-Arms &amp; Amunation</t>
  </si>
  <si>
    <t>CR-007-Hudood Laws</t>
  </si>
  <si>
    <t>CR-009-Foreigner Act</t>
  </si>
  <si>
    <t>CR-010-Complaint Cases</t>
  </si>
  <si>
    <t>CR-011-Norcotics Substances</t>
  </si>
  <si>
    <t>CR-012-Habeas Corpus (491 Cr.PC)</t>
  </si>
  <si>
    <t>CR-013-Offences against Children</t>
  </si>
  <si>
    <t>CR-014-Offences Against Property</t>
  </si>
  <si>
    <t>CR-015-Sexual Offences</t>
  </si>
  <si>
    <t>CR-016-Minor Offences</t>
  </si>
  <si>
    <t>CR-017-Proceedings u/s 514 Cr. P.C</t>
  </si>
  <si>
    <t>CR-019-Security Proceedings u/s 107/51</t>
  </si>
  <si>
    <t>CR-020-Bail Applications</t>
  </si>
  <si>
    <t>CR-021-Other Criminal Misc Applications</t>
  </si>
  <si>
    <t>CR-023-Other Local and Special Laws</t>
  </si>
  <si>
    <t>CR-024-Cases under other laws</t>
  </si>
  <si>
    <t>CR-025-Criminal Appeals</t>
  </si>
  <si>
    <t>CR-026-Criminal Revisions</t>
  </si>
  <si>
    <t>No of Days</t>
  </si>
  <si>
    <t>Descirption</t>
  </si>
  <si>
    <t>Other Institutions
(Remanded, 
Restored)</t>
  </si>
  <si>
    <t>Total  cases disposed of</t>
  </si>
  <si>
    <t>Total  Net Disposal without Security Proceeding and Pleadguilty</t>
  </si>
  <si>
    <t>Institution Vs Disposal Ratio</t>
  </si>
  <si>
    <t>Excess/ Deficit in Institution , Disposal Ratio</t>
  </si>
  <si>
    <t>Required Disposal From Backlog</t>
  </si>
  <si>
    <t>Disposal From Backlog</t>
  </si>
  <si>
    <t>Excess/Deficit in Disposal from backlog</t>
  </si>
  <si>
    <t>Pending Cases , which are instituted after 31 August 2020</t>
  </si>
  <si>
    <t>Total Pendency</t>
  </si>
  <si>
    <t>Total</t>
  </si>
  <si>
    <t>Trial Based Contested</t>
  </si>
  <si>
    <t>Non Trial Based Contested</t>
  </si>
  <si>
    <t>Contested Disposal Seggergation</t>
  </si>
  <si>
    <t>Target-Contested Disposal</t>
  </si>
  <si>
    <t>Excess/Deficit in Contested Disposal</t>
  </si>
  <si>
    <t>Contested Civil Target</t>
  </si>
  <si>
    <t>Contested Criminal Target</t>
  </si>
  <si>
    <t>Trial Based Target</t>
  </si>
  <si>
    <t>JUDGE CATEGORY</t>
  </si>
  <si>
    <t>District Judge (Exclusive Civil Matter)</t>
  </si>
  <si>
    <t>Sessions Judge (Exclusive Criminal Matter)</t>
  </si>
  <si>
    <t>Addl: District Judge (Exclusive Civil Matter)</t>
  </si>
  <si>
    <t>Civil Judge (Exclusive Civil Matter)</t>
  </si>
  <si>
    <t>Addl: Sessions Judge (Exclusive Criminal Matter)</t>
  </si>
  <si>
    <t>Judicial Magistrate (Exclusive Criminal Matter)</t>
  </si>
  <si>
    <t>Civil Judge/Judicial Magistrate (Both Civil and Criminal Matter)</t>
  </si>
  <si>
    <t>Addl: District &amp; Sessions Judge (Both Civil and Criminal Matter)</t>
  </si>
  <si>
    <t>District &amp; Sessions Judge (Both Civil and Criminal Matter)</t>
  </si>
  <si>
    <t>Senior Civil Judge (Admin)\JM (Exclusive Criminal Matter)</t>
  </si>
  <si>
    <t>Senior Civil Judge (Judicial) (Both Civil and Criminal Matter)</t>
  </si>
  <si>
    <t>Senior Civil Judge (Admin) (Both Civil and Criminal Matter)</t>
  </si>
  <si>
    <t>Senior Civil Judge (Admin)(Exclusive Civil Matter)</t>
  </si>
  <si>
    <t>Senior Civil Judge (Judicial)(Exclusive Civil Matter)</t>
  </si>
  <si>
    <t>Judge Category</t>
  </si>
  <si>
    <t>Target-Contested Trial based Disposal</t>
  </si>
  <si>
    <t>Contested Trial based Disposal</t>
  </si>
  <si>
    <t>Senior Civil Judge (Judicial)\JM (Exclusive Criminal Matter)</t>
  </si>
  <si>
    <t>Judge Designation Categaries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</si>
  <si>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</si>
  <si>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</si>
  <si>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</si>
  <si>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</si>
  <si>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</si>
  <si>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</si>
  <si>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</si>
  <si>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</si>
  <si>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</si>
  <si>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</si>
  <si>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</si>
  <si>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</si>
  <si>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Months</t>
  </si>
  <si>
    <t>Plead guilty</t>
  </si>
  <si>
    <t>PHC0000-00-0</t>
  </si>
  <si>
    <t>Vacant Court</t>
  </si>
  <si>
    <t>contested pool</t>
  </si>
  <si>
    <t>Homicide/Under Sec 30crpC
Trial Based Target</t>
  </si>
  <si>
    <t>HomicideUndserSection30Pool</t>
  </si>
  <si>
    <t>Grand Total</t>
  </si>
  <si>
    <t>Institution Year</t>
  </si>
  <si>
    <t>PendingStatus</t>
  </si>
  <si>
    <t>TOTAL Criminal</t>
  </si>
  <si>
    <t>TOTAL Civil</t>
  </si>
  <si>
    <t>Summary of Year Wise Pendency in Current Month</t>
  </si>
  <si>
    <t>PQS Case Type</t>
  </si>
  <si>
    <t>Pendency</t>
  </si>
  <si>
    <t>Presiding Officer</t>
  </si>
  <si>
    <t>Court</t>
  </si>
  <si>
    <t>Freshly Institution</t>
  </si>
  <si>
    <t>Backlog Clearance Target</t>
  </si>
  <si>
    <t>Backlog Clearance Target Achievement</t>
  </si>
  <si>
    <t>With Deficit/Excess</t>
  </si>
  <si>
    <t>100 %Disposal against Fresh Institution</t>
  </si>
  <si>
    <t>Total Disposal Required</t>
  </si>
  <si>
    <t>CourtType</t>
  </si>
  <si>
    <t>Trial Based</t>
  </si>
  <si>
    <t>Modes</t>
  </si>
  <si>
    <t>Age wise Disposal SeggregATOIN</t>
  </si>
  <si>
    <t>Criminal- Pending from last month
Cases</t>
  </si>
  <si>
    <t>Civil-Pending from last month
Cases</t>
  </si>
  <si>
    <t>Criminal- Freshly Instituted</t>
  </si>
  <si>
    <t>Criminal- Other Institutions
(Remanded, 
Restored etc.)</t>
  </si>
  <si>
    <t>Criminal- Transfer in</t>
  </si>
  <si>
    <t>Criminal- Transfer out</t>
  </si>
  <si>
    <t>Criminal- Total for disposal</t>
  </si>
  <si>
    <t>Criminal- Contested Disposal</t>
  </si>
  <si>
    <t>Criminal- Plead guilty</t>
  </si>
  <si>
    <t>Criminal- In Default</t>
  </si>
  <si>
    <t>Criminal- Others Uncontested</t>
  </si>
  <si>
    <t>Criminal- TOTAL 
DISPOSAL
(A)</t>
  </si>
  <si>
    <t xml:space="preserve">Criminal- Disposal From Backlog Cases instituted before  1 September 2020
</t>
  </si>
  <si>
    <t>Criminal- Disposal From Pending Cases Instituted after 31 August 2020</t>
  </si>
  <si>
    <t>Criminal- TOTAL 
DISPOSAL
(B)</t>
  </si>
  <si>
    <t>Criminal- Tally Column
(A-B=0)</t>
  </si>
  <si>
    <t>Criminal- Backog Pending Cases , which are instituted before 1 September 2020
C</t>
  </si>
  <si>
    <t>Criminal- Pending Cases , which are instituted after 31 August 2020
D</t>
  </si>
  <si>
    <t>Criminal- Total Pendency
C+D</t>
  </si>
  <si>
    <t>Civil-Freshly Instituted</t>
  </si>
  <si>
    <t>Civil-Other Institutions
(Remanded, 
Restored etc.)</t>
  </si>
  <si>
    <t>Civil-Transfer in</t>
  </si>
  <si>
    <t>Civil-Transfer out</t>
  </si>
  <si>
    <t>Civil-Total for disposal</t>
  </si>
  <si>
    <t>Civil-Contested Disposal</t>
  </si>
  <si>
    <t>Civil-In Default</t>
  </si>
  <si>
    <t>Civil-Others Uncontested</t>
  </si>
  <si>
    <t>Civil-TOTAL 
DISPOSAL
(A)</t>
  </si>
  <si>
    <t xml:space="preserve">Civil-Disposal From Backlog Cases instituted before  1 September 2020
</t>
  </si>
  <si>
    <t>Civil-Disposal From Pending Cases Instituted after 31 August 2020</t>
  </si>
  <si>
    <t>Civil-TOTAL 
DISPOSAL
(B)</t>
  </si>
  <si>
    <t>Civil-Tally Column
(A-B=0)</t>
  </si>
  <si>
    <t>Civil-Backog Pending Cases , which are instituted before 1 September 2020
C</t>
  </si>
  <si>
    <t>Civil-Pending Cases , which are instituted after 31 August 2020
D</t>
  </si>
  <si>
    <t>Civil-Total Pendency
C+D</t>
  </si>
  <si>
    <t xml:space="preserve"> Criminal - Descirption</t>
  </si>
  <si>
    <t xml:space="preserve"> Criminal - Pending from last month
Cases</t>
  </si>
  <si>
    <t xml:space="preserve"> Criminal - Freshly Instituted</t>
  </si>
  <si>
    <t xml:space="preserve"> Criminal - Other Institutions
(Remanded, 
Restored)</t>
  </si>
  <si>
    <t xml:space="preserve"> Criminal - Transfer in</t>
  </si>
  <si>
    <t xml:space="preserve"> Criminal - Transfer out</t>
  </si>
  <si>
    <t xml:space="preserve"> Criminal - Total for disposal</t>
  </si>
  <si>
    <t xml:space="preserve"> Criminal - Total  cases disposed of</t>
  </si>
  <si>
    <t xml:space="preserve"> Criminal - Total  Net Disposal without Security Proceeding and Pleadguilty</t>
  </si>
  <si>
    <t xml:space="preserve"> Criminal - Institution Vs Disposal Ratio</t>
  </si>
  <si>
    <t xml:space="preserve"> Criminal - Excess/ Deficit in Institution , Disposal Ratio</t>
  </si>
  <si>
    <t xml:space="preserve"> Criminal - Required Disposal From Backlog</t>
  </si>
  <si>
    <t xml:space="preserve"> Criminal - Disposal From Backlog</t>
  </si>
  <si>
    <t xml:space="preserve"> Criminal - Excess/Deficit in Disposal from backlog</t>
  </si>
  <si>
    <t xml:space="preserve"> Criminal - Target-Contested Disposal</t>
  </si>
  <si>
    <t xml:space="preserve"> Criminal - Contested Disposal</t>
  </si>
  <si>
    <t xml:space="preserve"> Criminal - Excess/Deficit in Contested Disposal</t>
  </si>
  <si>
    <t xml:space="preserve"> Criminal - Pending Cases , which are instituted after 31 August 2020</t>
  </si>
  <si>
    <t xml:space="preserve"> Criminal - Total Pendency</t>
  </si>
  <si>
    <t xml:space="preserve"> Civil - Descirption</t>
  </si>
  <si>
    <t xml:space="preserve"> Civil - Pending from last month
Cases</t>
  </si>
  <si>
    <t xml:space="preserve"> Civil - Freshly Instituted</t>
  </si>
  <si>
    <t xml:space="preserve"> Civil - Other Institutions
(Remanded, 
Restored)</t>
  </si>
  <si>
    <t xml:space="preserve"> Civil - Transfer in</t>
  </si>
  <si>
    <t xml:space="preserve"> Civil - Transfer out</t>
  </si>
  <si>
    <t xml:space="preserve"> Civil - Total for disposal</t>
  </si>
  <si>
    <t xml:space="preserve"> Civil - Total  cases disposed of</t>
  </si>
  <si>
    <t xml:space="preserve"> Civil - Total  Net Disposal without Security Proceeding and Pleadguilty</t>
  </si>
  <si>
    <t xml:space="preserve"> Civil - Institution Vs Disposal Ratio</t>
  </si>
  <si>
    <t xml:space="preserve"> Civil - Excess/ Deficit in Institution , Disposal Ratio</t>
  </si>
  <si>
    <t xml:space="preserve"> Civil - Required Disposal From Backlog</t>
  </si>
  <si>
    <t xml:space="preserve"> Civil - Disposal From Backlog</t>
  </si>
  <si>
    <t xml:space="preserve"> Civil - Excess/Deficit in Disposal from backlog</t>
  </si>
  <si>
    <t xml:space="preserve"> Civil - Target-Contested Disposal</t>
  </si>
  <si>
    <t xml:space="preserve"> Civil - Contested Disposal</t>
  </si>
  <si>
    <t xml:space="preserve"> Civil - Excess/Deficit in Contested Disposal</t>
  </si>
  <si>
    <t xml:space="preserve"> Civil - Pending Cases , which are instituted after 31 August 2020</t>
  </si>
  <si>
    <t xml:space="preserve"> Civil - Total Pendency</t>
  </si>
  <si>
    <t>Civil-013-Small Claims</t>
  </si>
  <si>
    <t>Civil-005-Defamation</t>
  </si>
  <si>
    <t>Civil_Criminal</t>
  </si>
  <si>
    <t>CatType</t>
  </si>
  <si>
    <t>Cat Code</t>
  </si>
  <si>
    <t>Regular Nature</t>
  </si>
  <si>
    <t>MTMC Case</t>
  </si>
  <si>
    <t>MCAC Case</t>
  </si>
  <si>
    <t>MCTC Case</t>
  </si>
  <si>
    <t>Family Court Case</t>
  </si>
  <si>
    <t>GBV Case</t>
  </si>
  <si>
    <t>Civil-018-Other Civil Misc Applications</t>
  </si>
  <si>
    <t>Proceedings Under Section 133 and 145 Cr. P.C</t>
  </si>
  <si>
    <t>CR-018-Proceedings Under Section 133 and 145 Cr. P.C</t>
  </si>
  <si>
    <t>Civil-023</t>
  </si>
  <si>
    <t>Civil-024</t>
  </si>
  <si>
    <t>Civil-025</t>
  </si>
  <si>
    <t>Civil-026</t>
  </si>
  <si>
    <t>Civil-001-Civil Suits (Original Jurisdiction)</t>
  </si>
  <si>
    <t>Civil-002-Civil Suit</t>
  </si>
  <si>
    <t>Civil-003-Suits under Order 37 CPC</t>
  </si>
  <si>
    <t>Civil-004-Custody of Minors</t>
  </si>
  <si>
    <t>Civil-006-Family Court Cases</t>
  </si>
  <si>
    <t>Civil-007-Succession Cases</t>
  </si>
  <si>
    <t>Civil-008-Guardianship Cases</t>
  </si>
  <si>
    <t>Civil-009-Land Acquisition Cases</t>
  </si>
  <si>
    <t>Civil-010-Rent Cases</t>
  </si>
  <si>
    <t>Civil-011-Proceeding under KP Mental Health Act 2017</t>
  </si>
  <si>
    <t>Civil-012-Tribunal Cases</t>
  </si>
  <si>
    <t>Execution in which periodic payments are made</t>
  </si>
  <si>
    <t>Civil-014-Execution in which periodic payments are made</t>
  </si>
  <si>
    <t>Civil-015-Execution Petitions</t>
  </si>
  <si>
    <t>Civil-016-Cases under other laws</t>
  </si>
  <si>
    <t>Civil-017-Others</t>
  </si>
  <si>
    <t>Civil-019-Application under section 12(2) CPC</t>
  </si>
  <si>
    <t>Civil-020-Review Petition</t>
  </si>
  <si>
    <t>Civil-021-Objection Petitions</t>
  </si>
  <si>
    <t>Civil-022-Civil Appeals</t>
  </si>
  <si>
    <t>Civil Revisions</t>
  </si>
  <si>
    <t>Civil-023-Civil Revisions</t>
  </si>
  <si>
    <t>Civil-024-Guardianship and Succession Appeals</t>
  </si>
  <si>
    <t>Civil-025-Family Appeals</t>
  </si>
  <si>
    <t>Civil-026-Rent Appeals</t>
  </si>
  <si>
    <t>District Code</t>
  </si>
  <si>
    <t>Tehsiel Code</t>
  </si>
  <si>
    <t>DC</t>
  </si>
  <si>
    <t>DISTRICT</t>
  </si>
  <si>
    <t>0100</t>
  </si>
  <si>
    <t>0200</t>
  </si>
  <si>
    <t>0300</t>
  </si>
  <si>
    <t>0301</t>
  </si>
  <si>
    <t>0302</t>
  </si>
  <si>
    <t>0400</t>
  </si>
  <si>
    <t>0401</t>
  </si>
  <si>
    <t>0402</t>
  </si>
  <si>
    <t>0500</t>
  </si>
  <si>
    <t>0501</t>
  </si>
  <si>
    <t>0600</t>
  </si>
  <si>
    <t>0602</t>
  </si>
  <si>
    <t>0601</t>
  </si>
  <si>
    <t>0700</t>
  </si>
  <si>
    <t>0707</t>
  </si>
  <si>
    <t>0701</t>
  </si>
  <si>
    <t>0702</t>
  </si>
  <si>
    <t>0703</t>
  </si>
  <si>
    <t>0704</t>
  </si>
  <si>
    <t>0800</t>
  </si>
  <si>
    <t>0804</t>
  </si>
  <si>
    <t>0803</t>
  </si>
  <si>
    <t>0802</t>
  </si>
  <si>
    <t>0801</t>
  </si>
  <si>
    <t>0900</t>
  </si>
  <si>
    <t>Lower Dir</t>
  </si>
  <si>
    <t>0904</t>
  </si>
  <si>
    <t>0901</t>
  </si>
  <si>
    <t>0902</t>
  </si>
  <si>
    <t>0903</t>
  </si>
  <si>
    <t>1000</t>
  </si>
  <si>
    <t>1002</t>
  </si>
  <si>
    <t>1001</t>
  </si>
  <si>
    <t>1100</t>
  </si>
  <si>
    <t>1101</t>
  </si>
  <si>
    <t>1200</t>
  </si>
  <si>
    <t>1202</t>
  </si>
  <si>
    <t>1300</t>
  </si>
  <si>
    <t>1302</t>
  </si>
  <si>
    <t>1303</t>
  </si>
  <si>
    <t>1304</t>
  </si>
  <si>
    <t>1301</t>
  </si>
  <si>
    <t>1400</t>
  </si>
  <si>
    <t>1500</t>
  </si>
  <si>
    <t>1600</t>
  </si>
  <si>
    <t>1601</t>
  </si>
  <si>
    <t>1700</t>
  </si>
  <si>
    <t>1701</t>
  </si>
  <si>
    <t>1800</t>
  </si>
  <si>
    <t>1801</t>
  </si>
  <si>
    <t>1900</t>
  </si>
  <si>
    <t>1901</t>
  </si>
  <si>
    <t>1902</t>
  </si>
  <si>
    <t>2000</t>
  </si>
  <si>
    <t>2001</t>
  </si>
  <si>
    <t>2100</t>
  </si>
  <si>
    <t>2102</t>
  </si>
  <si>
    <t>2101</t>
  </si>
  <si>
    <t>2200</t>
  </si>
  <si>
    <t>2201</t>
  </si>
  <si>
    <t>2202</t>
  </si>
  <si>
    <t>2300</t>
  </si>
  <si>
    <t>2301</t>
  </si>
  <si>
    <t>2400</t>
  </si>
  <si>
    <t>Kohistan at Dassu</t>
  </si>
  <si>
    <t>2401</t>
  </si>
  <si>
    <t>Kohistan - Pattan</t>
  </si>
  <si>
    <t>2500</t>
  </si>
  <si>
    <t>2600</t>
  </si>
  <si>
    <t>2700</t>
  </si>
  <si>
    <t>Kolai Pallas Kohistan</t>
  </si>
  <si>
    <t>2800</t>
  </si>
  <si>
    <t>2900</t>
  </si>
  <si>
    <t>3000</t>
  </si>
  <si>
    <t>3100</t>
  </si>
  <si>
    <t>3200</t>
  </si>
  <si>
    <t>3300</t>
  </si>
  <si>
    <t>North Waziristan</t>
  </si>
  <si>
    <t>3400</t>
  </si>
  <si>
    <t>South Waziristan</t>
  </si>
  <si>
    <t>3500</t>
  </si>
  <si>
    <t>Tehsiel Name</t>
  </si>
  <si>
    <t>TehsilCode</t>
  </si>
  <si>
    <t>DIstrictCOde</t>
  </si>
  <si>
    <t>DCTC</t>
  </si>
  <si>
    <t>Thana</t>
  </si>
  <si>
    <t>Related To</t>
  </si>
  <si>
    <t>CR-027-Other PPC related cases(Not Listed in above Categories)</t>
  </si>
  <si>
    <t>Other PPC related cases(Not Listed in above Categories)</t>
  </si>
  <si>
    <t>CR-027</t>
  </si>
  <si>
    <t>Civil-027-Civil Appeals against Orders</t>
  </si>
  <si>
    <t>Civil Appeals against Orders</t>
  </si>
  <si>
    <t>Civil-027</t>
  </si>
  <si>
    <t>2 - Start the month but did not complete the month</t>
  </si>
  <si>
    <t>Regular</t>
  </si>
  <si>
    <t>Camp Court</t>
  </si>
  <si>
    <t>CR-028</t>
  </si>
  <si>
    <t>Financial Crimes-Foreign Exchange Cases</t>
  </si>
  <si>
    <t>CR-008-Financial Crimes-Foreign Exchange Cases</t>
  </si>
  <si>
    <t>CR-028-Financial Crimes-489-F PPC</t>
  </si>
  <si>
    <t>Financial Crimes-489-F PPC</t>
  </si>
  <si>
    <t>Civil-028</t>
  </si>
  <si>
    <t>Civil-028-Insolvency Cases</t>
  </si>
  <si>
    <t>Insolvency Cases</t>
  </si>
  <si>
    <t>Total Disposal including Backlog</t>
  </si>
  <si>
    <t>Deficit/Excess against Backlog Clearance Target</t>
  </si>
  <si>
    <t>Criminal-Pending Cases , which are instituted after 31 August 2020</t>
  </si>
  <si>
    <t>Criminal-Total Pendency</t>
  </si>
  <si>
    <t>Civil-Pending Cases , which are instituted after 31 August 2020</t>
  </si>
  <si>
    <t>Civil-Total Pendency</t>
  </si>
  <si>
    <t>Total Balance</t>
  </si>
  <si>
    <t>Council Party 1</t>
  </si>
  <si>
    <t>Council Party 2</t>
  </si>
  <si>
    <t>Pname</t>
  </si>
  <si>
    <t>CourtID</t>
  </si>
  <si>
    <t>MonthYear</t>
  </si>
  <si>
    <t>Current Pendency Stage</t>
  </si>
  <si>
    <t>TARGETS Vs Achivement</t>
  </si>
  <si>
    <t>Deficit \ Excess against Target of 100 %Disposal</t>
  </si>
  <si>
    <t>Total Disposal including Pleadguilty and Security Proceeding</t>
  </si>
  <si>
    <t>Target Vs Achievement in Terms of Disposal</t>
  </si>
  <si>
    <t>Act</t>
  </si>
  <si>
    <t>Section</t>
  </si>
  <si>
    <t>Next Hearing Date</t>
  </si>
  <si>
    <t>FIR NO</t>
  </si>
  <si>
    <t>FIR Date</t>
  </si>
  <si>
    <t>CR-022-Case under Forest Laws, Motor Vehicle Laws, Food Law</t>
  </si>
  <si>
    <t>Case under Forest Laws, Motor Vehicle Laws, Food Law</t>
  </si>
  <si>
    <t>Excess/Deficit in Trial Based Contested Disposal</t>
  </si>
  <si>
    <t>Target Contested Trial based 
Homicide or U/S 30 CrPc. Disposal</t>
  </si>
  <si>
    <t>Contested Trial based 
Homicide or U/S 30 CrPc. Disposal</t>
  </si>
  <si>
    <t>Excess/Deficit in Trial Based Homicide or U/S 30 CrPc. Disposal</t>
  </si>
  <si>
    <t xml:space="preserve"> Criminal - Target Contested Trial based 
Homicide or U/S 30 Cr.Pc. Disposal</t>
  </si>
  <si>
    <t xml:space="preserve"> Criminal - Contested Trial based 
Homicide or U/S 30 Cr.Pc. Disposal</t>
  </si>
  <si>
    <t xml:space="preserve"> Criminal - Excess/Deficit in Trial Based Homicide or U/S 30 Cr.Pc. Disposal</t>
  </si>
  <si>
    <t>Freshly Institution and Transferred In Cases</t>
  </si>
  <si>
    <t>100 %Disposal against Fresh Institution and Transferred In Cases</t>
  </si>
  <si>
    <t>Target V Achievements in terms of Contested and Trial Based Disposal</t>
  </si>
  <si>
    <t>Total Contested Disposal Required</t>
  </si>
  <si>
    <t>Total Contested Disposl Made</t>
  </si>
  <si>
    <t>Deficit/Excess in Contested Disposal</t>
  </si>
  <si>
    <t>Total Trial Based Contested Disposal Required</t>
  </si>
  <si>
    <t>Total Trial Based Contested Disposl Made</t>
  </si>
  <si>
    <t>Deficit/Excess in Trial Based Contested Disposal</t>
  </si>
  <si>
    <t>Total pendency</t>
  </si>
  <si>
    <t>Civil Cases</t>
  </si>
  <si>
    <t>Criminal Cases</t>
  </si>
  <si>
    <t>Execution Petition</t>
  </si>
  <si>
    <t>Pendency excluding Execution Petition and Periodic Payments</t>
  </si>
  <si>
    <t>Criminl Cases</t>
  </si>
  <si>
    <t>Total Backlog</t>
  </si>
  <si>
    <t>Pending Cases , which are instituted before 1 September 2020</t>
  </si>
  <si>
    <t>Backlog Status</t>
  </si>
  <si>
    <t>Pendency before 1. September 2020 (Execution Petition)</t>
  </si>
  <si>
    <t>Backlog Pendency excluding Execution Petition and Periodic Payments</t>
  </si>
  <si>
    <t>Total Backlog Pendency</t>
  </si>
  <si>
    <t>Backlog Pendency of Civil Matters excluding Execution Petition and Periodic Payments</t>
  </si>
  <si>
    <t>Backlog Pendency of Criminal Matters</t>
  </si>
  <si>
    <t>Backlog Status Summary</t>
  </si>
  <si>
    <t>Civil-Pendency before 1. September 2020 (Execution Petition)</t>
  </si>
  <si>
    <t>Civil-Backlog Pendency excluding Execution Petition and Periodic Payments</t>
  </si>
  <si>
    <t>Civil-Total Backlog Pendency</t>
  </si>
  <si>
    <t>Criminal-Total Backlog Pendency</t>
  </si>
  <si>
    <t>Backlog Summary</t>
  </si>
  <si>
    <t>Date 
When case was put to Trial (dd-mmm-yyyy)</t>
  </si>
  <si>
    <t>Male</t>
  </si>
  <si>
    <t>Female</t>
  </si>
  <si>
    <t>Juvenile</t>
  </si>
  <si>
    <t>65 Years &amp; Above in Total.</t>
  </si>
  <si>
    <t>Remaining Witness to be Examined</t>
  </si>
  <si>
    <t>Last 
Hearing Date
(dd-mm-yyyy)</t>
  </si>
  <si>
    <t>Number of hearing since case is put in trial</t>
  </si>
  <si>
    <t>Number of hearing since case is in current stage</t>
  </si>
  <si>
    <t>Reason for 
Delay or No Proceedings</t>
  </si>
  <si>
    <t>If, Other 
then write down the detail</t>
  </si>
  <si>
    <t>Is UTP Case</t>
  </si>
  <si>
    <t>Total UTPS</t>
  </si>
  <si>
    <t>Zone</t>
  </si>
  <si>
    <t>Target Achivement Status-Institution VS Disposal</t>
  </si>
  <si>
    <t>Target Achivement Status-Backlog Clearence</t>
  </si>
  <si>
    <t>Target Achivement Status-Contested Disposal</t>
  </si>
  <si>
    <t>Target Achivement Status-Trial Based Contested Disposal</t>
  </si>
  <si>
    <t>Target Achivement Status-Under Homicide or US 30 CRPC Contested Disposal</t>
  </si>
  <si>
    <t>Target Achivement Summary (1- Target Completely Achieved, 2- Target Partially Achieved, 3- Target Not Achieved)</t>
  </si>
  <si>
    <t>Setup Values for Reasons for Delay and Non Proceedings</t>
  </si>
  <si>
    <t>1- Due to Learned Council of Party 1</t>
  </si>
  <si>
    <t>2- Due to Learned Council of Party 2</t>
  </si>
  <si>
    <t>3- Due to Non production of Defendant Party Evidence</t>
  </si>
  <si>
    <t>4- Due to to Non production of Plantif Party Evidence</t>
  </si>
  <si>
    <t>5- Due to Bar Strikes</t>
  </si>
  <si>
    <t>6- Others</t>
  </si>
  <si>
    <t>Civil Zones</t>
  </si>
  <si>
    <t>Session Zones</t>
  </si>
  <si>
    <t>Zone A</t>
  </si>
  <si>
    <t>Zone B</t>
  </si>
  <si>
    <t>Zone C</t>
  </si>
  <si>
    <t>District</t>
  </si>
  <si>
    <t>PQSP Version</t>
  </si>
  <si>
    <t>Chitral Upper - Mastuj</t>
  </si>
  <si>
    <t>Chitral Upper- Booni</t>
  </si>
  <si>
    <t>TargetTrialBasedContested</t>
  </si>
  <si>
    <t>Criminal Backlog Balance</t>
  </si>
  <si>
    <t>Civil Backlog Balanc</t>
  </si>
  <si>
    <t>QTR</t>
  </si>
  <si>
    <t>QTRIndex</t>
  </si>
  <si>
    <t>QTrStartMonth</t>
  </si>
  <si>
    <t>QtrEndMonth</t>
  </si>
  <si>
    <t>Target Vs Achievements Summary</t>
  </si>
  <si>
    <t>7- No Delay Reason, (Proceeding are satisfactory)</t>
  </si>
  <si>
    <t>Trial Based Contested Disposal</t>
  </si>
  <si>
    <t>CategoryEditiedStatus</t>
  </si>
  <si>
    <t>Dc</t>
  </si>
  <si>
    <t>Court Type</t>
  </si>
  <si>
    <t>Version</t>
  </si>
  <si>
    <t>CatName</t>
  </si>
  <si>
    <t>Date _When case was put to Trial (dd-mmm-yyyy)</t>
  </si>
  <si>
    <t>65 Years &amp; Above in Total#</t>
  </si>
  <si>
    <t>Last _Hearing Date_(dd-mm-yyyy)</t>
  </si>
  <si>
    <t>Reason for _Delay or No Proceedings</t>
  </si>
  <si>
    <t>If, Other _then write down the detail</t>
  </si>
  <si>
    <t>Pending</t>
  </si>
  <si>
    <t>total Disposal including backlog</t>
  </si>
  <si>
    <t>Kurram-Sadda</t>
  </si>
  <si>
    <t xml:space="preserve"> Criminal - Pending Cases , which are instituted before 1 September 2020</t>
  </si>
  <si>
    <t xml:space="preserve"> Civil - Pending Cases , which are instituted before 1 September 2020</t>
  </si>
  <si>
    <t>AcquittalORConviction</t>
  </si>
  <si>
    <t>Khyber - Bara</t>
  </si>
  <si>
    <t>Khyber - Landi Kotal</t>
  </si>
  <si>
    <t>SNo</t>
  </si>
  <si>
    <t>Civil-029</t>
  </si>
  <si>
    <t>Execution Petitions Against Government</t>
  </si>
  <si>
    <t>Civil-029-Execution Petitions Against Government</t>
  </si>
  <si>
    <t>Execution in which periodic payments are made Including against Governement</t>
  </si>
  <si>
    <t>homicide or US 30 CrPc Pool</t>
  </si>
  <si>
    <t>Pendency before 1. September 2020 (Execution in which periodic payments are made, Including against Governement)</t>
  </si>
  <si>
    <t>Pendency before 1. September 2020 (Execution in which periodic payments are made including against Governement)</t>
  </si>
  <si>
    <t>Civil-Pendency before 1. September 2020 (Execution in which periodic payments are made, including against Governement)</t>
  </si>
  <si>
    <t>Civil Total</t>
  </si>
  <si>
    <t>Count of SNo</t>
  </si>
  <si>
    <t>Civil-Pending Cases , which are instituted before 1 September 2020</t>
  </si>
  <si>
    <t>Criminal-Pending Cases , which are instituted before 1 September 2020</t>
  </si>
  <si>
    <t>TotalBalanceFromLastMonth</t>
  </si>
  <si>
    <t>Total Freshly Institution</t>
  </si>
  <si>
    <t>Total Other Institution</t>
  </si>
  <si>
    <t>Total Transfer In</t>
  </si>
  <si>
    <t>Total Transfer Out</t>
  </si>
  <si>
    <t>Total For Disposal</t>
  </si>
  <si>
    <t>Total Cases Disposed</t>
  </si>
  <si>
    <t>Total Disposal Without Security Proceedings and Pleadguilty</t>
  </si>
  <si>
    <t>Total Contested Trial Based Disposal</t>
  </si>
  <si>
    <t>Total Contested Non Trial Based Disposal</t>
  </si>
  <si>
    <t>Total Criminal-Contested Trial Based Disposal</t>
  </si>
  <si>
    <t>Total Criminal Contested Non Trial Based Disposal</t>
  </si>
  <si>
    <t>Total Civil Contested Trial Based Disposal</t>
  </si>
  <si>
    <t>Total Civil Contested Non Trial Based Disposal</t>
  </si>
  <si>
    <t>TotalInstitution and Transfer Ins</t>
  </si>
  <si>
    <t>Torghar Khander</t>
  </si>
  <si>
    <t>F56</t>
  </si>
  <si>
    <t>F57</t>
  </si>
  <si>
    <t>F58</t>
  </si>
  <si>
    <t>F59</t>
  </si>
  <si>
    <t>PHC0344-79-1</t>
  </si>
  <si>
    <t>Mr. Asghar Ali Sarlarzai</t>
  </si>
  <si>
    <t>PHC0142-71-1</t>
  </si>
  <si>
    <t>Mr. Zahid Mehmood</t>
  </si>
  <si>
    <t>PHC0745-93-1</t>
  </si>
  <si>
    <t>Mr. Abdul Basit</t>
  </si>
  <si>
    <t>PHC0746-91-1</t>
  </si>
  <si>
    <t>Mr. Abdul Majid Afridi</t>
  </si>
  <si>
    <t>PHC0747-87-1</t>
  </si>
  <si>
    <t>Mr. Abdul Sattar Khan</t>
  </si>
  <si>
    <t>PHC0748-88-1</t>
  </si>
  <si>
    <t>Mr. Abid Hayat Safi</t>
  </si>
  <si>
    <t>PHC0749-93-1</t>
  </si>
  <si>
    <t>Ms. Afsheen</t>
  </si>
  <si>
    <t>PHC0750-92-1</t>
  </si>
  <si>
    <t>Mr. Ahmad Daniyal Tanoli</t>
  </si>
  <si>
    <t>PHC0751-89-1</t>
  </si>
  <si>
    <t>Mr. Ahmad Rasheed</t>
  </si>
  <si>
    <t>PHC0752-92-1</t>
  </si>
  <si>
    <t>Mr. Aitezad Hassan</t>
  </si>
  <si>
    <t>PHC0753-91-1</t>
  </si>
  <si>
    <t>Mr. Amjad Ali</t>
  </si>
  <si>
    <t>PHC0754-93-1</t>
  </si>
  <si>
    <t>Mr. Aqib Aman</t>
  </si>
  <si>
    <t>PHC0755-93-1</t>
  </si>
  <si>
    <t>Mr. Arsalan Uddin Ahmad</t>
  </si>
  <si>
    <t>PHC0756-92-1</t>
  </si>
  <si>
    <t>Mr. Arshad Ali Khan</t>
  </si>
  <si>
    <t>PHC0757-94-1</t>
  </si>
  <si>
    <t>Mr. Asim Khan</t>
  </si>
  <si>
    <t>PHC0758-93-1</t>
  </si>
  <si>
    <t>Ms. Asma Farooq</t>
  </si>
  <si>
    <t>PHC0759-92-1</t>
  </si>
  <si>
    <t>Mr. Aziz Ullah</t>
  </si>
  <si>
    <t>PHC0760-89-1</t>
  </si>
  <si>
    <t>Mr. Fahim Ahmad</t>
  </si>
  <si>
    <t>PHC0761-89-1</t>
  </si>
  <si>
    <t>Ms. Farkhanda Shaheen</t>
  </si>
  <si>
    <t>PHC0762-92-1</t>
  </si>
  <si>
    <t>Mr. Fasih ur Rehman</t>
  </si>
  <si>
    <t>PHC0763-94-1</t>
  </si>
  <si>
    <t>Ms. Hafsa</t>
  </si>
  <si>
    <t>PHC0764-91-1</t>
  </si>
  <si>
    <t>Ms. Hira Khurshid</t>
  </si>
  <si>
    <t>PHC0765-94-1</t>
  </si>
  <si>
    <t>Mr. Ihsan Khan</t>
  </si>
  <si>
    <t>PHC0766-93-1</t>
  </si>
  <si>
    <t>Mr. Ihtisham ul Haq</t>
  </si>
  <si>
    <t>PHC0767-87-1</t>
  </si>
  <si>
    <t>Mr. Jawad Bin Daud</t>
  </si>
  <si>
    <t>PHC0768-92-1</t>
  </si>
  <si>
    <t>Mr. Kashif Ali Said</t>
  </si>
  <si>
    <t>PHC0769-94-1</t>
  </si>
  <si>
    <t>Ms. Khadeja Rehman</t>
  </si>
  <si>
    <t>PHC0770-92-1</t>
  </si>
  <si>
    <t>Ms. Khkula</t>
  </si>
  <si>
    <t>PHC0771-92-1</t>
  </si>
  <si>
    <t>Ms. Kiran Noor</t>
  </si>
  <si>
    <t>PHC0772-92-1</t>
  </si>
  <si>
    <t>Mr. Mahboob ul Hassan</t>
  </si>
  <si>
    <t>PHC0773-92-1</t>
  </si>
  <si>
    <t>Mr. Majid Ali Khan</t>
  </si>
  <si>
    <t>PHC0774-90-1</t>
  </si>
  <si>
    <t>Ms. Maryam Atta</t>
  </si>
  <si>
    <t>PHC0775-94-1</t>
  </si>
  <si>
    <t>Ms. Maryam Mahinoor</t>
  </si>
  <si>
    <t>PHC0776-89-1</t>
  </si>
  <si>
    <t>Ms. Maryam Sheheryar</t>
  </si>
  <si>
    <t>PHC0777-90-1</t>
  </si>
  <si>
    <t>Ms. Mashal Latif</t>
  </si>
  <si>
    <t>PHC0778-87-1</t>
  </si>
  <si>
    <t>Mr. Masroor Nadir Taj</t>
  </si>
  <si>
    <t>PHC0779-94-1</t>
  </si>
  <si>
    <t>Mr. Mohsin Tariq Khan</t>
  </si>
  <si>
    <t>PHC0780-92-1</t>
  </si>
  <si>
    <t>Mr. Muhammad Ijaz</t>
  </si>
  <si>
    <t>PHC0781-93-1</t>
  </si>
  <si>
    <t>Mr. Muhammad Kamal Shah</t>
  </si>
  <si>
    <t>PHC0782-92-1</t>
  </si>
  <si>
    <t>Mr. Muhammad Khan</t>
  </si>
  <si>
    <t>PHC0783-89-1</t>
  </si>
  <si>
    <t>Mr. Muhammad Saifullah Khan</t>
  </si>
  <si>
    <t>PHC0784-88-1</t>
  </si>
  <si>
    <t>Mr. Muhammad Umair Qasmi</t>
  </si>
  <si>
    <t>PHC0785-91-1</t>
  </si>
  <si>
    <t>Ms. Nayab Qayyum</t>
  </si>
  <si>
    <t>PHC0786-92-1</t>
  </si>
  <si>
    <t>Ms. Ramla Sehrish Rehman</t>
  </si>
  <si>
    <t>PHC0787-91-1</t>
  </si>
  <si>
    <t>Ms. Rehana Ehsan</t>
  </si>
  <si>
    <t>PHC0788-92-1</t>
  </si>
  <si>
    <t>Mr. Rizwan Ullah</t>
  </si>
  <si>
    <t>PHC0789-91-1</t>
  </si>
  <si>
    <t>Ms. Sadia Ibrahim</t>
  </si>
  <si>
    <t>PHC0790-94-1</t>
  </si>
  <si>
    <t>Mr. Safdar Khan</t>
  </si>
  <si>
    <t>PHC0791-94-1</t>
  </si>
  <si>
    <t>Mr. Saif ul Islam</t>
  </si>
  <si>
    <t>PHC0792-90-1</t>
  </si>
  <si>
    <t>Ms. Saima Ehsan</t>
  </si>
  <si>
    <t>PHC0793-91-1</t>
  </si>
  <si>
    <t>Mr. Samiullah</t>
  </si>
  <si>
    <t>PHC0794-93-1</t>
  </si>
  <si>
    <t>Ms. Sania Kiran</t>
  </si>
  <si>
    <t>PHC0795-85-1</t>
  </si>
  <si>
    <t>Mr. Sartaj Muhammad</t>
  </si>
  <si>
    <t>PHC0796-91-1</t>
  </si>
  <si>
    <t>Ms. Sehrish Khan</t>
  </si>
  <si>
    <t>PHC0797-92-1</t>
  </si>
  <si>
    <t>Mr. Shabeer Ahmad</t>
  </si>
  <si>
    <t>PHC0798-90-1</t>
  </si>
  <si>
    <t>Ms. Shadab</t>
  </si>
  <si>
    <t>PHC0799-95-1</t>
  </si>
  <si>
    <t>Mr. Shafqat Qadeer</t>
  </si>
  <si>
    <t>PHC0800-93-1</t>
  </si>
  <si>
    <t>PHC0801-90-1</t>
  </si>
  <si>
    <t>Mr. Shahid Ullah Khan Wazir</t>
  </si>
  <si>
    <t>PHC0802-91-1</t>
  </si>
  <si>
    <t>Mr. Shahzad Khan</t>
  </si>
  <si>
    <t>PHC0803-91-1</t>
  </si>
  <si>
    <t>Mr. Sheraz Qamar</t>
  </si>
  <si>
    <t>PHC0804-94-1</t>
  </si>
  <si>
    <t>Ms. Sidra</t>
  </si>
  <si>
    <t>PHC0805-88-1</t>
  </si>
  <si>
    <t>Ms. Sidra Hussain</t>
  </si>
  <si>
    <t>PHC0806-93-1</t>
  </si>
  <si>
    <t>Ms. Sumia Kazmi</t>
  </si>
  <si>
    <t>PHC0807-88-1</t>
  </si>
  <si>
    <t>Ms. Suneela James</t>
  </si>
  <si>
    <t>PHC0808-89-1</t>
  </si>
  <si>
    <t>Syed Ghani Shah</t>
  </si>
  <si>
    <t>PHC0809-92-1</t>
  </si>
  <si>
    <t>Mr. Tanzeel ur Rahman</t>
  </si>
  <si>
    <t>PHC0810-94-1</t>
  </si>
  <si>
    <t>Mr. Tashfeen Aziz</t>
  </si>
  <si>
    <t>PHC0811-90-1</t>
  </si>
  <si>
    <t>Mr. Umer Farooq</t>
  </si>
  <si>
    <t>PHC0812-94-1</t>
  </si>
  <si>
    <t>Mr. Waqar Ahmad</t>
  </si>
  <si>
    <t>PHC0813-90-1</t>
  </si>
  <si>
    <t>Ms. Zaib un Nisa Abbasi</t>
  </si>
  <si>
    <t>PHC0814-91-1</t>
  </si>
  <si>
    <t>Ms. Zainab Batool Zaidi</t>
  </si>
  <si>
    <t>PHC0815-90-1</t>
  </si>
  <si>
    <t>Ms. Zainub Khalid Khan</t>
  </si>
  <si>
    <t>PHC0816-93-1</t>
  </si>
  <si>
    <t>Mr. Zeeshan Younas</t>
  </si>
  <si>
    <t>PQSP -Version 3.1 (20.12.2021)</t>
  </si>
  <si>
    <t xml:space="preserve"> </t>
  </si>
  <si>
    <t xml:space="preserve">  </t>
  </si>
  <si>
    <t>Not Applicable</t>
  </si>
  <si>
    <t>Disposed</t>
  </si>
  <si>
    <t>Not Pending</t>
  </si>
  <si>
    <t>Sessions Court</t>
  </si>
  <si>
    <t>33/1</t>
  </si>
  <si>
    <t>Muhammad Said etc Vs Govt kpk etc</t>
  </si>
  <si>
    <t>Windows User</t>
  </si>
  <si>
    <t>12/1</t>
  </si>
  <si>
    <t>Muhammad Mukhtiar Vs Noor ul islam etc</t>
  </si>
  <si>
    <t>13/1</t>
  </si>
  <si>
    <t>Haji Muhammad Iqbal Vs govt kpk etc</t>
  </si>
  <si>
    <t>14/1</t>
  </si>
  <si>
    <t>Syed Afzal Mabood Jan Vs DC dir</t>
  </si>
  <si>
    <t>25/1</t>
  </si>
  <si>
    <t>Abdul Wahab Vs Abdul Hamid</t>
  </si>
  <si>
    <t>24/1</t>
  </si>
  <si>
    <t>Nazir Muhammad Vs Saif Ullah</t>
  </si>
  <si>
    <t>26/1</t>
  </si>
  <si>
    <t>Abdul Hamid Vs Naik Zada</t>
  </si>
  <si>
    <t>7/1</t>
  </si>
  <si>
    <t>Shah Khalid Vs Zia Ur Rehman</t>
  </si>
  <si>
    <t>34/1</t>
  </si>
  <si>
    <t>Ubaid Ur Rehman Vs Govt etc</t>
  </si>
  <si>
    <t>35/1</t>
  </si>
  <si>
    <t>Gul Hamid Jan Vs Govt KPK etc</t>
  </si>
  <si>
    <t>37/1</t>
  </si>
  <si>
    <t>Malak Gul Sheren Zada Vs Govt etc</t>
  </si>
  <si>
    <t>3/1</t>
  </si>
  <si>
    <t>Irfan Ullah Vs Insam Ullah</t>
  </si>
  <si>
    <t>Inayat Ul Haq Vs Hayat Muhammad Khan etc</t>
  </si>
  <si>
    <t>9/1</t>
  </si>
  <si>
    <t>Amir Afzal Vs Govt etc</t>
  </si>
  <si>
    <t>10/1</t>
  </si>
  <si>
    <t>Maqbool Muhammad Vs Imran Khan</t>
  </si>
  <si>
    <t>Inayat Ullah Vs Inam Ullah</t>
  </si>
  <si>
    <t>16/1</t>
  </si>
  <si>
    <t>Syed Karim Shah Vs Govt etc</t>
  </si>
  <si>
    <t>19/1</t>
  </si>
  <si>
    <t>Muhammad Ibrahim etc Vs Waqas Khan etc</t>
  </si>
  <si>
    <t>20/1</t>
  </si>
  <si>
    <t>Shah Nawaz Vs Zia Ul Islam</t>
  </si>
  <si>
    <t>23/1</t>
  </si>
  <si>
    <t>Mahboob Zada Vs She Ullah</t>
  </si>
  <si>
    <t>Amin Ur Rehman Vs Haider Shah</t>
  </si>
  <si>
    <t>29/1</t>
  </si>
  <si>
    <t>Shafi Ur Rehman Vs Nagin Khan</t>
  </si>
  <si>
    <t>28/1</t>
  </si>
  <si>
    <t>Shah Zamin Vs Azmat Ullah etc</t>
  </si>
  <si>
    <t>30/1</t>
  </si>
  <si>
    <t>Sadiq Ur Rehman Vs Nagin Khan</t>
  </si>
  <si>
    <t>31/1</t>
  </si>
  <si>
    <t>Jan Muhammad Vs Kheyal Zamin</t>
  </si>
  <si>
    <t>Gul Sheren Zada Vs Govt kpk etc</t>
  </si>
  <si>
    <t>2/1</t>
  </si>
  <si>
    <t>Farid Ullah Vs Ajmir Khan</t>
  </si>
  <si>
    <t>1/1</t>
  </si>
  <si>
    <t>Imran Ullah Vs Umar Zada</t>
  </si>
  <si>
    <t>5/1</t>
  </si>
  <si>
    <t>Ali Akbar Vs Anwar Ali</t>
  </si>
  <si>
    <t>6/1</t>
  </si>
  <si>
    <t>Bakht Muhammad Vs Akmal Abbasi</t>
  </si>
  <si>
    <t>Muhammad Naeem Vs Ihsan Ullah etc</t>
  </si>
  <si>
    <t>8/1</t>
  </si>
  <si>
    <t>Bakht Nasib Khan Vs Mubarak Nawaz</t>
  </si>
  <si>
    <t>Khan Zarin Vs Sardar Khan</t>
  </si>
  <si>
    <t>Muhammad Islam Vs Islam Muhammad</t>
  </si>
  <si>
    <t>11/1</t>
  </si>
  <si>
    <t>Husnul Maab VS Govt kpk etc</t>
  </si>
  <si>
    <t>Siraj Hamid Vs Govt kpk etc</t>
  </si>
  <si>
    <t>Husain Muhamamd Vs Govt kpk etc</t>
  </si>
  <si>
    <t>Ikram Ullah Vs Govt kpk etc</t>
  </si>
  <si>
    <t>15/1</t>
  </si>
  <si>
    <t>Muhammad Ghulam Vs Govt kpk etc</t>
  </si>
  <si>
    <t>Qayoum Shah Vs Govt kpk etc</t>
  </si>
  <si>
    <t>17/1</t>
  </si>
  <si>
    <t>Shah Zamin Vs Govt kpk etc</t>
  </si>
  <si>
    <t>18/1</t>
  </si>
  <si>
    <t>Haya Said Vs Govt kpk etc</t>
  </si>
  <si>
    <t>Altaf Husain Vs Dc etc</t>
  </si>
  <si>
    <t>Dr Amin Ul Haq Vs DC etc</t>
  </si>
  <si>
    <t>21/1</t>
  </si>
  <si>
    <t>Muhammad Izhar Vs Govt kpk etc</t>
  </si>
  <si>
    <t>22/1</t>
  </si>
  <si>
    <t>Said Afzal Vs DC etc</t>
  </si>
  <si>
    <t>Dr Shoib Ahmad Vs Govt etc</t>
  </si>
  <si>
    <t>Muhammad Afzal khan Vs govt etc</t>
  </si>
  <si>
    <t>84/4</t>
  </si>
  <si>
    <t>Sajad Ali Khan Vs Govt kpk etc</t>
  </si>
  <si>
    <t>110/4</t>
  </si>
  <si>
    <t>Room Badshah Vs Govt kpk etc</t>
  </si>
  <si>
    <t>85/4</t>
  </si>
  <si>
    <t>Fazal Mehmood Vs Govt kpk etc</t>
  </si>
  <si>
    <t>13/4</t>
  </si>
  <si>
    <t>Mukhtiar Ahmad Vs Govt kpk etc</t>
  </si>
  <si>
    <t>14/4</t>
  </si>
  <si>
    <t>Aman Ullah Khan Vs Govt kpk etc</t>
  </si>
  <si>
    <t>15/4</t>
  </si>
  <si>
    <t>Malangay Vs Govt kpk etc</t>
  </si>
  <si>
    <t>16/4</t>
  </si>
  <si>
    <t>Akram Khan Vs Govt kpk etc</t>
  </si>
  <si>
    <t>17/4</t>
  </si>
  <si>
    <t>Muhammad Shahab Vs Govt kpk etc</t>
  </si>
  <si>
    <t>18/4</t>
  </si>
  <si>
    <t>Gran Vs Govt kpk etc</t>
  </si>
  <si>
    <t>19/4</t>
  </si>
  <si>
    <t>Noor Muhammad Khan Vs Govt kpk</t>
  </si>
  <si>
    <t>20/4</t>
  </si>
  <si>
    <t>Gulzar Ali Khan Vs Govt kpk etc</t>
  </si>
  <si>
    <t>21/4</t>
  </si>
  <si>
    <t>Ikram Ullah Vs Govt etc</t>
  </si>
  <si>
    <t>22/4</t>
  </si>
  <si>
    <t>Fazal Mabood Vs Govt kpk etc</t>
  </si>
  <si>
    <t>23/4</t>
  </si>
  <si>
    <t>Naimat Ullah Vs Govt kpk et</t>
  </si>
  <si>
    <t>24/4</t>
  </si>
  <si>
    <t>Muhammad Khalid Vs Govt kpk etc</t>
  </si>
  <si>
    <t>25/4</t>
  </si>
  <si>
    <t>Maqsood Ur Rehman Vs Govt kpk etc</t>
  </si>
  <si>
    <t>26/4</t>
  </si>
  <si>
    <t>Said Muhammad Waris Jan Vs Govt kpk etc</t>
  </si>
  <si>
    <t>27/4</t>
  </si>
  <si>
    <t>Muhammad Rafiq Vs Govt kpk etc</t>
  </si>
  <si>
    <t>37/4</t>
  </si>
  <si>
    <t>Zia Ul Haq VS Govt kpk etc</t>
  </si>
  <si>
    <t>38/4</t>
  </si>
  <si>
    <t>Mushtaq Ali Vs Govt kpk etc</t>
  </si>
  <si>
    <t>39/4</t>
  </si>
  <si>
    <t>Sarbiland Khan Vs Govt etc</t>
  </si>
  <si>
    <t>40/4</t>
  </si>
  <si>
    <t>Zubair Shah Vs Govt kpk etc</t>
  </si>
  <si>
    <t>41/4</t>
  </si>
  <si>
    <t>Babar Khan Vs Govt kpk etc</t>
  </si>
  <si>
    <t>42/4</t>
  </si>
  <si>
    <t>Nair Zaman Vs Govt kpk etc</t>
  </si>
  <si>
    <t>43/4</t>
  </si>
  <si>
    <t>Ahmad Kamal Vs Govt kpk etc</t>
  </si>
  <si>
    <t>44/4</t>
  </si>
  <si>
    <t>Ghufran Khan Vs Govt kpk etc</t>
  </si>
  <si>
    <t>45/4</t>
  </si>
  <si>
    <t>Said Ghafoor Vs govt kpk etc</t>
  </si>
  <si>
    <t>46/4</t>
  </si>
  <si>
    <t>Muhammad Ikram Khan Vs Govt kpk etc</t>
  </si>
  <si>
    <t>47/4</t>
  </si>
  <si>
    <t>Muhammad Nawaz Khan Vs Govt kpk etc</t>
  </si>
  <si>
    <t>48/4</t>
  </si>
  <si>
    <t>Muhammad Yousuf Vs Govt kpk etc</t>
  </si>
  <si>
    <t>119/4</t>
  </si>
  <si>
    <t>Miraj Ul Hasan Vs Govt kpk etc</t>
  </si>
  <si>
    <t>120/4</t>
  </si>
  <si>
    <t>Mst Ajmania bibi Vs govt kpk etc</t>
  </si>
  <si>
    <t>121/4</t>
  </si>
  <si>
    <t>Badshah Ali Vs Govt kpk etc</t>
  </si>
  <si>
    <t>122/4</t>
  </si>
  <si>
    <t>Rahim Dad Khan Vs Govt kpk etc</t>
  </si>
  <si>
    <t>123/4</t>
  </si>
  <si>
    <t>Ajab Khan Vs Govt kpk etc</t>
  </si>
  <si>
    <t>124/4</t>
  </si>
  <si>
    <t>Zarawar Khan Vs Govt kpk etc</t>
  </si>
  <si>
    <t>125/4</t>
  </si>
  <si>
    <t>Yousufzai Vs Govt kpk etc</t>
  </si>
  <si>
    <t>126/4</t>
  </si>
  <si>
    <t>Taj Muhammad Vs Govt kpk etc</t>
  </si>
  <si>
    <t>127/4</t>
  </si>
  <si>
    <t>Sar Zamin Vs Govt kpk etc</t>
  </si>
  <si>
    <t>128/4</t>
  </si>
  <si>
    <t>Ikram Muhammad Vs Govt kpk etc</t>
  </si>
  <si>
    <t>129/4</t>
  </si>
  <si>
    <t>Asfandyar Vs Govt kpk etc</t>
  </si>
  <si>
    <t>130/4</t>
  </si>
  <si>
    <t>Hazrat Umar Vs Govt kpk etc</t>
  </si>
  <si>
    <t>131/4</t>
  </si>
  <si>
    <t>Anwar Baig Vs Govt kpk etc</t>
  </si>
  <si>
    <t>132/4</t>
  </si>
  <si>
    <t>Muhammad Shah Vs Govt kpk etc</t>
  </si>
  <si>
    <t>133/4</t>
  </si>
  <si>
    <t>Rahman Said Vs Govt kpk etc</t>
  </si>
  <si>
    <t>134/4</t>
  </si>
  <si>
    <t>Ubaid Ullah Vs Govt kpk etc</t>
  </si>
  <si>
    <t>Gul Rehman Vs Govt kpk etc</t>
  </si>
  <si>
    <t>1/4</t>
  </si>
  <si>
    <t>Muhammad Khan Vs Govt kpk etc</t>
  </si>
  <si>
    <t>2/4</t>
  </si>
  <si>
    <t>Badsha Umar Vs Govt kpk etc</t>
  </si>
  <si>
    <t>3/4</t>
  </si>
  <si>
    <t>Bakht Biland Khan Vs Govt kpk etc</t>
  </si>
  <si>
    <t>4/4</t>
  </si>
  <si>
    <t>Saeed Muhammad Vs Govt kpk etc</t>
  </si>
  <si>
    <t>5/4</t>
  </si>
  <si>
    <t>Abdul Hamid Vs Govt kpk etc</t>
  </si>
  <si>
    <t>6/4</t>
  </si>
  <si>
    <t>Aziz Ullah Vs Govt kpk etc</t>
  </si>
  <si>
    <t>7/4</t>
  </si>
  <si>
    <t>Habib Ullah Vs Govt kpk etc</t>
  </si>
  <si>
    <t>8/4</t>
  </si>
  <si>
    <t>Jehan Bahadar Vs Govt kpk etc</t>
  </si>
  <si>
    <t>9/4</t>
  </si>
  <si>
    <t>Muhammad Haris Vs Govt kpk etc</t>
  </si>
  <si>
    <t>Jamil Khan Vs Govt kpk etc</t>
  </si>
  <si>
    <t>12/10</t>
  </si>
  <si>
    <t>Nawab Zada Shahab ud din Vs Govt etc</t>
  </si>
  <si>
    <t>13/10</t>
  </si>
  <si>
    <t>Asad Ullah Vs Govt etc</t>
  </si>
  <si>
    <t>15/10</t>
  </si>
  <si>
    <t>Mumtaz Mahal Vs Govt etc</t>
  </si>
  <si>
    <t>14/10</t>
  </si>
  <si>
    <t>Mehreen Khan Vs Govt etc</t>
  </si>
  <si>
    <t>3/10</t>
  </si>
  <si>
    <t>Maqbool Muhammad Vs Yaqoob Khan etc</t>
  </si>
  <si>
    <t>18/10 Neem</t>
  </si>
  <si>
    <t>Mia ZarinKhan Vs Mumtaz Ahmad Jan</t>
  </si>
  <si>
    <t>20/10</t>
  </si>
  <si>
    <t>Lal Badshah VS Muhammad Fayaz</t>
  </si>
  <si>
    <t>5/10</t>
  </si>
  <si>
    <t>Tariq Ahmad Vs Salah ud din</t>
  </si>
  <si>
    <t>19/10</t>
  </si>
  <si>
    <t>Ahmad Ullah Vs Sohail Muhammad</t>
  </si>
  <si>
    <t>Hamad Siraj Vs Anwar Shah</t>
  </si>
  <si>
    <t>44/10 Neem</t>
  </si>
  <si>
    <t>Muhammad Yar Vs govt etc</t>
  </si>
  <si>
    <t>45/10 Neem</t>
  </si>
  <si>
    <t>Shafiq Ur Rehman Vs  Govt etc</t>
  </si>
  <si>
    <t>51/10</t>
  </si>
  <si>
    <t>Shahd Muhammad Vs Rahaq Iqbal</t>
  </si>
  <si>
    <t>54/10</t>
  </si>
  <si>
    <t>Mujahid Kamal Vs Abdur Rehman</t>
  </si>
  <si>
    <t>1/10</t>
  </si>
  <si>
    <t>Fazal Ghafoor Vs Akbar</t>
  </si>
  <si>
    <t>Akbar Muhammad Vs Rahman said</t>
  </si>
  <si>
    <t>4/10</t>
  </si>
  <si>
    <t>Tajbar Khan Vs Atha Ullah</t>
  </si>
  <si>
    <t>Mukamal Said Vs Usman Ghani</t>
  </si>
  <si>
    <t>5/6</t>
  </si>
  <si>
    <t>Asad Ullah Vs Govt kpk</t>
  </si>
  <si>
    <t>12/6</t>
  </si>
  <si>
    <t>Abdul Samad Bacha Vs Abdul Ahad Bacha</t>
  </si>
  <si>
    <t>27/6</t>
  </si>
  <si>
    <t>DG ISI Vs Haji Latif Zada etc</t>
  </si>
  <si>
    <t>28/6</t>
  </si>
  <si>
    <t>Syed Karim Shah Vs Govt kpk etc</t>
  </si>
  <si>
    <t>Najib Raza Vs Fawad etc</t>
  </si>
  <si>
    <t>8/6</t>
  </si>
  <si>
    <t>Zahir Ullah Vs Irshad Ul Haq</t>
  </si>
  <si>
    <t>9/6</t>
  </si>
  <si>
    <t>Dr Muhammad Rehman Vs govt kpk etc</t>
  </si>
  <si>
    <t>23/6</t>
  </si>
  <si>
    <t>Fazal Malik Vs Mst Subhania</t>
  </si>
  <si>
    <t>22/6</t>
  </si>
  <si>
    <t>VS UOM Vs Mst Hafsa bibi</t>
  </si>
  <si>
    <t>26/6</t>
  </si>
  <si>
    <t>Razmin Khan Vs DC etc</t>
  </si>
  <si>
    <t>10/6</t>
  </si>
  <si>
    <t>Muhammad Ayoub Vs Mst Lubna bibi</t>
  </si>
  <si>
    <t>24/6</t>
  </si>
  <si>
    <t>Ahmad Shah Vs DC etc</t>
  </si>
  <si>
    <t>12/2</t>
  </si>
  <si>
    <t>Dr Anwar Zada vs Muhammad Murad etc</t>
  </si>
  <si>
    <t>27/13</t>
  </si>
  <si>
    <t>28/13</t>
  </si>
  <si>
    <t>Rashid Ahmad Vs Mst Raeet bibi etc</t>
  </si>
  <si>
    <t>13/13</t>
  </si>
  <si>
    <t>Mathi Ullah etc Vs Qazi Hanif Ullah etc</t>
  </si>
  <si>
    <t>15/13</t>
  </si>
  <si>
    <t>16/13</t>
  </si>
  <si>
    <t>Waliyat said Vs Ziarat said</t>
  </si>
  <si>
    <t>36/13</t>
  </si>
  <si>
    <t>8/13 Neem</t>
  </si>
  <si>
    <t>Ali Bakht VS Govt etc</t>
  </si>
  <si>
    <t>56/13</t>
  </si>
  <si>
    <t>Nizam Ud din Vs Janas Khan</t>
  </si>
  <si>
    <t>44/13</t>
  </si>
  <si>
    <t>Sharif Husain Vs Janas Khan</t>
  </si>
  <si>
    <t>51/13</t>
  </si>
  <si>
    <t>Syed Badshah etc Vs Govt etc</t>
  </si>
  <si>
    <t>60/13</t>
  </si>
  <si>
    <t>Sultanat Khan VS Mst Begum etc</t>
  </si>
  <si>
    <t>55/13</t>
  </si>
  <si>
    <t>Muhammad Idress VS Govt etc</t>
  </si>
  <si>
    <t>57/13</t>
  </si>
  <si>
    <t>Muhammad Jan etc Vs Gul Shehzada etc</t>
  </si>
  <si>
    <t>64/13</t>
  </si>
  <si>
    <t>Umar Dali Khan Vs Munawar etc</t>
  </si>
  <si>
    <t>62/13</t>
  </si>
  <si>
    <t>Gul Shehzada Vs Muhammad Jan etc</t>
  </si>
  <si>
    <t>10/13</t>
  </si>
  <si>
    <t>Sadar Said Bacha Vs Jehan Bahadar Bacha etc</t>
  </si>
  <si>
    <t>18/13</t>
  </si>
  <si>
    <t>Jehan Dost Vs Yousuf Khan</t>
  </si>
  <si>
    <t/>
  </si>
  <si>
    <t>19/13</t>
  </si>
  <si>
    <t>Walayat Khan Vs Said Jamal</t>
  </si>
  <si>
    <t>20/13</t>
  </si>
  <si>
    <t>Sherin Zada Vs Shah Sakhyan</t>
  </si>
  <si>
    <t>21/13</t>
  </si>
  <si>
    <t>Dost Muhammad Vs Yousuf Khan</t>
  </si>
  <si>
    <t>26/13</t>
  </si>
  <si>
    <t>Amir Zahid Vs Gul Saqib</t>
  </si>
  <si>
    <t>Atha Ur Rehman Vs Muhammad Qadeem</t>
  </si>
  <si>
    <t>30/13</t>
  </si>
  <si>
    <t>Obaid Ullah Vs bakht Zamin</t>
  </si>
  <si>
    <t>31/13</t>
  </si>
  <si>
    <t>Bakht Zamin s Mst Sundara Bibi</t>
  </si>
  <si>
    <t>34/13</t>
  </si>
  <si>
    <t>Asfandiar Vs Mst Wara Bibi</t>
  </si>
  <si>
    <t>35/13</t>
  </si>
  <si>
    <t>Yousuf Khan Vs Dost Muhammad</t>
  </si>
  <si>
    <t>39/13</t>
  </si>
  <si>
    <t>Anwar Shah Khan Vs Muhammad Ishaq</t>
  </si>
  <si>
    <t>38/13</t>
  </si>
  <si>
    <t>Mumtaz Khan Vs Mst Begum Ara</t>
  </si>
  <si>
    <t>50/13</t>
  </si>
  <si>
    <t>Muhammad Shah Abdu Dayan Khan Vs Muhammad Mukhtiar Khan</t>
  </si>
  <si>
    <t>45/13</t>
  </si>
  <si>
    <t>Sher Zaman etc Vs Sardar Ali etc</t>
  </si>
  <si>
    <t>46/13</t>
  </si>
  <si>
    <t>Wasil Khan etc Vs Hamesh Gul etc</t>
  </si>
  <si>
    <t>53/13</t>
  </si>
  <si>
    <t>Zakir Husain etc Vs Mst dil Haram bibi</t>
  </si>
  <si>
    <t>54/13</t>
  </si>
  <si>
    <t>Arshad Rehman Vs Shakir Ullah</t>
  </si>
  <si>
    <t>Muhammad Ali Khan Vs Gul Baz Khan etc</t>
  </si>
  <si>
    <t>Fazal Rahim Vs Habib Ur Rehman</t>
  </si>
  <si>
    <t>61/13</t>
  </si>
  <si>
    <t>Gul Baz Vs Muhammad Wali</t>
  </si>
  <si>
    <t>1/13</t>
  </si>
  <si>
    <t>Shakir Ullah Vs Arshad Rehman</t>
  </si>
  <si>
    <t>3/13</t>
  </si>
  <si>
    <t>Zia Ul Islam Vs Shah Nawaz Khan</t>
  </si>
  <si>
    <t>5/13</t>
  </si>
  <si>
    <t>Fazal Haq Vs Amin Ullah</t>
  </si>
  <si>
    <t>Hamad Ullah Vs Khalil Ullah etc</t>
  </si>
  <si>
    <t>12/13</t>
  </si>
  <si>
    <t>Khalil ullah Vs Mst Najia etc</t>
  </si>
  <si>
    <t>14/13</t>
  </si>
  <si>
    <t>Raqib Ahmed Vs Latafat Karim</t>
  </si>
  <si>
    <t>Adam Khan Vs Jehan Daraz</t>
  </si>
  <si>
    <t>Kachkol Vs Mst Husain Hilal etc</t>
  </si>
  <si>
    <t>17/13</t>
  </si>
  <si>
    <t>Ghafoor Khan Vs Muhammad Inam</t>
  </si>
  <si>
    <t>Lal Zada Vs Kachkol Khan</t>
  </si>
  <si>
    <t>Umar Zamin Vs NADRA</t>
  </si>
  <si>
    <t>Fazal Rahim Vs Niaz Ali Khan</t>
  </si>
  <si>
    <t>22/13</t>
  </si>
  <si>
    <t>Shah Mahmood Vs Mst Sultania etc</t>
  </si>
  <si>
    <t>23/13</t>
  </si>
  <si>
    <t>Mst Sultania Vs Shah Mahmood</t>
  </si>
  <si>
    <t>24/13</t>
  </si>
  <si>
    <t>Mst Anab Zaib Vs Govt etc</t>
  </si>
  <si>
    <t>25/13</t>
  </si>
  <si>
    <t>Dr Muhammad Rehman Vs Noor Khan</t>
  </si>
  <si>
    <t>Asif Vs Yar Mula Khan</t>
  </si>
  <si>
    <t>Sabir khan Vs Fazal rahim</t>
  </si>
  <si>
    <t>Ajmir Shah Vs Dr Muhammad Rehman</t>
  </si>
  <si>
    <t>29/13</t>
  </si>
  <si>
    <t>Niaz Bar Khan Vs RahimDad</t>
  </si>
  <si>
    <t>Khalil Ur Rehman Vs Muhammad Naeem</t>
  </si>
  <si>
    <t>32/13</t>
  </si>
  <si>
    <t>Nawab Zada Amir Muhammad Shah Khan Vs Hazrat Amir etc</t>
  </si>
  <si>
    <t>33/13</t>
  </si>
  <si>
    <t>Muhammad Younus Vs Mst Mahar Zamina etc</t>
  </si>
  <si>
    <t>Zra War Khan etc Vs Mst Majida bibi etc</t>
  </si>
  <si>
    <t>Liaqat Ali etc Vs Siraj Ud din etc</t>
  </si>
  <si>
    <t>Muhammad Naeem etc VS Khalil Ur Rehman etc</t>
  </si>
  <si>
    <t>5/14-c</t>
  </si>
  <si>
    <t>Ghulam Ishaq Vs Rohi Parwar etc</t>
  </si>
  <si>
    <t>6/14-c</t>
  </si>
  <si>
    <t>Faqir Muhammad VS Muhammad Naeem</t>
  </si>
  <si>
    <t>Regular-Rent Court</t>
  </si>
  <si>
    <t>21/14-c</t>
  </si>
  <si>
    <t>Inayat Khan VS Mst Gul Shan ara etc</t>
  </si>
  <si>
    <t>24/14-c</t>
  </si>
  <si>
    <t>Shah Murad Khan etc Vs Sultan zeb etc</t>
  </si>
  <si>
    <t>1/14-c</t>
  </si>
  <si>
    <t>Shakil Ahmad Vs mst Noor begum</t>
  </si>
  <si>
    <t>3/14-c</t>
  </si>
  <si>
    <t>Syed Mukhtiar Vs Shah Bacha etc</t>
  </si>
  <si>
    <t>Mst Nahid Sultan etc Vs Jehan Alam etc</t>
  </si>
  <si>
    <t>7/14-c</t>
  </si>
  <si>
    <t>Gul Zaman Vs Mst Farooqa etc</t>
  </si>
  <si>
    <t>1/FCA</t>
  </si>
  <si>
    <t>Zahir Ullah Vs Mst Saima bibi</t>
  </si>
  <si>
    <t>2/FCA</t>
  </si>
  <si>
    <t>Mst Wahida Vs Zia Ullah</t>
  </si>
  <si>
    <t>3/FCA</t>
  </si>
  <si>
    <t>Shakir Husain VS Mst Anila Begum</t>
  </si>
  <si>
    <t>4/FCA</t>
  </si>
  <si>
    <t>Mst Nasira VS Syed Mukamal Shah</t>
  </si>
  <si>
    <t>6/FCA</t>
  </si>
  <si>
    <t>Farid Gul Vs Mst Khalida</t>
  </si>
  <si>
    <t>7/FCA</t>
  </si>
  <si>
    <t>Shamshad Vs Abdu Rehman</t>
  </si>
  <si>
    <t>8/FCA</t>
  </si>
  <si>
    <t>Liaqat Ali Vs Mst Iram Basri</t>
  </si>
  <si>
    <t>9/FCA</t>
  </si>
  <si>
    <t>Mst Lubna bibi Vs Muhammad Ayoub</t>
  </si>
  <si>
    <t>13/FCA</t>
  </si>
  <si>
    <t>Hina Shehzad Vs Inam</t>
  </si>
  <si>
    <t>14/FCA</t>
  </si>
  <si>
    <t>Idress Khan VS Mst Safia bibi etc</t>
  </si>
  <si>
    <t>15/FCA</t>
  </si>
  <si>
    <t>Dawood Khan Vs Mst Shahida bibi etc</t>
  </si>
  <si>
    <t>16/FCA</t>
  </si>
  <si>
    <t>Sher Jan Vs Mst Shagufta begum etc</t>
  </si>
  <si>
    <t>17/FCA</t>
  </si>
  <si>
    <t>Noor Alam Khan Vs Rawayat bibi</t>
  </si>
  <si>
    <t>18/FCA</t>
  </si>
  <si>
    <t>Mst Dr Shagufta Begum Vs Sher Jan</t>
  </si>
  <si>
    <t>19/FCA</t>
  </si>
  <si>
    <t>Mst Nabila etc Vs Munir Muhammad etc</t>
  </si>
  <si>
    <t>2/14</t>
  </si>
  <si>
    <t>Almas Begum Vs Abdu Rehman</t>
  </si>
  <si>
    <t>7/14</t>
  </si>
  <si>
    <t>Tufail Said Vs Abdul Qadar Said</t>
  </si>
  <si>
    <t>22/14</t>
  </si>
  <si>
    <t>Hassan Khan Vs Bacha Khan</t>
  </si>
  <si>
    <t>34/14</t>
  </si>
  <si>
    <t>Malak Zahid Vs Khanzada etc</t>
  </si>
  <si>
    <t>35/14</t>
  </si>
  <si>
    <t>Anwar Faraz Khan Vs Gul Mehmood etc</t>
  </si>
  <si>
    <t>9/14</t>
  </si>
  <si>
    <t>Mst Mehro bibi Vs Govt etc</t>
  </si>
  <si>
    <t>11/14</t>
  </si>
  <si>
    <t>12/14</t>
  </si>
  <si>
    <t>Latafat Karim VS Raqib Ahmad</t>
  </si>
  <si>
    <t>13/14</t>
  </si>
  <si>
    <t>Dost Muhammad Vs Govt etc</t>
  </si>
  <si>
    <t>14/14</t>
  </si>
  <si>
    <t>Aman Ullah Vs Govt etc</t>
  </si>
  <si>
    <t>15/14</t>
  </si>
  <si>
    <t>Abdullah Vs Hidayat Ullah</t>
  </si>
  <si>
    <t>17/14</t>
  </si>
  <si>
    <t>Dc Vs Muhammad Shahid</t>
  </si>
  <si>
    <t>18/14</t>
  </si>
  <si>
    <t>Dc Vs Muhammad Zaman</t>
  </si>
  <si>
    <t>19/14</t>
  </si>
  <si>
    <t>Nawab Zada Karim Khan Vs DC Dir</t>
  </si>
  <si>
    <t>21/14</t>
  </si>
  <si>
    <t>Ajmal Vs Mst Sana</t>
  </si>
  <si>
    <t>32/ii</t>
  </si>
  <si>
    <t>54/ii</t>
  </si>
  <si>
    <t>State Vs Sami Ullah etc</t>
  </si>
  <si>
    <t>70/ii</t>
  </si>
  <si>
    <t>State Vs Bahramand khan</t>
  </si>
  <si>
    <t>77/ii</t>
  </si>
  <si>
    <t>State VS Umar Rehman</t>
  </si>
  <si>
    <t>28/ii</t>
  </si>
  <si>
    <t>14/ii</t>
  </si>
  <si>
    <t>State Vs Sadam Ullah</t>
  </si>
  <si>
    <t>33/ii</t>
  </si>
  <si>
    <t>State Vs Sohail Khan</t>
  </si>
  <si>
    <t>37/ii</t>
  </si>
  <si>
    <t>State Vs Rooh Ul Amin</t>
  </si>
  <si>
    <t>10/ii</t>
  </si>
  <si>
    <t>State Vs Gul Alisha</t>
  </si>
  <si>
    <t>9/ii</t>
  </si>
  <si>
    <t>State Vs Anwar Baig</t>
  </si>
  <si>
    <t>67/ii</t>
  </si>
  <si>
    <t>State Vs Mohib Ullah</t>
  </si>
  <si>
    <t>71/ii</t>
  </si>
  <si>
    <t>State Vs Falak Naz</t>
  </si>
  <si>
    <t>5/ii</t>
  </si>
  <si>
    <t>State Vs Sahib Ullah</t>
  </si>
  <si>
    <t>State Vs Wilayat Khan etc</t>
  </si>
  <si>
    <t>112/ii</t>
  </si>
  <si>
    <t>State Vs Nisar Khan</t>
  </si>
  <si>
    <t>92/ii</t>
  </si>
  <si>
    <t>State Vs Sardar Khan etc</t>
  </si>
  <si>
    <t>105/ii</t>
  </si>
  <si>
    <t>State Vs Hidayat Ullah</t>
  </si>
  <si>
    <t>114/ii</t>
  </si>
  <si>
    <t>State Vs Muhammad Naeem etc</t>
  </si>
  <si>
    <t>100/ii</t>
  </si>
  <si>
    <t>State Vs Hussain Khan etc</t>
  </si>
  <si>
    <t>117/ii</t>
  </si>
  <si>
    <t>State Vs Sheraz Khan</t>
  </si>
  <si>
    <t>132/ii</t>
  </si>
  <si>
    <t>State Vs Hazrat Husain</t>
  </si>
  <si>
    <t>137/ii</t>
  </si>
  <si>
    <t>State Vs Shams etc</t>
  </si>
  <si>
    <t>139/ii</t>
  </si>
  <si>
    <t>State Vs Khan Bahadar</t>
  </si>
  <si>
    <t>138/ii</t>
  </si>
  <si>
    <t>State Vs Sardar Khan</t>
  </si>
  <si>
    <t>State Vs Zir Ullah</t>
  </si>
  <si>
    <t>36/ii</t>
  </si>
  <si>
    <t>State Vs Inayat Ul Haq</t>
  </si>
  <si>
    <t>24/ii</t>
  </si>
  <si>
    <t>State Vs Altaf Khan</t>
  </si>
  <si>
    <t>State Vs Ismail</t>
  </si>
  <si>
    <t>35/ii</t>
  </si>
  <si>
    <t>State Vs Usman</t>
  </si>
  <si>
    <t>State Vs Muhammad Jamil</t>
  </si>
  <si>
    <t>State VS Ijaz Ahmad</t>
  </si>
  <si>
    <t>13/ii</t>
  </si>
  <si>
    <t>State Vs Naveed Alam etc</t>
  </si>
  <si>
    <t>6/ii</t>
  </si>
  <si>
    <t>34/ii</t>
  </si>
  <si>
    <t>State VS Muhammad Rahim Khan etc</t>
  </si>
  <si>
    <t>State Vs Muhammad Usman</t>
  </si>
  <si>
    <t>25/ii</t>
  </si>
  <si>
    <t>State Vs Alamgir</t>
  </si>
  <si>
    <t>7/ii</t>
  </si>
  <si>
    <t>4/ii</t>
  </si>
  <si>
    <t>State Vs Hasan Khan</t>
  </si>
  <si>
    <t>27/ii</t>
  </si>
  <si>
    <t>State Vs Fazal nabi</t>
  </si>
  <si>
    <t>17/iii</t>
  </si>
  <si>
    <t>State Vs Miraj Khalid</t>
  </si>
  <si>
    <t>18/iii</t>
  </si>
  <si>
    <t>State Vs Muhammad Shah Khan etc</t>
  </si>
  <si>
    <t>19/iii</t>
  </si>
  <si>
    <t>State Vs Yar Ullah</t>
  </si>
  <si>
    <t>20/iii</t>
  </si>
  <si>
    <t>30/iii</t>
  </si>
  <si>
    <t>State Vs Hussain Khan</t>
  </si>
  <si>
    <t>32/iii</t>
  </si>
  <si>
    <t>38/iii</t>
  </si>
  <si>
    <t>State Vs Shams</t>
  </si>
  <si>
    <t>39/iii</t>
  </si>
  <si>
    <t>1/iii</t>
  </si>
  <si>
    <t>2/iii</t>
  </si>
  <si>
    <t>State  Vs Masood</t>
  </si>
  <si>
    <t>3/iii</t>
  </si>
  <si>
    <t>2/iv</t>
  </si>
  <si>
    <t>Bakht Zamin Khan Vs Liaqat Ali</t>
  </si>
  <si>
    <t>3/iv</t>
  </si>
  <si>
    <t>Paris Khan Vs Liaqat Ali</t>
  </si>
  <si>
    <t>5/iv</t>
  </si>
  <si>
    <t>Tazamin Khan VS Noor Hassan Khan</t>
  </si>
  <si>
    <t>1/iv</t>
  </si>
  <si>
    <t>Sultan Raz Vs Amir Nawab</t>
  </si>
  <si>
    <t>Mst Noor Ul Huda Vs Muhammad Jamil</t>
  </si>
  <si>
    <t>3/ii</t>
  </si>
  <si>
    <t>State Vs Wajid Ali</t>
  </si>
  <si>
    <t>State Vs Haq Nawaz</t>
  </si>
  <si>
    <t>State Vs Sajad Ahmad</t>
  </si>
  <si>
    <t>State Vs Said Zarin</t>
  </si>
  <si>
    <t>8/ii</t>
  </si>
  <si>
    <t>State Vs Ajab Khan</t>
  </si>
  <si>
    <t>State Vs Muhammad Ikram Khan</t>
  </si>
  <si>
    <t>State Vs Islam Khan</t>
  </si>
  <si>
    <t>11/ii</t>
  </si>
  <si>
    <t>State Vs Asad Ullah</t>
  </si>
  <si>
    <t>12/ii</t>
  </si>
  <si>
    <t>State Vs Bilal Ahmad</t>
  </si>
  <si>
    <t>State Vs Habib Khan</t>
  </si>
  <si>
    <t>15/ii</t>
  </si>
  <si>
    <t>State Vs Zafir Ullah</t>
  </si>
  <si>
    <t>16/ii</t>
  </si>
  <si>
    <t>State Vs Shams Ul Haq</t>
  </si>
  <si>
    <t>17/ii</t>
  </si>
  <si>
    <t>State Vs Gul Mina</t>
  </si>
  <si>
    <t>18/ii</t>
  </si>
  <si>
    <t>State Vs Muhammad Aftab</t>
  </si>
  <si>
    <t>19/ii</t>
  </si>
  <si>
    <t>State Vs Muhammad Taufiq</t>
  </si>
  <si>
    <t>20/ii</t>
  </si>
  <si>
    <t>State Vs Farhan Ullah</t>
  </si>
  <si>
    <t>21/ii</t>
  </si>
  <si>
    <t>State Vs Khushal Khan</t>
  </si>
  <si>
    <t>State Vs Sarfaraz</t>
  </si>
  <si>
    <t>23/ii</t>
  </si>
  <si>
    <t>State Vs Gauhar Ayoub</t>
  </si>
  <si>
    <t>State Vs Yaqoob Khan</t>
  </si>
  <si>
    <t>State Vs Fawad Ullah</t>
  </si>
  <si>
    <t>26/ii</t>
  </si>
  <si>
    <t>State Vs Juma Said</t>
  </si>
  <si>
    <t>State Vs Feroz Khan</t>
  </si>
  <si>
    <t>30/ii</t>
  </si>
  <si>
    <t>State Vs Hamid Ullah</t>
  </si>
  <si>
    <t>State Vs Mst Fozia bibi</t>
  </si>
  <si>
    <t>State Vs habib Ullah</t>
  </si>
  <si>
    <t>1/ii</t>
  </si>
  <si>
    <t>State Vs Nasib Zada</t>
  </si>
  <si>
    <t>State Vs Muhammad Noor Ud Din</t>
  </si>
  <si>
    <t>State Vs Muhammad Sadiq</t>
  </si>
  <si>
    <t>State Vs Faisal Amin</t>
  </si>
  <si>
    <t>State Vs Safi Ullah</t>
  </si>
  <si>
    <t>State Vs Reyaz</t>
  </si>
  <si>
    <t>State Vs Rehan Muhammad</t>
  </si>
  <si>
    <t>State Vs Feroz Din</t>
  </si>
  <si>
    <t>State Vs Farman Ullah</t>
  </si>
  <si>
    <t>State Vs Javeed</t>
  </si>
  <si>
    <t>State Vs Atha Ullah</t>
  </si>
  <si>
    <t>State Vs Bakht Sardar</t>
  </si>
  <si>
    <t>State Vs Wahid Ullah</t>
  </si>
  <si>
    <t>State Vs Naeem Zada</t>
  </si>
  <si>
    <t>8/iii</t>
  </si>
  <si>
    <t>State Vs Hilal Ahmad</t>
  </si>
  <si>
    <t>State Vs Naimat Ullah</t>
  </si>
  <si>
    <t>219/iv</t>
  </si>
  <si>
    <t>Gul Khan Vs State</t>
  </si>
  <si>
    <t>258/iv</t>
  </si>
  <si>
    <t>Ayaz Khan Vs State</t>
  </si>
  <si>
    <t>180/iv</t>
  </si>
  <si>
    <t>Faris Khan VS Liaqat Ali etc</t>
  </si>
  <si>
    <t>Bakht Zamin Vs Liaqat Ali</t>
  </si>
  <si>
    <t>9/10</t>
  </si>
  <si>
    <t>Bakht Biland VS Hazrat Muhammad</t>
  </si>
  <si>
    <t>Muhammad Iqbal Vs gul Zada</t>
  </si>
  <si>
    <t>10/10</t>
  </si>
  <si>
    <t>Sami Ullah Vs District Magistrate</t>
  </si>
  <si>
    <t>Kifayat Muhammad Vs Dr Inayat Ul Haq</t>
  </si>
  <si>
    <t>Muhamamd Ibrahim Vs Majeed Ullah etc</t>
  </si>
  <si>
    <t>17/10</t>
  </si>
  <si>
    <t>Matlab Khan etc VS Bakhtiar Khan</t>
  </si>
  <si>
    <t>18/10</t>
  </si>
  <si>
    <t>Muhammad Israr Khan Vs Govt etc</t>
  </si>
  <si>
    <t>Atha Ur Rehman Vs DC etc</t>
  </si>
  <si>
    <t>27/1</t>
  </si>
  <si>
    <t>Atha Ur Rehman Vs Govt etc</t>
  </si>
  <si>
    <t>8/14-c</t>
  </si>
  <si>
    <t>Sher Zamin etc Vs Bahadar said etc</t>
  </si>
  <si>
    <t>Ex No 6/10</t>
  </si>
  <si>
    <t>Ali Rehman etc Vs Govt etc</t>
  </si>
  <si>
    <t>28/14</t>
  </si>
  <si>
    <t>Mujahid ud din Vs Mst Sultania bibi</t>
  </si>
  <si>
    <t>29/14</t>
  </si>
  <si>
    <t>Aman Ullah etc Vs Muhammad Raziq</t>
  </si>
  <si>
    <t>32/14</t>
  </si>
  <si>
    <t>Wazir Zada etc Vs Mst Shaista bibi</t>
  </si>
  <si>
    <t>33/14</t>
  </si>
  <si>
    <t>Said Gul  Vs Mst Asma etc</t>
  </si>
  <si>
    <t>20/FCA</t>
  </si>
  <si>
    <t>Mst Shahida bibi etc Vs Dawood Khan</t>
  </si>
  <si>
    <t>21/FCA</t>
  </si>
  <si>
    <t>Imran Ullah etc Vs Mst Shabnam Begum etc</t>
  </si>
  <si>
    <t>22/FCA</t>
  </si>
  <si>
    <t>Mst Muzahira bibi Vs Alam Zeb</t>
  </si>
  <si>
    <t>23/FCA</t>
  </si>
  <si>
    <t>Mst Salma Vs Shafqat Ali Shah etc</t>
  </si>
  <si>
    <t>LLA No 2/4</t>
  </si>
  <si>
    <t>Asad Ullah Jan Vs Govt</t>
  </si>
  <si>
    <t>CA No 37/13</t>
  </si>
  <si>
    <t>Sheikh Bahadar Khan VS Gul Bahadar Khan etc</t>
  </si>
  <si>
    <t>CA No 38/13</t>
  </si>
  <si>
    <t>Aziz Ur Rehman etc Vs Dilawar Khan etc</t>
  </si>
  <si>
    <t>CA No 39/13</t>
  </si>
  <si>
    <t>Malak Abdul Hamid Khan etc Vs Muhammad Imran Khan etc</t>
  </si>
  <si>
    <t>CA No 41/13</t>
  </si>
  <si>
    <t>XEN etc VS Molana Rahim Gul</t>
  </si>
  <si>
    <t>CA No 42/13</t>
  </si>
  <si>
    <t>Ihleani Sheena etc Vs Govt kpk etc</t>
  </si>
  <si>
    <t>CA No 43/13</t>
  </si>
  <si>
    <t>Qayoum Khan etc Vs Muzafar Khan etc</t>
  </si>
  <si>
    <t>CA No 44/13</t>
  </si>
  <si>
    <t>Muhammad Ayaz Vs Muhammad Israr etc</t>
  </si>
  <si>
    <t>CA No 45/13</t>
  </si>
  <si>
    <t>Ali Sarwar Vs Mehmood Zeb Khan</t>
  </si>
  <si>
    <t>CA No 46/13</t>
  </si>
  <si>
    <t>Hassan Khan Vs Habib Ur Rehman etc</t>
  </si>
  <si>
    <t>State Vs Naveed Iqbal etc</t>
  </si>
  <si>
    <t>38/ii</t>
  </si>
  <si>
    <t>State Vs Bakht Muhamad etc</t>
  </si>
  <si>
    <t>State Vs Aziz Ullah</t>
  </si>
  <si>
    <t>State VS Imran</t>
  </si>
  <si>
    <t>22/ii</t>
  </si>
  <si>
    <t>State Vs Nizam Ud din</t>
  </si>
  <si>
    <t>324/iv</t>
  </si>
  <si>
    <t>Mudasir Vs State</t>
  </si>
  <si>
    <t>325/iv</t>
  </si>
  <si>
    <t>Muhammad Reyaz Vs State</t>
  </si>
  <si>
    <t>329/iv</t>
  </si>
  <si>
    <t>Ahmad Ghani Vs State</t>
  </si>
  <si>
    <t>330/iv</t>
  </si>
  <si>
    <t>Farman Ali Vs State</t>
  </si>
  <si>
    <t>331/iv</t>
  </si>
  <si>
    <t>Sardar Amin Vs State</t>
  </si>
  <si>
    <t>332/iv</t>
  </si>
  <si>
    <t>Farooq Vs State</t>
  </si>
  <si>
    <t>Accepted</t>
  </si>
  <si>
    <t>Dismissed</t>
  </si>
  <si>
    <t>State Vs Mumtaz</t>
  </si>
  <si>
    <t>9DCNSA</t>
  </si>
  <si>
    <t>122</t>
  </si>
  <si>
    <t>State Vs Sajid Khan</t>
  </si>
  <si>
    <t>31-10-2022 10:15:17</t>
  </si>
  <si>
    <t>Balambat</t>
  </si>
  <si>
    <t>9CCNSA</t>
  </si>
  <si>
    <t>110</t>
  </si>
  <si>
    <t>State Vs Fazal Wahab</t>
  </si>
  <si>
    <t>31-10-2022 10:16:43</t>
  </si>
  <si>
    <t>Timergara</t>
  </si>
  <si>
    <t>9CCNSA/11CNSA</t>
  </si>
  <si>
    <t>150</t>
  </si>
  <si>
    <t>Talash</t>
  </si>
  <si>
    <t>State Vs Gulab Khan</t>
  </si>
  <si>
    <t>31-10-2022 10:18:39</t>
  </si>
  <si>
    <t>82</t>
  </si>
  <si>
    <t>State Vs Wajid Zaman</t>
  </si>
  <si>
    <t>31-10-2022 10:20:47</t>
  </si>
  <si>
    <t>83</t>
  </si>
  <si>
    <t>29/ii</t>
  </si>
  <si>
    <t>State Vs Kamran Khan</t>
  </si>
  <si>
    <t>31-10-2022 10:21:50</t>
  </si>
  <si>
    <t>Khall</t>
  </si>
  <si>
    <t>127</t>
  </si>
  <si>
    <t>State Vs Zeshan Ahmed</t>
  </si>
  <si>
    <t>31-10-2022 10:22:55</t>
  </si>
  <si>
    <t>109</t>
  </si>
  <si>
    <t>21/10</t>
  </si>
  <si>
    <t>Bakht Rawan etc Vs Zahid Jan</t>
  </si>
  <si>
    <t>31-10-2022 10:26:08</t>
  </si>
  <si>
    <t>435/436/438 A</t>
  </si>
  <si>
    <t>39/ii</t>
  </si>
  <si>
    <t>State Vs Yar Hussain</t>
  </si>
  <si>
    <t>302 PPC</t>
  </si>
  <si>
    <t>60</t>
  </si>
  <si>
    <t>Zakir Ullah Vs Hamid Zia etc</t>
  </si>
  <si>
    <t>31-10-2022 10:30:45</t>
  </si>
  <si>
    <t>319/322/149</t>
  </si>
  <si>
    <t>10/FCA</t>
  </si>
  <si>
    <t>Muhammad Ayoub Vs Mst Lubna</t>
  </si>
  <si>
    <t>Restored</t>
  </si>
  <si>
    <t>31-10-2022 10:33:05</t>
  </si>
  <si>
    <t>47/13</t>
  </si>
  <si>
    <t>Muhammad Rehman Vs Mst Tahira etc</t>
  </si>
  <si>
    <t>31-10-2022 10:40:54</t>
  </si>
  <si>
    <t>48/13</t>
  </si>
  <si>
    <t>Malak Muhammad Ayoub Vs Registrar General etc</t>
  </si>
  <si>
    <t>49/13</t>
  </si>
  <si>
    <t>Abdur Rehman Vs Muhammad Irshad etc</t>
  </si>
  <si>
    <t>31-10-2022 10:42:36</t>
  </si>
  <si>
    <t>Abdur Rehman Vs Bahadar Zeb etc</t>
  </si>
  <si>
    <t>Muhammad Yaseen Vs Mst Roohamza bibi etc</t>
  </si>
  <si>
    <t>31-10-2022 10:44:14</t>
  </si>
  <si>
    <t>Govt etc Vs Malak Muhammad Javid</t>
  </si>
  <si>
    <t>31-10-2022 10:48:42</t>
  </si>
  <si>
    <t>Gul Nawab etc Vs Said Zamin etc</t>
  </si>
  <si>
    <t>31-10-2022 11:14:02</t>
  </si>
  <si>
    <t>9/14-c</t>
  </si>
  <si>
    <t>13/14-c</t>
  </si>
  <si>
    <t>20/14-c</t>
  </si>
  <si>
    <t>Munib Ullah Vs Noor Zamin etc</t>
  </si>
  <si>
    <t>31-10-2022 11:25:21</t>
  </si>
  <si>
    <t>Shamsher Khan Vs Hakim Khan etc</t>
  </si>
  <si>
    <t>24/FCA</t>
  </si>
  <si>
    <t>Munfiat Ali shah etc Vs Mst Salma</t>
  </si>
  <si>
    <t>26/FCA</t>
  </si>
  <si>
    <t>Mst Nodia bibi etc Vs Umar Diyar etc</t>
  </si>
  <si>
    <t>31-10-2022 11:36:27</t>
  </si>
  <si>
    <t>27/FCA</t>
  </si>
  <si>
    <t>Mst Nahida bibi etc Vs Javeed Iqbal</t>
  </si>
  <si>
    <t>31-10-2022 11:37:23</t>
  </si>
  <si>
    <t>Dilawar Said Vs Inayat Ullah</t>
  </si>
  <si>
    <t>31-10-2022 11:46:41</t>
  </si>
  <si>
    <t>Muhammad Raziq Vs govt etc</t>
  </si>
  <si>
    <t>31-10-2022 11:48:37</t>
  </si>
  <si>
    <t>59/13</t>
  </si>
  <si>
    <t>Farman Ullah Vs Head Teacher etc</t>
  </si>
  <si>
    <t>31-10-2022 12:03:04</t>
  </si>
  <si>
    <t>Mudamat Khan etc Vs Salook Jana etc</t>
  </si>
  <si>
    <t>31-10-2022 12:05:20</t>
  </si>
  <si>
    <t>Akhunzada Fazal Wadood Vs Akhunzada Fazal Mabood etc</t>
  </si>
  <si>
    <t>31-10-2022 12:06:56</t>
  </si>
  <si>
    <t>13/6</t>
  </si>
  <si>
    <t>Mst Shabina bibi etc Vs Alamger etc</t>
  </si>
  <si>
    <t>31-10-2022 12:12:55</t>
  </si>
  <si>
    <t>17/6</t>
  </si>
  <si>
    <t>Muhammad Nisar Vs State</t>
  </si>
  <si>
    <t>31-10-2022 12:15:42</t>
  </si>
  <si>
    <t>44846</t>
  </si>
  <si>
    <t>44851</t>
  </si>
  <si>
    <t>44861</t>
  </si>
  <si>
    <t>44856</t>
  </si>
  <si>
    <t>44853</t>
  </si>
  <si>
    <t>44855</t>
  </si>
  <si>
    <t>State Vs Zir Ullah etc</t>
  </si>
  <si>
    <t>Sultan Ali Shah Adv,</t>
  </si>
  <si>
    <t>Ayaz Muhammad Adv,</t>
  </si>
  <si>
    <t>302/324/34/201 PPC</t>
  </si>
  <si>
    <t>414</t>
  </si>
  <si>
    <t>40/iii</t>
  </si>
  <si>
    <t>Ayaz Muhammad Advm</t>
  </si>
  <si>
    <t>15AA</t>
  </si>
  <si>
    <t>419</t>
  </si>
  <si>
    <t>Salim and Roshan Adv</t>
  </si>
  <si>
    <t>Hazrat Rehman Adv</t>
  </si>
  <si>
    <t>91</t>
  </si>
  <si>
    <t>DPP</t>
  </si>
  <si>
    <t>State Vs Shamshad etc</t>
  </si>
  <si>
    <t>Waqar Ahmad APP,</t>
  </si>
  <si>
    <t>Saif Ullah Khan Momand Adv</t>
  </si>
  <si>
    <t>170</t>
  </si>
  <si>
    <t>Hazrat Rehman Adv,</t>
  </si>
  <si>
    <t>302/324/427/34/337FV/337D PPC</t>
  </si>
  <si>
    <t>168</t>
  </si>
  <si>
    <t>44870</t>
  </si>
  <si>
    <t>44516</t>
  </si>
  <si>
    <t>44546</t>
  </si>
  <si>
    <t>4</t>
  </si>
  <si>
    <t>0</t>
  </si>
  <si>
    <t>1</t>
  </si>
  <si>
    <t>18</t>
  </si>
  <si>
    <t>19</t>
  </si>
  <si>
    <t>44873</t>
  </si>
  <si>
    <t>44545</t>
  </si>
  <si>
    <t>44575</t>
  </si>
  <si>
    <t>3</t>
  </si>
  <si>
    <t>44858</t>
  </si>
  <si>
    <t>44684</t>
  </si>
  <si>
    <t>44741</t>
  </si>
  <si>
    <t>17</t>
  </si>
  <si>
    <t>8</t>
  </si>
  <si>
    <t>44519</t>
  </si>
  <si>
    <t>44539</t>
  </si>
  <si>
    <t>2</t>
  </si>
  <si>
    <t>6</t>
  </si>
  <si>
    <t>44549</t>
  </si>
  <si>
    <t>22</t>
  </si>
  <si>
    <t>27</t>
  </si>
  <si>
    <t>44811</t>
  </si>
  <si>
    <t>44834</t>
  </si>
  <si>
    <t>14</t>
  </si>
  <si>
    <t>Murtaza Khan &amp; Bashir Khan Adv,</t>
  </si>
  <si>
    <t>268</t>
  </si>
  <si>
    <t>State Vs Muhammad Sadeeq etc</t>
  </si>
  <si>
    <t>Sardar Arif Tajak Adv</t>
  </si>
  <si>
    <t>Fazal Malik Utmani Adv,</t>
  </si>
  <si>
    <t>302/324/337AiFi/337D/147/149 PPC</t>
  </si>
  <si>
    <t>267</t>
  </si>
  <si>
    <t>State Vs Khan Bahadar etc</t>
  </si>
  <si>
    <t>APP</t>
  </si>
  <si>
    <t>Murtaza Khan &amp; Bashir Khan Adv</t>
  </si>
  <si>
    <t>302/109/34 PPC</t>
  </si>
  <si>
    <t>177</t>
  </si>
  <si>
    <t>178</t>
  </si>
  <si>
    <t>10</t>
  </si>
  <si>
    <t>State Vs Altaf Khan etc</t>
  </si>
  <si>
    <t>Jehan Dastager Adv,</t>
  </si>
  <si>
    <t xml:space="preserve">Fazal Malik Utmani Adv and others_x000D_
</t>
  </si>
  <si>
    <t>302/353/186/279/33,35,77 R/3-112 Mvo/34 PPC</t>
  </si>
  <si>
    <t>25</t>
  </si>
  <si>
    <t>Asbanrr</t>
  </si>
  <si>
    <t xml:space="preserve">Muhammad Karim Adv,_x000D_
</t>
  </si>
  <si>
    <t>295 B</t>
  </si>
  <si>
    <t>16</t>
  </si>
  <si>
    <t>Nihal Yousufzai Adv</t>
  </si>
  <si>
    <t>88</t>
  </si>
  <si>
    <t xml:space="preserve">Fazal Malik Utmani Adv_x000D_
</t>
  </si>
  <si>
    <t>Nihal Yousufzai Adv,</t>
  </si>
  <si>
    <t>87</t>
  </si>
  <si>
    <t xml:space="preserve">Malak Muhammad Zeb Adv_x000D_
</t>
  </si>
  <si>
    <t>Jawad Rauf Adv,</t>
  </si>
  <si>
    <t>302/324/337D PPC</t>
  </si>
  <si>
    <t>320</t>
  </si>
  <si>
    <t>321</t>
  </si>
  <si>
    <t>Karmal Khan Adv</t>
  </si>
  <si>
    <t>Latif Ahmed Qureshi Adv</t>
  </si>
  <si>
    <t>302/324 PPC</t>
  </si>
  <si>
    <t>393</t>
  </si>
  <si>
    <t>11/iii</t>
  </si>
  <si>
    <t xml:space="preserve">Latif Ahmad Qureshi Adv_x000D_
</t>
  </si>
  <si>
    <t>44874</t>
  </si>
  <si>
    <t>42855</t>
  </si>
  <si>
    <t>42922</t>
  </si>
  <si>
    <t>37</t>
  </si>
  <si>
    <t>44879</t>
  </si>
  <si>
    <t>44345</t>
  </si>
  <si>
    <t>44370</t>
  </si>
  <si>
    <t>24</t>
  </si>
  <si>
    <t>44862</t>
  </si>
  <si>
    <t>44872</t>
  </si>
  <si>
    <t>44397</t>
  </si>
  <si>
    <t>44461</t>
  </si>
  <si>
    <t>15</t>
  </si>
  <si>
    <t>31</t>
  </si>
  <si>
    <t>44396</t>
  </si>
  <si>
    <t>44453</t>
  </si>
  <si>
    <t>44529</t>
  </si>
  <si>
    <t>44551</t>
  </si>
  <si>
    <t>26</t>
  </si>
  <si>
    <t>44619</t>
  </si>
  <si>
    <t>44652</t>
  </si>
  <si>
    <t>44437</t>
  </si>
  <si>
    <t>44467</t>
  </si>
  <si>
    <t>23</t>
  </si>
  <si>
    <t>44335</t>
  </si>
  <si>
    <t>44346</t>
  </si>
  <si>
    <t>44460</t>
  </si>
  <si>
    <t>7</t>
  </si>
  <si>
    <t>44530</t>
  </si>
  <si>
    <t>5</t>
  </si>
  <si>
    <t>44316</t>
  </si>
  <si>
    <t>44272</t>
  </si>
  <si>
    <t>44877</t>
  </si>
  <si>
    <t>44662</t>
  </si>
  <si>
    <t>44692</t>
  </si>
  <si>
    <t>11</t>
  </si>
  <si>
    <t>Periodic delvery of possession of land</t>
  </si>
  <si>
    <t>19/6</t>
  </si>
  <si>
    <t>20/6</t>
  </si>
  <si>
    <t>Criminal Total</t>
  </si>
  <si>
    <t>31/iii</t>
  </si>
  <si>
    <t>State Vs Waheed Ullah</t>
  </si>
  <si>
    <t>29-11-2022 12:27:53</t>
  </si>
  <si>
    <t>State Vs Shafi Ur Rehman</t>
  </si>
  <si>
    <t>29-11-2022 12:28:57</t>
  </si>
  <si>
    <t>33/iii</t>
  </si>
  <si>
    <t>State Vs Iftekhar Khan</t>
  </si>
  <si>
    <t>29-11-2022 12:29:27</t>
  </si>
  <si>
    <t>34/iii</t>
  </si>
  <si>
    <t>State Vs Hukam Dad Khan</t>
  </si>
  <si>
    <t>29-11-2022 12:29:58</t>
  </si>
  <si>
    <t>35/iii</t>
  </si>
  <si>
    <t>36/iii</t>
  </si>
  <si>
    <t>State Vs Muhammad Sharif</t>
  </si>
  <si>
    <t>29-11-2022 12:31:14</t>
  </si>
  <si>
    <t>37/iii</t>
  </si>
  <si>
    <t>State Vs Rizwan Ullah</t>
  </si>
  <si>
    <t>29-11-2022 12:31:46</t>
  </si>
  <si>
    <t>State Vs Shafi Ullah</t>
  </si>
  <si>
    <t>29-11-2022 12:32:15</t>
  </si>
  <si>
    <t>State Vs Uzair Hameed</t>
  </si>
  <si>
    <t>29-11-2022 12:32:47</t>
  </si>
  <si>
    <t>State Vs Ijaz Khan</t>
  </si>
  <si>
    <t>29-11-2022 12:33:17</t>
  </si>
  <si>
    <t>41/iii</t>
  </si>
  <si>
    <t>State Vs Shah Fahad</t>
  </si>
  <si>
    <t>29-11-2022 12:33:51</t>
  </si>
  <si>
    <t>41/ii</t>
  </si>
  <si>
    <t>State Vs Imran Ullah etc</t>
  </si>
  <si>
    <t>42/ii</t>
  </si>
  <si>
    <t>State Vs Saifoor Khan etc</t>
  </si>
  <si>
    <t>44/ii</t>
  </si>
  <si>
    <t>State Vs Mehmood Zeb</t>
  </si>
  <si>
    <t>MA 19/6</t>
  </si>
  <si>
    <t>Pairas Khan Vs Liaqat Ali etc</t>
  </si>
  <si>
    <t>29-11-2022 13:25:48</t>
  </si>
  <si>
    <t>MA 20/6</t>
  </si>
  <si>
    <t>29-11-2022 13:26:56</t>
  </si>
  <si>
    <t>JJS 8/iii</t>
  </si>
  <si>
    <t>State Vs Saifor Khan etc</t>
  </si>
  <si>
    <t>29-11-2022 14:03:06</t>
  </si>
  <si>
    <t>9/iii</t>
  </si>
  <si>
    <t>State Vs Muhammad Zeb</t>
  </si>
  <si>
    <t>29-11-2022 14:04:16</t>
  </si>
  <si>
    <t>10/iii</t>
  </si>
  <si>
    <t>29-11-2022 14:04:51</t>
  </si>
  <si>
    <t>28/FCA</t>
  </si>
  <si>
    <t>Mst Kausar Vs Farhad Badsha</t>
  </si>
  <si>
    <t>29-11-2022 14:12:40</t>
  </si>
  <si>
    <t>30/FCA</t>
  </si>
  <si>
    <t>Mst Sara bibi Vs Mehran Khan</t>
  </si>
  <si>
    <t>29-11-2022 14:14:16</t>
  </si>
  <si>
    <t>38/1</t>
  </si>
  <si>
    <t>Hayat Muhammad Vs Govt etc</t>
  </si>
  <si>
    <t>29-11-2022 14:16:33</t>
  </si>
  <si>
    <t>39/1</t>
  </si>
  <si>
    <t>Shad Muhammad Vs Govt etc</t>
  </si>
  <si>
    <t>29-11-2022 14:17:07</t>
  </si>
  <si>
    <t>65/13</t>
  </si>
  <si>
    <t>Akhunzada Fazal Mehmood Vs Akhunzada Fazal Wadood etc</t>
  </si>
  <si>
    <t>29-11-2022 14:19:02</t>
  </si>
  <si>
    <t>67/13</t>
  </si>
  <si>
    <t>Yousuf Khan etc Vs Mst Taj Ul Haram etc</t>
  </si>
  <si>
    <t>29-11-2022 14:20:31</t>
  </si>
  <si>
    <t>7/10</t>
  </si>
  <si>
    <t>Noor Hayat Vs Muhamad Reyaz</t>
  </si>
  <si>
    <t>29-11-2022 14:48:01</t>
  </si>
  <si>
    <t>8/10</t>
  </si>
  <si>
    <t>Zaheer Ullah Vs Irshad Ul Haq</t>
  </si>
  <si>
    <t>30-11-2022 14:18:20</t>
  </si>
  <si>
    <t>70/13</t>
  </si>
  <si>
    <t>Deputy Commisioner VS Faqir Khan</t>
  </si>
  <si>
    <t>302/324/34 PPC</t>
  </si>
  <si>
    <t>531</t>
  </si>
  <si>
    <t>302/324/337AiFiii/34</t>
  </si>
  <si>
    <t>106</t>
  </si>
  <si>
    <t>302/311/496B/427/15AA/34 PPC</t>
  </si>
  <si>
    <t>59</t>
  </si>
  <si>
    <t>23-12-2022 12:15:46</t>
  </si>
  <si>
    <t>45/ii</t>
  </si>
  <si>
    <t>State Vs Noor Salim</t>
  </si>
  <si>
    <t>Remanded</t>
  </si>
  <si>
    <t>23-12-2022 12:18:51</t>
  </si>
  <si>
    <t>40/1</t>
  </si>
  <si>
    <t>Fazal Rehman Vs Dc etc</t>
  </si>
  <si>
    <t>24-12-2022 14:23:49</t>
  </si>
  <si>
    <t>41/1</t>
  </si>
  <si>
    <t>Muhammad Farooq Vs Umar Zada</t>
  </si>
  <si>
    <t>42/1</t>
  </si>
  <si>
    <t>Suliman Khan Vs Govt kpk etc</t>
  </si>
  <si>
    <t>24-12-2022 15:10:39</t>
  </si>
  <si>
    <t>72/13</t>
  </si>
  <si>
    <t>Jalat Khan Vs Widow Muhammad Bashir etc</t>
  </si>
  <si>
    <t>26-12-2022 11:08:39</t>
  </si>
  <si>
    <t>74/13</t>
  </si>
  <si>
    <t>Akbar Khan etc Vs Faiz Ur Rehman etc</t>
  </si>
  <si>
    <t>26-12-2022 11:10:18</t>
  </si>
  <si>
    <t>75/13</t>
  </si>
  <si>
    <t>Mst Taj Ul Haram etc Vs Yousuf Khan etc</t>
  </si>
  <si>
    <t>26-12-2022 11:11:28</t>
  </si>
  <si>
    <t>77/13</t>
  </si>
  <si>
    <t>Jamil Ur Rehman Vs Habib Ur Rehman etc</t>
  </si>
  <si>
    <t>26-12-2022 11:13:00</t>
  </si>
  <si>
    <t>78/13</t>
  </si>
  <si>
    <t>Imran Khan Vs Ghaus Ud Din</t>
  </si>
  <si>
    <t>26-12-2022 11:13:37</t>
  </si>
  <si>
    <t>79/13</t>
  </si>
  <si>
    <t>Jamshid Vs Mst Shah Mirman bibi etc</t>
  </si>
  <si>
    <t>26-12-2022 11:14:26</t>
  </si>
  <si>
    <t>81/13</t>
  </si>
  <si>
    <t>Muhammad Shah Wazir Vs Mst Mosam bibi etc</t>
  </si>
  <si>
    <t>26-12-2022 11:47:55</t>
  </si>
  <si>
    <t>43/1</t>
  </si>
  <si>
    <t>Muhammad Nisar Vs Govt etc</t>
  </si>
  <si>
    <t>26-12-2022 11:50:49</t>
  </si>
  <si>
    <t>44/1</t>
  </si>
  <si>
    <t>Muhammad Isamil Vs Said Umair Ali shah etc</t>
  </si>
  <si>
    <t>26-12-2022 11:51:29</t>
  </si>
  <si>
    <t>31/FCA</t>
  </si>
  <si>
    <t>Mst Rahil Nawab Vs Wasim Ullah</t>
  </si>
  <si>
    <t>26-12-2022 11:52:31</t>
  </si>
  <si>
    <t>33/FCA</t>
  </si>
  <si>
    <t>Wasim Ullah Vs Mst Rahil Nawab</t>
  </si>
  <si>
    <t>26-12-2022 11:53:40</t>
  </si>
  <si>
    <t>Ghafoor Ahmad Vs Iftekhar Ali</t>
  </si>
  <si>
    <t>26-12-2022 11:54:48</t>
  </si>
  <si>
    <t>Shah Husain Vs Muhammad Wali</t>
  </si>
  <si>
    <t>26-12-2022 11:55:25</t>
  </si>
  <si>
    <t>State Vs Muhammad Sohail</t>
  </si>
  <si>
    <t>43/iii</t>
  </si>
  <si>
    <t>State Vs Muhammad Reyaz</t>
  </si>
  <si>
    <t>26-12-2022 11:59:46</t>
  </si>
  <si>
    <t>44/iii</t>
  </si>
  <si>
    <t>State Vs Sadam hussain</t>
  </si>
  <si>
    <t>26-12-2022 12:00:23</t>
  </si>
  <si>
    <t>45/iii</t>
  </si>
  <si>
    <t>State Vs Fazal Hadi</t>
  </si>
  <si>
    <t>26-12-2022 12:00:55</t>
  </si>
  <si>
    <t>46/iii</t>
  </si>
  <si>
    <t>State Vs Rehan ullah</t>
  </si>
  <si>
    <t>26-12-2022 12:01:26</t>
  </si>
  <si>
    <t>47/iii</t>
  </si>
  <si>
    <t>State Vs Shahid Khan</t>
  </si>
  <si>
    <t>26-12-2022 12:02:07</t>
  </si>
  <si>
    <t>48/iii</t>
  </si>
  <si>
    <t>26-12-2022 12:02:41</t>
  </si>
  <si>
    <t>54/14</t>
  </si>
  <si>
    <t>Azhar Sultan Vs General Manager etc</t>
  </si>
  <si>
    <t>26-12-2022 12:08:08</t>
  </si>
  <si>
    <t>56/14</t>
  </si>
  <si>
    <t>Mst Hifsa bibi Vs Chairman etc</t>
  </si>
  <si>
    <t>26-12-2022 12:09:43</t>
  </si>
  <si>
    <t>46/ii</t>
  </si>
  <si>
    <t>Cr Rev 30/10</t>
  </si>
  <si>
    <t>Shehzad Alii Vs State</t>
  </si>
  <si>
    <t>Cr Rev 31/10</t>
  </si>
  <si>
    <t>Zahid Khan Vs Muhaib Ullah etc</t>
  </si>
  <si>
    <t>26-12-2022 12:18:13</t>
  </si>
  <si>
    <t>28/14-c</t>
  </si>
  <si>
    <t>Inayat Ullah etc Vs Bakht Zada etc</t>
  </si>
  <si>
    <t>26-12-2022 12:42:26</t>
  </si>
  <si>
    <t>29/14-c</t>
  </si>
  <si>
    <t>Azhar Sultan etc Vs Yousuf Khan etc</t>
  </si>
  <si>
    <t>26-12-2022 12:43:02</t>
  </si>
  <si>
    <t>30/14-c</t>
  </si>
  <si>
    <t>Saeed Muhammad Vs Shahab Ud Din etc</t>
  </si>
  <si>
    <t>26-12-2022 12:43:40</t>
  </si>
  <si>
    <t>2/ii</t>
  </si>
  <si>
    <t>State Vs Rahmat Zeb Khan etc</t>
  </si>
  <si>
    <t>30-01-2023 11:29:14</t>
  </si>
  <si>
    <t>302/109/34</t>
  </si>
  <si>
    <t>233</t>
  </si>
  <si>
    <t>State Vs Yaaseen Khan</t>
  </si>
  <si>
    <t>30-01-2023 11:31:11</t>
  </si>
  <si>
    <t>9 DCNSA</t>
  </si>
  <si>
    <t>142</t>
  </si>
  <si>
    <t>State Vs Luqman</t>
  </si>
  <si>
    <t>9 CCNSA</t>
  </si>
  <si>
    <t>338</t>
  </si>
  <si>
    <t>State Vs Din Muhammmad</t>
  </si>
  <si>
    <t>30-01-2023 11:34:31</t>
  </si>
  <si>
    <t>9 D CNSA</t>
  </si>
  <si>
    <t>163</t>
  </si>
  <si>
    <t>4/iii</t>
  </si>
  <si>
    <t>State Vs Fawad Khan</t>
  </si>
  <si>
    <t>30-01-2023 11:35:24</t>
  </si>
  <si>
    <t>9C CNSA</t>
  </si>
  <si>
    <t>5/iii</t>
  </si>
  <si>
    <t>State Vs Naseeb Dar</t>
  </si>
  <si>
    <t>30-01-2023 11:36:06</t>
  </si>
  <si>
    <t>6/iii</t>
  </si>
  <si>
    <t>State Vs Taj Muhammad</t>
  </si>
  <si>
    <t>30-01-2023 11:36:40</t>
  </si>
  <si>
    <t>7/iii</t>
  </si>
  <si>
    <t>State Vs Shah Wali Khan</t>
  </si>
  <si>
    <t>30-01-2023 11:37:18</t>
  </si>
  <si>
    <t>30-01-2023 11:38:06</t>
  </si>
  <si>
    <t>9D CNSA</t>
  </si>
  <si>
    <t>State Vs Shehzad</t>
  </si>
  <si>
    <t>30-01-2023 11:38:50</t>
  </si>
  <si>
    <t>State Vs Shams Hayat</t>
  </si>
  <si>
    <t>30-01-2023 11:39:27</t>
  </si>
  <si>
    <t>Stat Vs Gul Nawab</t>
  </si>
  <si>
    <t>30-01-2023 11:40:04</t>
  </si>
  <si>
    <t>12/iii</t>
  </si>
  <si>
    <t>State Vs Majid</t>
  </si>
  <si>
    <t>30-01-2023 11:40:41</t>
  </si>
  <si>
    <t>13/iii</t>
  </si>
  <si>
    <t>State Vs Akhtar Husain</t>
  </si>
  <si>
    <t>30-01-2023 11:41:20</t>
  </si>
  <si>
    <t>14/iii</t>
  </si>
  <si>
    <t>State Vs Tahir Husain</t>
  </si>
  <si>
    <t>30-01-2023 11:42:03</t>
  </si>
  <si>
    <t>11ACNSA/11BCNSA</t>
  </si>
  <si>
    <t>15/iii</t>
  </si>
  <si>
    <t>State Vs Ihteram Ul Haq etc</t>
  </si>
  <si>
    <t>30-01-2023 11:42:40</t>
  </si>
  <si>
    <t>16/iii</t>
  </si>
  <si>
    <t>State Vs Faqeer Muhammad</t>
  </si>
  <si>
    <t>30-01-2023 11:44:07</t>
  </si>
  <si>
    <t>State Vs Behram Khan</t>
  </si>
  <si>
    <t>30-01-2023 11:44:44</t>
  </si>
  <si>
    <t>Cr Rev 4/10</t>
  </si>
  <si>
    <t>State Vs Fazal Mola etc</t>
  </si>
  <si>
    <t>Mst Abida Vs Muhammad Isamil etc</t>
  </si>
  <si>
    <t>30-01-2023 13:06:46</t>
  </si>
  <si>
    <t>Gul Muhammad Vs Mst Shakila etc</t>
  </si>
  <si>
    <t>30-01-2023 13:07:29</t>
  </si>
  <si>
    <t>Mehmood Shah Vs Mst Bibi Zahida etc</t>
  </si>
  <si>
    <t>30-01-2023 13:08:15</t>
  </si>
  <si>
    <t>5/14</t>
  </si>
  <si>
    <t>Haji Noor Ullah jan Vs Haji Habib Ullah</t>
  </si>
  <si>
    <t>30-01-2023 13:12:46</t>
  </si>
  <si>
    <t>6/14</t>
  </si>
  <si>
    <t>Nizam ud din etc Vs Gul Muhammad etc</t>
  </si>
  <si>
    <t>30-01-2023 13:13:21</t>
  </si>
  <si>
    <t>Hidayat Ullah Vs Govt etc</t>
  </si>
  <si>
    <t>30-01-2023 13:15:30</t>
  </si>
  <si>
    <t>Dawood Shah Vs Haider Naseer</t>
  </si>
  <si>
    <t>30-01-2023 13:15:58</t>
  </si>
  <si>
    <t>Bashir Ali Vs Govt etc</t>
  </si>
  <si>
    <t>30-01-2023 13:16:26</t>
  </si>
  <si>
    <t>Mst Anisa Vs Mst Alia</t>
  </si>
  <si>
    <t>2/14-c</t>
  </si>
  <si>
    <t>Abdur Rahim Khan etc Vs Gul Sheren Zada etc</t>
  </si>
  <si>
    <t>30-01-2023 13:18:33</t>
  </si>
  <si>
    <t>4/14-c</t>
  </si>
  <si>
    <t>Khan Zaman Khan etc Vs Muhammad Sher jan</t>
  </si>
  <si>
    <t>30-01-2023 13:19:30</t>
  </si>
  <si>
    <t>Pas Zamin etc Vs Nazir Gul etc</t>
  </si>
  <si>
    <t>30-01-2023 13:21:18</t>
  </si>
  <si>
    <t>2/13</t>
  </si>
  <si>
    <t>Shaheen Vs Abid</t>
  </si>
  <si>
    <t>30-01-2023 13:21:49</t>
  </si>
  <si>
    <t>Hamid Ullah Khan Vs Abdullah etc</t>
  </si>
  <si>
    <t>30-01-2023 13:22:26</t>
  </si>
  <si>
    <t>4/13</t>
  </si>
  <si>
    <t>Said Alam Vs Govt etc</t>
  </si>
  <si>
    <t>30-01-2023 13:23:00</t>
  </si>
  <si>
    <t>6/13</t>
  </si>
  <si>
    <t>Said Ali Vs Mosa Khan etc</t>
  </si>
  <si>
    <t>30-01-2023 13:24:00</t>
  </si>
  <si>
    <t>7/13</t>
  </si>
  <si>
    <t>Malak Badshah Muhammad etc Vs Dost Muhammad etc</t>
  </si>
  <si>
    <t>30-01-2023 13:25:08</t>
  </si>
  <si>
    <t>8/13</t>
  </si>
  <si>
    <t>Reyaz Ul Isalm etc Vs Mst Sania bibi</t>
  </si>
  <si>
    <t>30-01-2023 13:25:44</t>
  </si>
  <si>
    <t>9/13</t>
  </si>
  <si>
    <t>Khanan Khan Vs Imran</t>
  </si>
  <si>
    <t>30-01-2023 13:26:30</t>
  </si>
  <si>
    <t>Mst Warisa bibi etc Vs Nowshad etc</t>
  </si>
  <si>
    <t>30-01-2023 13:27:12</t>
  </si>
  <si>
    <t>11/13</t>
  </si>
  <si>
    <t>Behrooz yousuf Vs Zia Ullah etc</t>
  </si>
  <si>
    <t>30-01-2023 13:27:47</t>
  </si>
  <si>
    <t>Room Badshah Vs Nageen Khan etc</t>
  </si>
  <si>
    <t>30-01-2023 13:28:20</t>
  </si>
  <si>
    <t>1/11</t>
  </si>
  <si>
    <t>Mehmood Jan Vs Mst Shah Merman etc</t>
  </si>
  <si>
    <t>30-01-2023 14:02:54</t>
  </si>
  <si>
    <t>44951</t>
  </si>
  <si>
    <t>44940</t>
  </si>
  <si>
    <t>44953</t>
  </si>
  <si>
    <t>44930</t>
  </si>
  <si>
    <t>44950</t>
  </si>
  <si>
    <t>44949</t>
  </si>
  <si>
    <t>44938</t>
  </si>
  <si>
    <t>44908</t>
  </si>
  <si>
    <t>44688</t>
  </si>
  <si>
    <t>44749</t>
  </si>
  <si>
    <t>44860</t>
  </si>
  <si>
    <t>28</t>
  </si>
  <si>
    <t>44750</t>
  </si>
  <si>
    <t>State Vs Rashid Ullah</t>
  </si>
  <si>
    <t>120</t>
  </si>
  <si>
    <t>State Vs Mohib Ullah etc</t>
  </si>
  <si>
    <t>Ahmad Riaz Adv,</t>
  </si>
  <si>
    <t>302/324/148/149 PPC</t>
  </si>
  <si>
    <t>86</t>
  </si>
  <si>
    <t>Zia ud Din Adv,</t>
  </si>
  <si>
    <t>Abdul Husain Adv,</t>
  </si>
  <si>
    <t>370</t>
  </si>
  <si>
    <t>302/380/429/427 PPC</t>
  </si>
  <si>
    <t>198</t>
  </si>
  <si>
    <t>99</t>
  </si>
  <si>
    <t>Nagina Bibi Adv,</t>
  </si>
  <si>
    <t>Javeed Tajak Adv,</t>
  </si>
  <si>
    <t>Majeed Ullah Adv,</t>
  </si>
  <si>
    <t>Muhammad Haroon Adv,</t>
  </si>
  <si>
    <t>44971</t>
  </si>
  <si>
    <t>44328</t>
  </si>
  <si>
    <t>45264</t>
  </si>
  <si>
    <t>41</t>
  </si>
  <si>
    <t>44966</t>
  </si>
  <si>
    <t>44975</t>
  </si>
  <si>
    <t>44957</t>
  </si>
  <si>
    <t>44926</t>
  </si>
  <si>
    <t>12</t>
  </si>
  <si>
    <t>44907</t>
  </si>
  <si>
    <t>44973</t>
  </si>
  <si>
    <t>44710</t>
  </si>
  <si>
    <t>44783</t>
  </si>
  <si>
    <t>44958</t>
  </si>
  <si>
    <t>44964</t>
  </si>
  <si>
    <t>44944</t>
  </si>
  <si>
    <t>44963</t>
  </si>
  <si>
    <t>44945</t>
  </si>
  <si>
    <t>44972</t>
  </si>
  <si>
    <t>44956</t>
  </si>
  <si>
    <t>44967</t>
  </si>
  <si>
    <t>44863</t>
  </si>
  <si>
    <t>44890</t>
  </si>
  <si>
    <t>44965</t>
  </si>
  <si>
    <t>44364</t>
  </si>
  <si>
    <t>44353</t>
  </si>
  <si>
    <t>44884</t>
  </si>
  <si>
    <t>44805</t>
  </si>
  <si>
    <t>44796</t>
  </si>
  <si>
    <t>9</t>
  </si>
  <si>
    <t>Nasar Khan Vs State</t>
  </si>
  <si>
    <t>Shah Zanab Vs Dil Muhammad</t>
  </si>
  <si>
    <t>23-02-2023 10:55:25</t>
  </si>
  <si>
    <t>State Vs Anwar Fayat</t>
  </si>
  <si>
    <t>302/324/148/149</t>
  </si>
  <si>
    <t>752</t>
  </si>
  <si>
    <t>State Vs Rafi Ullah etc</t>
  </si>
  <si>
    <t>23-02-2023 11:03:20</t>
  </si>
  <si>
    <t>419/420/462 C</t>
  </si>
  <si>
    <t>119</t>
  </si>
  <si>
    <t>23-02-2023 11:03:43</t>
  </si>
  <si>
    <t>State Vs Badshah hanif</t>
  </si>
  <si>
    <t>23-02-2023 11:05:12</t>
  </si>
  <si>
    <t>khall</t>
  </si>
  <si>
    <t>302/200/201 /34 ppc</t>
  </si>
  <si>
    <t>246</t>
  </si>
  <si>
    <t>State Vs Bahadar Zeb etc</t>
  </si>
  <si>
    <t>23-02-2023 11:05:57</t>
  </si>
  <si>
    <t>302/34</t>
  </si>
  <si>
    <t>250</t>
  </si>
  <si>
    <t>State Vs Pervin</t>
  </si>
  <si>
    <t>23-02-2023 11:10:24</t>
  </si>
  <si>
    <t>The State Vs Anwer Fayat Khan</t>
  </si>
  <si>
    <t>23-02-2023 11:13:48</t>
  </si>
  <si>
    <t>220</t>
  </si>
  <si>
    <t>State Vs Badshah Hanif</t>
  </si>
  <si>
    <t>23-02-2023 11:15:12</t>
  </si>
  <si>
    <t>Mst Jamu Sahar etc Vs Riyazul Islam etc</t>
  </si>
  <si>
    <t>23-02-2023 11:18:46</t>
  </si>
  <si>
    <t>458-A</t>
  </si>
  <si>
    <t>1/6`</t>
  </si>
  <si>
    <t>Attaurahman Vs DC etc</t>
  </si>
  <si>
    <t>23-02-2023 11:27:36</t>
  </si>
  <si>
    <t>Sajidullah Vs Sherzaman etc</t>
  </si>
  <si>
    <t>23-02-2023 11:35:08</t>
  </si>
  <si>
    <t>Shahabuddin Vs Mst Ruqia etc</t>
  </si>
  <si>
    <t>23-02-2023 11:36:36</t>
  </si>
  <si>
    <t>Ibrar Ahmad Vs Govt Pakistan etc</t>
  </si>
  <si>
    <t>23-02-2023 11:39:03</t>
  </si>
  <si>
    <t>Sulaiman etc Vs Azizurahman</t>
  </si>
  <si>
    <t>23-02-2023 11:39:48</t>
  </si>
  <si>
    <t>Zubair Shah etc Vs Wakeel Khan etc</t>
  </si>
  <si>
    <t>23-02-2023 11:40:52</t>
  </si>
  <si>
    <t>4/1</t>
  </si>
  <si>
    <t>Malak Shah Azam Vs Govt KPK etc</t>
  </si>
  <si>
    <t>Qasim Khan Vs Shakeel Khan</t>
  </si>
  <si>
    <t>23-02-2023 11:44:07</t>
  </si>
  <si>
    <t>Ikramul Haq etc Vs Govt etc</t>
  </si>
  <si>
    <t>23-02-2023 11:46:22</t>
  </si>
  <si>
    <t>Mst Aliya Vs Nawab Zada Abdur Rahim etc</t>
  </si>
  <si>
    <t>23-02-2023 11:50:49</t>
  </si>
  <si>
    <t>Akbar Shah Vs Mst Rukhsana etc</t>
  </si>
  <si>
    <t>23-02-2023 11:51:26</t>
  </si>
  <si>
    <t>8/14</t>
  </si>
  <si>
    <t>Sultanuddin etc Vs Mosaleem Khan</t>
  </si>
  <si>
    <t>2/10</t>
  </si>
  <si>
    <t>Ali Akbar Vs Govt KPK etc</t>
  </si>
  <si>
    <t>23-02-2023 11:59:02</t>
  </si>
  <si>
    <t>32/10</t>
  </si>
  <si>
    <t>2/10 Neem</t>
  </si>
  <si>
    <t>Dr M Rehman Vs Govt etc</t>
  </si>
  <si>
    <t>24-02-2023 10:22:06</t>
  </si>
  <si>
    <t>29/1 Neem</t>
  </si>
  <si>
    <t>Malak Ihsan Rauf Vs Govt etc</t>
  </si>
  <si>
    <t>24-02-2023 10:23:17</t>
  </si>
  <si>
    <t>Malak Ihsan Rauf Vs govt kpk etc</t>
  </si>
  <si>
    <t>5/FCA</t>
  </si>
  <si>
    <t>Nazir Muhammad Vs Mst Lubna bibi etc</t>
  </si>
  <si>
    <t>6/10</t>
  </si>
  <si>
    <t>Aksar Khan etc Vs Rahat Ullah etc</t>
  </si>
  <si>
    <t>10/14</t>
  </si>
  <si>
    <t>Gul Amin etc Vs Malak Muhammad Naeem etc</t>
  </si>
  <si>
    <t>Hasan Zadgai Vs Alim Ul Haq</t>
  </si>
  <si>
    <t>Arshad Khan Vs NADRA etc</t>
  </si>
  <si>
    <t>Sayed Kheyam etc Vs System Eng etc</t>
  </si>
  <si>
    <t>CNSA 23/ii</t>
  </si>
  <si>
    <t>State Vs Shahid Zeb</t>
  </si>
  <si>
    <t>CNSA 22/ii</t>
  </si>
  <si>
    <t>State Vs Hazrat Ali</t>
  </si>
  <si>
    <t>CNSA 21/ii</t>
  </si>
  <si>
    <t>State Vs Muhammad Rehman</t>
  </si>
  <si>
    <t>CNSA 20/ii</t>
  </si>
  <si>
    <t>State Vs Sharif Gul</t>
  </si>
  <si>
    <t>BA No 89/iv</t>
  </si>
  <si>
    <t>Noor Said Vs State</t>
  </si>
  <si>
    <t>Ex No 25/10 Neem of 2020</t>
  </si>
  <si>
    <t>Zahir Shah Vs Govt etc</t>
  </si>
  <si>
    <t>Ex No 26/10 Neem of 2020</t>
  </si>
  <si>
    <t>Sarir Shah Vs Govt</t>
  </si>
  <si>
    <t>31-03-2023 12:01:48</t>
  </si>
  <si>
    <t>Ex No 49/10 Neem of 2021</t>
  </si>
  <si>
    <t>Bakht Biland Khan Vs Govt etc</t>
  </si>
  <si>
    <t>31-03-2023 12:04:57</t>
  </si>
  <si>
    <t>Ex No 27/10 Neem of 2020</t>
  </si>
  <si>
    <t>Kiramat Shah Vs Govt etc</t>
  </si>
  <si>
    <t>31-03-2023 12:06:33</t>
  </si>
  <si>
    <t>Ex No 1/10 Neem of 2021</t>
  </si>
  <si>
    <t>Shahensha Khan Vs Govt etc</t>
  </si>
  <si>
    <t>Ex No 23/10 Nem of 2020</t>
  </si>
  <si>
    <t>Nasar Shah VS Govt etc</t>
  </si>
  <si>
    <t>Ex No 6/10 Neem of 2022</t>
  </si>
  <si>
    <t>31-03-2023 12:11:45</t>
  </si>
  <si>
    <t>AO 4/iii</t>
  </si>
  <si>
    <t>State Vs Bakht Zaman</t>
  </si>
  <si>
    <t>31-03-2023 12:27:45</t>
  </si>
  <si>
    <t>State Vs Ali Khan etc</t>
  </si>
  <si>
    <t>31-03-2023 12:29:42</t>
  </si>
  <si>
    <t>25/iii</t>
  </si>
  <si>
    <t>State Vs Inam Ullah</t>
  </si>
  <si>
    <t>31-03-2023 12:33:20</t>
  </si>
  <si>
    <t>27/iii</t>
  </si>
  <si>
    <t>State Vs Tariq Shah</t>
  </si>
  <si>
    <t>31-03-2023 12:37:16</t>
  </si>
  <si>
    <t>State VS Bakht Zaman Khan etc</t>
  </si>
  <si>
    <t>31-03-2023 12:38:29</t>
  </si>
  <si>
    <t>State Vs Siraj Ul Haq</t>
  </si>
  <si>
    <t>31-03-2023 12:40:09</t>
  </si>
  <si>
    <t>Cr Rev 7/10</t>
  </si>
  <si>
    <t>Husain Zaman Vs Gul Zaman etc</t>
  </si>
  <si>
    <t>31-03-2023 12:41:58</t>
  </si>
  <si>
    <t>Cr Rev 9/10</t>
  </si>
  <si>
    <t>Abdullah Vs Sher Bahadar etc</t>
  </si>
  <si>
    <t>Cr Rev 10/10</t>
  </si>
  <si>
    <t>Hayat Muhammad Vs Inayat Ul Haq</t>
  </si>
  <si>
    <t>Cr Rev 11/10</t>
  </si>
  <si>
    <t>Hayat Muhammad VS Inayat Ul Haq etc</t>
  </si>
  <si>
    <t>Ex No 4/10</t>
  </si>
  <si>
    <t>Ali Khan etc Vs Govt kpk</t>
  </si>
  <si>
    <t>Ex No 5/10</t>
  </si>
  <si>
    <t>Muhammad Munir Khan etc Vs Govt kpk</t>
  </si>
  <si>
    <t>Ex No 7/10</t>
  </si>
  <si>
    <t>Qasim Jan Vs Haif Ur Rehman</t>
  </si>
  <si>
    <t>Mst Parveen VS Anwar Ali etc</t>
  </si>
  <si>
    <t>Robina bibi etc Vs Ramdad Khan</t>
  </si>
  <si>
    <t>Mst Abida Husain Vs Muhammad Mukhtiar</t>
  </si>
  <si>
    <t>Ishaq Vs Mst Mumtaz Mahal etc</t>
  </si>
  <si>
    <t>Suit No 10/1</t>
  </si>
  <si>
    <t>Hidayat Ullah Vs Yahya Khan</t>
  </si>
  <si>
    <t>Muhammad Yaseen Azhar etc Vs Najma Begum</t>
  </si>
  <si>
    <t>16/14</t>
  </si>
  <si>
    <t>Abdur Raziq Vs Mst Jehan Khaista</t>
  </si>
  <si>
    <t>Abdul Satar Vs Mst Halima bibi etc</t>
  </si>
  <si>
    <t>Sher Zamin Vs Govt KPK etc</t>
  </si>
  <si>
    <t>Reyaz Ud Din Vs Insaf Khan etc</t>
  </si>
  <si>
    <t>12/14-c</t>
  </si>
  <si>
    <t>XEN C&amp;W etc Vs Israr Ud Din etc</t>
  </si>
  <si>
    <t>Hazrat Nabi Vs Muhammad Naeem etc</t>
  </si>
  <si>
    <t>15/14-c</t>
  </si>
  <si>
    <t>Fazal Azim etc V Abdul Hamid etc</t>
  </si>
  <si>
    <t>1/12(2)</t>
  </si>
  <si>
    <t>Mst Behri Falak etc VS Khaista Sardar etc</t>
  </si>
  <si>
    <t>Inam Ullah Vs Inayat Ullah</t>
  </si>
  <si>
    <t>Fazal Khabeer etc Vs Mst Fatima bibi etc</t>
  </si>
  <si>
    <t>Muhammad Alam Khan etc Vs Sher Zamin etc</t>
  </si>
  <si>
    <t>Sahib Zada VS Asil Zada etc</t>
  </si>
  <si>
    <t>Khalil Ullah Vs Gul Naseeb Khan etc</t>
  </si>
  <si>
    <t>Zahir Shah Vs Muhammad Irshad etc</t>
  </si>
  <si>
    <t>Mumtaz Khan etc VS Muhammad Alam Khan etc</t>
  </si>
  <si>
    <t>Muhammad Shafiq Vs Muhammad Nabi</t>
  </si>
  <si>
    <t>Raees Khan etc Vs Anwar Zeb etc</t>
  </si>
  <si>
    <t>Sher Zamin Vs Muhamamd Alam etc</t>
  </si>
  <si>
    <t>45729</t>
  </si>
  <si>
    <t>44984</t>
  </si>
  <si>
    <t>Ex No 8/10</t>
  </si>
  <si>
    <t>Abdul Waris Vs Govt etc</t>
  </si>
  <si>
    <t>29-04-2023 12:22:51</t>
  </si>
  <si>
    <t>Ex No 9/10</t>
  </si>
  <si>
    <t>Ahmad Din Vs govt etc</t>
  </si>
  <si>
    <t>Ex No 10/10</t>
  </si>
  <si>
    <t>Sher Afzal Khan Vs Govt etc</t>
  </si>
  <si>
    <t>29-04-2023 12:24:41</t>
  </si>
  <si>
    <t>Ex No 11/10</t>
  </si>
  <si>
    <t>Hasan Zada Vs Govt etc</t>
  </si>
  <si>
    <t>29-04-2023 12:25:35</t>
  </si>
  <si>
    <t>Ex No 12/10</t>
  </si>
  <si>
    <t>Jehan Badshah Vs govt etc</t>
  </si>
  <si>
    <t>29-04-2023 12:26:16</t>
  </si>
  <si>
    <t>Ex No 13/10</t>
  </si>
  <si>
    <t>Shehreyar Khan Vs Govt etc</t>
  </si>
  <si>
    <t>29-04-2023 12:27:05</t>
  </si>
  <si>
    <t>Ex No 14/10</t>
  </si>
  <si>
    <t>Malak Khan Vs Govt etc</t>
  </si>
  <si>
    <t>29-04-2023 12:27:53</t>
  </si>
  <si>
    <t>Ex No 15/10</t>
  </si>
  <si>
    <t>Inayat khan Vs Govt etc</t>
  </si>
  <si>
    <t>29-04-2023 12:28:29</t>
  </si>
  <si>
    <t>Ex No 16/10</t>
  </si>
  <si>
    <t>Rahmat Badshah Vs Govt etc</t>
  </si>
  <si>
    <t>29-04-2023 12:29:09</t>
  </si>
  <si>
    <t>Ex No 17/10</t>
  </si>
  <si>
    <t>Inayat Said Vs Govt etc</t>
  </si>
  <si>
    <t>29-04-2023 12:29:42</t>
  </si>
  <si>
    <t>Ex No 18/10</t>
  </si>
  <si>
    <t>Mula Gul Vs Govt etc</t>
  </si>
  <si>
    <t>Ex No 19/10</t>
  </si>
  <si>
    <t>Nauman Khan Vs Govt etc</t>
  </si>
  <si>
    <t>29-04-2023 12:33:06</t>
  </si>
  <si>
    <t>Ex No 20/10</t>
  </si>
  <si>
    <t>Wahab Ullah Vs Govt etc</t>
  </si>
  <si>
    <t>29-04-2023 12:33:49</t>
  </si>
  <si>
    <t>Ex No 21/10</t>
  </si>
  <si>
    <t>Malak Zada Vs Govt etc</t>
  </si>
  <si>
    <t>29-04-2023 12:34:28</t>
  </si>
  <si>
    <t>Ex No 22/10</t>
  </si>
  <si>
    <t>Azam Khan Vs Govt etc</t>
  </si>
  <si>
    <t>29-04-2023 12:35:05</t>
  </si>
  <si>
    <t>Ex No 23/10</t>
  </si>
  <si>
    <t>Shahab Ud Din Vs Govt etc</t>
  </si>
  <si>
    <t>29-04-2023 12:35:41</t>
  </si>
  <si>
    <t>Ex No 24/10</t>
  </si>
  <si>
    <t>Munir Badshah Vs Govt etc</t>
  </si>
  <si>
    <t>29-04-2023 12:36:19</t>
  </si>
  <si>
    <t>Ex No 25/10</t>
  </si>
  <si>
    <t>Muhammad Ibad Ullah Vs Govt etc</t>
  </si>
  <si>
    <t>29-04-2023 12:37:01</t>
  </si>
  <si>
    <t>Ex No 26/10</t>
  </si>
  <si>
    <t>Abdur Razaq Vs Govt etc</t>
  </si>
  <si>
    <t>29-04-2023 12:37:52</t>
  </si>
  <si>
    <t>Ex No 27/10</t>
  </si>
  <si>
    <t>Roidad Husain Vs Govt etc</t>
  </si>
  <si>
    <t>29/iii</t>
  </si>
  <si>
    <t>State Vs Anwar Said</t>
  </si>
  <si>
    <t>29-04-2023 12:46:16</t>
  </si>
  <si>
    <t>State Vs Zahid Ullah etc</t>
  </si>
  <si>
    <t>29-04-2023 12:46:53</t>
  </si>
  <si>
    <t>State Vs Uzair Abdul Hamid</t>
  </si>
  <si>
    <t>29-04-2023 12:47:36</t>
  </si>
  <si>
    <t>Farooq Khan etc Vs Fazal Mabood</t>
  </si>
  <si>
    <t>State Vs Gul Zahir etc</t>
  </si>
  <si>
    <t>29-04-2023 12:51:21</t>
  </si>
  <si>
    <t>302/311/34</t>
  </si>
  <si>
    <t>State Vs Muhammad Karim etc</t>
  </si>
  <si>
    <t>29-04-2023 12:52:30</t>
  </si>
  <si>
    <t>302/147/149 PPC</t>
  </si>
  <si>
    <t>Muhammad Anwar Vs Govt etc</t>
  </si>
  <si>
    <t>17/14-c</t>
  </si>
  <si>
    <t>Dawalat Khan etc VS Noor Badshah etc</t>
  </si>
  <si>
    <t>29-04-2023 12:58:13</t>
  </si>
  <si>
    <t>Ayaz Muhammad Vs Said Ayaz etc</t>
  </si>
  <si>
    <t>29-04-2023 13:01:39</t>
  </si>
  <si>
    <t>37/13</t>
  </si>
  <si>
    <t>Dr Muhammad Rehman Vs Ghulam Bahadar</t>
  </si>
  <si>
    <t>29-04-2023 13:03:00</t>
  </si>
  <si>
    <t>Waheed Asim Vs Education etc</t>
  </si>
  <si>
    <t>Rasool Ahmad Vs Mst Gul Naz etc</t>
  </si>
  <si>
    <t>29-04-2023 13:04:23</t>
  </si>
  <si>
    <t>40/13</t>
  </si>
  <si>
    <t>Gul Zada Vs Habib Zada etc</t>
  </si>
  <si>
    <t>29-04-2023 13:05:06</t>
  </si>
  <si>
    <t>41/13</t>
  </si>
  <si>
    <t>Muhamamd Zafar Khan etc Vs Mst Hidayat bibi etc</t>
  </si>
  <si>
    <t>29-04-2023 13:05:47</t>
  </si>
  <si>
    <t>42/13</t>
  </si>
  <si>
    <t>Nawab Zada Amir Muhammad Shah etc Vs Eucation etc</t>
  </si>
  <si>
    <t>29-04-2023 13:06:35</t>
  </si>
  <si>
    <t>43/13</t>
  </si>
  <si>
    <t>Ikram Ullah Vs Mst Meher Taj etc</t>
  </si>
  <si>
    <t>29-04-2023 13:07:29</t>
  </si>
  <si>
    <t>Mumtaz Khan etc Vs Rooh Ullah etc</t>
  </si>
  <si>
    <t>29-04-2023 13:08:13</t>
  </si>
  <si>
    <t>Muhammad Mukhtiar Vs Mst Akbar bibi etc</t>
  </si>
  <si>
    <t>29-04-2023 13:09:20</t>
  </si>
  <si>
    <t>Hazrat Usman Vs Mst Gul Naaz etc</t>
  </si>
  <si>
    <t>29-04-2023 13:09:59</t>
  </si>
  <si>
    <t>Malak Rashid Khan Vs Muhammad Israr</t>
  </si>
  <si>
    <t>29-04-2023 13:10:44</t>
  </si>
  <si>
    <t>Ayaz Kha Vs Shmaila bibi</t>
  </si>
  <si>
    <t>29-04-2023 13:11:59</t>
  </si>
  <si>
    <t>11/FCA</t>
  </si>
  <si>
    <t>Siraj Ud Din Vs Rafiqa bibi etc</t>
  </si>
  <si>
    <t>29-04-2023 13:12:36</t>
  </si>
  <si>
    <t>12/FCA</t>
  </si>
  <si>
    <t>Rooh Ul Amin Vs Mst Fozia Khan etc</t>
  </si>
  <si>
    <t>29-04-2023 13:13:17</t>
  </si>
  <si>
    <t>Mst Shmail bibi etc VS ayaz khan</t>
  </si>
  <si>
    <t>29-04-2023 13:13:54</t>
  </si>
  <si>
    <t>Mst Fozia Khan etc Vs Rooh Ul Amin</t>
  </si>
  <si>
    <t>29-04-2023 13:14:33</t>
  </si>
  <si>
    <t>Mst Rafiqa bibi Vs Siraj Ud Din</t>
  </si>
  <si>
    <t>29-04-2023 13:15:08</t>
  </si>
  <si>
    <t>Mst Saima Vs Mushtaq Ahmad</t>
  </si>
  <si>
    <t>29-04-2023 13:15:53</t>
  </si>
  <si>
    <t>Alam Zeb etc Vs Govt etc</t>
  </si>
  <si>
    <t>29-04-2023 13:30:39</t>
  </si>
  <si>
    <t>Muzamil Khan etc Vs Govt etc</t>
  </si>
  <si>
    <t>29-04-2023 13:31:14</t>
  </si>
  <si>
    <t>BA No 106/iv</t>
  </si>
  <si>
    <t>Wali Khan Vs State</t>
  </si>
  <si>
    <t>BBA No 108/iv</t>
  </si>
  <si>
    <t>Mst Aiman Vs State</t>
  </si>
  <si>
    <t>BA No 116/iv</t>
  </si>
  <si>
    <t>Shah Zeb Vs State</t>
  </si>
  <si>
    <t>BBA No 122/iv</t>
  </si>
  <si>
    <t>Aman Ul Haq Vs State</t>
  </si>
  <si>
    <t>Mujahid Khan Vs State</t>
  </si>
  <si>
    <t>Najeeb Ullah Vs State</t>
  </si>
  <si>
    <t>State Vs Wajid</t>
  </si>
  <si>
    <t>State Vs Zeshan</t>
  </si>
  <si>
    <t>State Vs Shahzeb</t>
  </si>
  <si>
    <t>28/10</t>
  </si>
  <si>
    <t>Nasir Ullah Vs Govt etc</t>
  </si>
  <si>
    <t>29/10</t>
  </si>
  <si>
    <t>Naseeb Khan Vs Govt etc</t>
  </si>
  <si>
    <t>30/10</t>
  </si>
  <si>
    <t>Majid Ullah Vs Govt etc</t>
  </si>
  <si>
    <t>31/10</t>
  </si>
  <si>
    <t>Sher Hayat Vs Govt etc</t>
  </si>
  <si>
    <t>Sadiq Ur Rehman Vs Muhammad Nageen khan</t>
  </si>
  <si>
    <t>33/10</t>
  </si>
  <si>
    <t>34/10</t>
  </si>
  <si>
    <t>Hazrat Rehman Vs Govt etc</t>
  </si>
  <si>
    <t>35/10</t>
  </si>
  <si>
    <t>Badshah Ameer Vs Govt etc</t>
  </si>
  <si>
    <t>36/10</t>
  </si>
  <si>
    <t>37/10</t>
  </si>
  <si>
    <t>38/10</t>
  </si>
  <si>
    <t>Muhammad Ayoub Vs Govt etc</t>
  </si>
  <si>
    <t>Gul Mula Khan etc VS Muhammad Zeb</t>
  </si>
  <si>
    <t>State Vs Sher Zaman</t>
  </si>
  <si>
    <t>State Vs Sahib Zada</t>
  </si>
  <si>
    <t>State Vs Nasir</t>
  </si>
  <si>
    <t>State Vs Thoti Rehman</t>
  </si>
  <si>
    <t>State VS Mst Umaira bibi etc</t>
  </si>
  <si>
    <t>State Vs Ziarat Gul</t>
  </si>
  <si>
    <t>State Vs Shahid etc</t>
  </si>
  <si>
    <t>State Vs Rehman Ud Din</t>
  </si>
  <si>
    <t>Cr Rev 14/10</t>
  </si>
  <si>
    <t>Zubair Shah Vs Sajad Ali</t>
  </si>
  <si>
    <t>Abidin Vs Qaiser Khalil</t>
  </si>
  <si>
    <t>Alima Bibi etc Vs Kheyal Zamin</t>
  </si>
  <si>
    <t>Muhammad Ibrahim Vs Rashid Minhas etc</t>
  </si>
  <si>
    <t>Shah Room Khan etc Vs Govt etc</t>
  </si>
  <si>
    <t>Altaf Ahmad Vs Qadeer Ahmad etc</t>
  </si>
  <si>
    <t>Muhammad Nawaz Khan etc Vs Sardar Abdul Hakim etc</t>
  </si>
  <si>
    <t>Sadbar Khan Vs Sher Alam etc</t>
  </si>
  <si>
    <t>Mst Falak Naz Vs Govt etc</t>
  </si>
  <si>
    <t>52/13</t>
  </si>
  <si>
    <t>Muhammad Ayaz Vs Amin Ur Rehman</t>
  </si>
  <si>
    <t>Hayat Ullah VS Amin Ur Rehman</t>
  </si>
  <si>
    <t>Rahman Ullah etc VS Shah Zamin Khan</t>
  </si>
  <si>
    <t>Mehmood Zeb etc Vs Azhar Sultan khan etc</t>
  </si>
  <si>
    <t>Abdur Razaq etc Vs Mst Khan bibi</t>
  </si>
  <si>
    <t>Rashid Ahmad Vs Amir Baz</t>
  </si>
  <si>
    <t>Rashid Ahmad Vs Ameer Baz</t>
  </si>
  <si>
    <t>58/13</t>
  </si>
  <si>
    <t>Mst Mahar Taj etc Vs Ikram Ullah etc</t>
  </si>
  <si>
    <t>Mst Hajira bibi VS Muhammad Wasim Shah</t>
  </si>
  <si>
    <t>Muhammad Suliman Vs Mst Tahira Yasmeen</t>
  </si>
  <si>
    <t>Mst Asma bibi etc Vs Alam Khan etc</t>
  </si>
  <si>
    <t>25/14</t>
  </si>
  <si>
    <t>Subhan Ullah Vs Mst Saira Begum</t>
  </si>
  <si>
    <t>26/14</t>
  </si>
  <si>
    <t>Atha Ullah Vs Muhammad Ibrahim etc</t>
  </si>
  <si>
    <t>Itebar Gul Vs Mosa Khan etc</t>
  </si>
  <si>
    <t>22/14-c</t>
  </si>
  <si>
    <t>Wali Zar Khan etc Vs Mst Bakht Angeza etc</t>
  </si>
  <si>
    <t>23/14-c</t>
  </si>
  <si>
    <t>Amin Ur Rehman etc Vs Arab Zaman etc</t>
  </si>
  <si>
    <t>Khesro Khan etc Vs Faza Ur Rehman</t>
  </si>
  <si>
    <t>25/14-c</t>
  </si>
  <si>
    <t>Muhammad Afzal etc Vs Haq Nawaz etc</t>
  </si>
  <si>
    <t>6/6</t>
  </si>
  <si>
    <t>Sardar Bacha Vs Assistant Eng etc</t>
  </si>
  <si>
    <t>7/6</t>
  </si>
  <si>
    <t>Naeem Ullah Vs Managing Director etc</t>
  </si>
  <si>
    <t>Imran Khan Vs Umar Zada</t>
  </si>
  <si>
    <t>Farid Gul Vs Mst Khalida bibi etc</t>
  </si>
  <si>
    <t>Ahmad Ullah VS Sohail Ahmad</t>
  </si>
  <si>
    <t>11/6</t>
  </si>
  <si>
    <t>Mst Hamseeda VS Anwar Ali</t>
  </si>
  <si>
    <t>Mst Anisa bibi Vs Khesro etc</t>
  </si>
  <si>
    <t>26/14-c</t>
  </si>
  <si>
    <t>Mst Anisa Bibi Vs Khesro etc</t>
  </si>
  <si>
    <t>Conviction</t>
  </si>
  <si>
    <t>Cr Complaint 1/4 Neem</t>
  </si>
  <si>
    <t>Mst Noor Ul Huda Vs M Jamil etc</t>
  </si>
  <si>
    <t>900</t>
  </si>
  <si>
    <t>27/14</t>
  </si>
  <si>
    <t>Sher Kamin Khan Vs Momin Khan etc</t>
  </si>
  <si>
    <t>Abdur Rehman Vs Sumbal bibi etc</t>
  </si>
  <si>
    <t>Habib Ur Rehman etc Vs Mst Aqal bibi etc</t>
  </si>
  <si>
    <t>30/14</t>
  </si>
  <si>
    <t>Farid Gul etc Vs Mst Khalida bibi etc</t>
  </si>
  <si>
    <t>39/10</t>
  </si>
  <si>
    <t>Wali Rehman etcc Vs Govt etc</t>
  </si>
  <si>
    <t>40/10</t>
  </si>
  <si>
    <t>Ghulam Haider Vs Govt etc</t>
  </si>
  <si>
    <t>Aisha bibi Vs Meer Shad Begum etc</t>
  </si>
  <si>
    <t>Mst Anwar Begum Vs Muhammad Islam</t>
  </si>
  <si>
    <t>Liaqat Ali Khan Vs Umar Iqbal</t>
  </si>
  <si>
    <t>Muhammad Saeed etc Vs Exceen Public Health etc</t>
  </si>
  <si>
    <t>63/13</t>
  </si>
  <si>
    <t>Anwar Said Vs Govt etc</t>
  </si>
  <si>
    <t>Fazal Ur Rehman etc Vs Mst Anwar Khaista etc</t>
  </si>
  <si>
    <t>Mst Farzana etc Vs Sajawal Rauf</t>
  </si>
  <si>
    <t>Nawab Zada etc Vs Nawab Zadi etc</t>
  </si>
  <si>
    <t>27/14-c</t>
  </si>
  <si>
    <t>Amir Aman Ullah etc Vs Rahat Zamin etc</t>
  </si>
  <si>
    <t>Abdur Rehman Vs Faqeer Gul</t>
  </si>
  <si>
    <t>Mst Tajbar Sultana Vs Zor Zamin Khan etc</t>
  </si>
  <si>
    <t>Aziz Ahmad Vs Ajmal Shah</t>
  </si>
  <si>
    <t>31/14-c</t>
  </si>
  <si>
    <t>Naik Zada etc Vs Nasar Khan</t>
  </si>
  <si>
    <t>32/14-c</t>
  </si>
  <si>
    <t>Azhar Sultan Khan Vs Mehmood Zeb Khan</t>
  </si>
  <si>
    <t>33/14-c</t>
  </si>
  <si>
    <t>Azhar Sultan Vs Mehmood Zeb</t>
  </si>
  <si>
    <t>34/14-c</t>
  </si>
  <si>
    <t>Azhar Sultan khan Vs Mehmood Zeb Khan</t>
  </si>
  <si>
    <t>35/14-c</t>
  </si>
  <si>
    <t>Aqal Munir Vs Mst Gul Naz Begum etc</t>
  </si>
  <si>
    <t>Muhammad Khan etc Vs Saeed Naeem etc</t>
  </si>
  <si>
    <t>Riyaz Ullah Vs Dr Shaukat Ali</t>
  </si>
  <si>
    <t>14/6</t>
  </si>
  <si>
    <t>Amir Nawab Khan Vs Govt et c</t>
  </si>
  <si>
    <t>15/6</t>
  </si>
  <si>
    <t>Farid Shah Vs Govt etc</t>
  </si>
  <si>
    <t>16/6</t>
  </si>
  <si>
    <t>Bahadar Zeb Vs Govt etc</t>
  </si>
  <si>
    <t>Muhammad Jalat Khan Vs Govt etc</t>
  </si>
  <si>
    <t>18/6</t>
  </si>
  <si>
    <t>Haji Nawab Khan Vs Govt etc</t>
  </si>
  <si>
    <t>Abdul Hameed Khan Vs Naik Zada</t>
  </si>
  <si>
    <t>Muhammad Ilyas Khan Vs Govt etc</t>
  </si>
  <si>
    <t>21/6</t>
  </si>
  <si>
    <t>Shad Muhammd Khan Vs Hayat Khan etc</t>
  </si>
  <si>
    <t>Ibad Ur Rehman Vs Govt etc</t>
  </si>
  <si>
    <t>Kabir Khan Vs Shahab Ud Din</t>
  </si>
  <si>
    <t>25/6</t>
  </si>
  <si>
    <t>Muhib Ur Rehman Vs Govt etc</t>
  </si>
  <si>
    <t>Nasar Shah Vs Govt etc</t>
  </si>
  <si>
    <t>29/6</t>
  </si>
  <si>
    <t>Shahensha Khan VS govt etc</t>
  </si>
  <si>
    <t>30/6</t>
  </si>
  <si>
    <t>Surir Shah Vs Govt etc</t>
  </si>
  <si>
    <t>31/6</t>
  </si>
  <si>
    <t>Shafiq Ur Rehman Vs Govt etc</t>
  </si>
  <si>
    <t>32/6</t>
  </si>
  <si>
    <t>Sami Ullah Vs Govt etc</t>
  </si>
  <si>
    <t>33/6</t>
  </si>
  <si>
    <t>Shakir Ullah etc Vs Govt etc</t>
  </si>
  <si>
    <t>34/6</t>
  </si>
  <si>
    <t>Muhammad Nazir Khan Vs Govt etc</t>
  </si>
  <si>
    <t>Cr Complaint 5/4</t>
  </si>
  <si>
    <t>Mst Khodija bibi VS Zahir Khan</t>
  </si>
  <si>
    <t>JJS 1/iii</t>
  </si>
  <si>
    <t>State Vs Talha</t>
  </si>
  <si>
    <t>State Vs Shahen Zada etc</t>
  </si>
  <si>
    <t>State Vs Khalid Husain etc</t>
  </si>
  <si>
    <t>State Vs Usman Ul Haq</t>
  </si>
  <si>
    <t>State Vs Wali Khan etc</t>
  </si>
  <si>
    <t>State Vs Naeem Akbar etc</t>
  </si>
  <si>
    <t>State Vs Anwar Ul Islam</t>
  </si>
  <si>
    <t>State Vs Nasar</t>
  </si>
  <si>
    <t>Cr Rev 15/10</t>
  </si>
  <si>
    <t>Zarbaz Khan Vs Said Baaz</t>
  </si>
  <si>
    <t>172/iv</t>
  </si>
  <si>
    <t>Ihsan Ullah Vs State</t>
  </si>
  <si>
    <t>173/iv</t>
  </si>
  <si>
    <t>Abdul Wasi Vs State</t>
  </si>
  <si>
    <t>174/iv</t>
  </si>
  <si>
    <t>Salim Khan Vs State</t>
  </si>
  <si>
    <t>175/iv</t>
  </si>
  <si>
    <t>Arshad Ali Vs State</t>
  </si>
  <si>
    <t>176/iv</t>
  </si>
  <si>
    <t>Sahib zada Vs State</t>
  </si>
  <si>
    <t>177/iv</t>
  </si>
  <si>
    <t>Mujahid Vs State</t>
  </si>
  <si>
    <t>178/iv</t>
  </si>
  <si>
    <t>Muhammad Khan Vs State</t>
  </si>
  <si>
    <t>179/iv</t>
  </si>
  <si>
    <t>Asad Ullah Vs State</t>
  </si>
  <si>
    <t>181/iv</t>
  </si>
  <si>
    <t>Javeed Vs State</t>
  </si>
  <si>
    <t>182/iv</t>
  </si>
  <si>
    <t>Gul Zahir Vs State</t>
  </si>
  <si>
    <t>183/iv</t>
  </si>
  <si>
    <t>Mathi Ullah Vs State</t>
  </si>
  <si>
    <t>184/iv</t>
  </si>
  <si>
    <t>Usman Vs State</t>
  </si>
  <si>
    <t>185/iv</t>
  </si>
  <si>
    <t>186/iv</t>
  </si>
  <si>
    <t>Dilfaraz Khan Vs State</t>
  </si>
  <si>
    <t>187/iv</t>
  </si>
  <si>
    <t>Yasar Shah Vs State</t>
  </si>
  <si>
    <t>188/iv</t>
  </si>
  <si>
    <t>Wahab Alam Vs State</t>
  </si>
  <si>
    <t>189/iv</t>
  </si>
  <si>
    <t>Abbas Zeb Vs State</t>
  </si>
  <si>
    <t>190/iv</t>
  </si>
  <si>
    <t>Muhammad Tahir Vs State</t>
  </si>
  <si>
    <t>191/iv</t>
  </si>
  <si>
    <t>Tausif Shah Vs State</t>
  </si>
  <si>
    <t>192/iv</t>
  </si>
  <si>
    <t>193/iv</t>
  </si>
  <si>
    <t>Junaid Qasim Vs State</t>
  </si>
  <si>
    <t>194/iv</t>
  </si>
  <si>
    <t>Alim Ul Haq Vs State</t>
  </si>
  <si>
    <t>195/iv</t>
  </si>
  <si>
    <t>Mst Abida Vs SHO etc</t>
  </si>
  <si>
    <t>196/iv</t>
  </si>
  <si>
    <t>Dawood Khan Vs State</t>
  </si>
  <si>
    <t>197/iv</t>
  </si>
  <si>
    <t>198/iv</t>
  </si>
  <si>
    <t>Hujaj Khan Vs State</t>
  </si>
  <si>
    <t>199/iv</t>
  </si>
  <si>
    <t>200/iv</t>
  </si>
  <si>
    <t>201/iv</t>
  </si>
  <si>
    <t>Khowaja Muhammad Vs State</t>
  </si>
  <si>
    <t>88/4</t>
  </si>
  <si>
    <t>Haji Latif Zada Vs Govt etc</t>
  </si>
  <si>
    <t>25/10 Neem</t>
  </si>
  <si>
    <t>10/10 Neem</t>
  </si>
  <si>
    <t>Badshah Wahid Vs Govt etc</t>
  </si>
  <si>
    <t>4/FCA Neem</t>
  </si>
  <si>
    <t>Mst Hamseeda Bibi etc VS Anwar Ali</t>
  </si>
  <si>
    <t>1/10 Neem</t>
  </si>
  <si>
    <t>Jehan Alam Vs Govt etc</t>
  </si>
  <si>
    <t>1/1 Neem</t>
  </si>
  <si>
    <t>69/13 Neem</t>
  </si>
  <si>
    <t>Shad Muhammad Vs Hayat Khan etc</t>
  </si>
  <si>
    <t>3/4 Neem</t>
  </si>
  <si>
    <t>Jamshed Khan Vs Govt etc</t>
  </si>
  <si>
    <t>19/10 Neem Dar Neem</t>
  </si>
  <si>
    <t>Ahmad Ullah Vs Muhammad Sohail</t>
  </si>
  <si>
    <t>Civil Rev 26/14-C Neem</t>
  </si>
  <si>
    <t>7/1 Neem</t>
  </si>
  <si>
    <t>Sardar Bacha Vs Govt etc</t>
  </si>
  <si>
    <t>34/1 Neem</t>
  </si>
  <si>
    <t>202/iv</t>
  </si>
  <si>
    <t>Suliman etc Vs State etc</t>
  </si>
  <si>
    <t>36/14-C</t>
  </si>
  <si>
    <t>Jehangeer Jan etc Vs Muhammad Islam etc</t>
  </si>
  <si>
    <t>Abdur Rashed Vs Govt etc</t>
  </si>
  <si>
    <t>69/13</t>
  </si>
  <si>
    <t>Fazal Hameed Vs Malak Jehan Alam etc</t>
  </si>
  <si>
    <t>68/13</t>
  </si>
  <si>
    <t>Shah Israr Vs Mst Amina Bibi</t>
  </si>
  <si>
    <t>ibad Ur Rehman Vs Govt etc</t>
  </si>
  <si>
    <t>BA 170/iv</t>
  </si>
  <si>
    <t>Kabir Ullah Vs State</t>
  </si>
  <si>
    <t>BBA No 165/iv</t>
  </si>
  <si>
    <t>Habib Ullah Vs State</t>
  </si>
  <si>
    <t>Cr Rev 26/10</t>
  </si>
  <si>
    <t>Abdul Wahab Vs State</t>
  </si>
  <si>
    <t>512 Cr.PC Completed</t>
  </si>
  <si>
    <t>Acquittal-On Merit</t>
  </si>
  <si>
    <t>Ex No 45/10 Neem</t>
  </si>
  <si>
    <t>Ex No 28/10 Neem</t>
  </si>
  <si>
    <t>Ex No 2/10 Neem</t>
  </si>
  <si>
    <t>Muhammad Ali Khan Vs Govt etc</t>
  </si>
  <si>
    <t>Ex No 53/10 Neem</t>
  </si>
  <si>
    <t>Nowshad etc Vs Govt etc</t>
  </si>
  <si>
    <t>BA No 169/iv</t>
  </si>
  <si>
    <t>45094</t>
  </si>
  <si>
    <t>45099</t>
  </si>
  <si>
    <t>45086</t>
  </si>
  <si>
    <t>45100</t>
  </si>
  <si>
    <t>45104</t>
  </si>
  <si>
    <t>45096</t>
  </si>
  <si>
    <t>45092</t>
  </si>
  <si>
    <t>45098</t>
  </si>
  <si>
    <t>45083</t>
  </si>
  <si>
    <t>45101</t>
  </si>
  <si>
    <t>45091</t>
  </si>
  <si>
    <t>45103</t>
  </si>
  <si>
    <t>45090</t>
  </si>
  <si>
    <t>45093</t>
  </si>
  <si>
    <t>45097</t>
  </si>
  <si>
    <t>45089</t>
  </si>
  <si>
    <t>45085</t>
  </si>
  <si>
    <t>44828</t>
  </si>
  <si>
    <t>45080</t>
  </si>
  <si>
    <t>45082</t>
  </si>
  <si>
    <t>45095</t>
  </si>
  <si>
    <t>45087</t>
  </si>
  <si>
    <t>Preceedings Abated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</si>
</sst>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dd\-mmm\-yyyy"/>
    <numFmt numFmtId="165" formatCode="mmm\ yyyy"/>
    <numFmt numFmtId="166" formatCode="mmm\-yyyy"/>
    <numFmt numFmtId="167" formatCode="0.0"/>
    <numFmt numFmtId="168" formatCode="dd/mmm/yyyy"/>
    <numFmt numFmtId="169" formatCode="[$]d\ mmmm\ yyyy;@"/>
    <numFmt numFmtId="170" formatCode="[$]dd\-mmm\-yyyy;@"/>
    <numFmt numFmtId="171" formatCode="[$]mmm\-yyyy;@"/>
    <numFmt numFmtId="172" formatCode="[$]dd\-mmm\-yyyy;@" x16r2:formatCode16="[$-en-PK,1]dd\-mmm\-yyyy;@"/>
    <numFmt numFmtId="173" formatCode="[$]mmm\-yyyy;@" x16r2:formatCode16="[$-en-PK,1]mmm\-yyyy;@"/>
  </numFmts>
  <fonts count="70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2"/>
      <color rgb="FF000000"/>
      <name val="Times New Roman"/>
      <family val="1"/>
    </font>
    <font>
      <sz val="10"/>
      <name val="Arial"/>
      <family val="2"/>
    </font>
    <font>
      <sz val="12"/>
      <color rgb="FF000000"/>
      <name val="Arial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16"/>
      <name val="Times New Roman"/>
      <family val="1"/>
    </font>
    <font>
      <b/>
      <sz val="14"/>
      <name val="Arial"/>
      <family val="2"/>
    </font>
    <font>
      <b/>
      <sz val="12"/>
      <name val="Times New Roman"/>
      <family val="1"/>
    </font>
    <font>
      <b/>
      <sz val="16"/>
      <color rgb="FF000000"/>
      <name val="Times New Roman"/>
      <family val="1"/>
    </font>
    <font>
      <b/>
      <sz val="14"/>
      <color rgb="FF000000"/>
      <name val="Arial"/>
      <family val="2"/>
    </font>
    <font>
      <b/>
      <sz val="12"/>
      <color rgb="FF000000"/>
      <name val="Times New Roman"/>
      <family val="1"/>
    </font>
    <font>
      <b/>
      <sz val="10"/>
      <color rgb="FF000000"/>
      <name val="Arial"/>
      <family val="2"/>
    </font>
    <font>
      <b/>
      <i/>
      <sz val="18"/>
      <color rgb="FF000000"/>
      <name val="Times New Roman"/>
      <family val="1"/>
    </font>
    <font>
      <b/>
      <sz val="9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u/>
      <sz val="11"/>
      <color rgb="FF000000"/>
      <name val="Arial"/>
      <family val="2"/>
    </font>
    <font>
      <b/>
      <sz val="11"/>
      <color rgb="FF000000"/>
      <name val="Arial"/>
      <family val="2"/>
    </font>
    <font>
      <b/>
      <u/>
      <sz val="16"/>
      <color rgb="FF000000"/>
      <name val="Calibri"/>
      <family val="2"/>
    </font>
    <font>
      <b/>
      <u/>
      <sz val="12"/>
      <color rgb="FF000000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2"/>
    </font>
    <font>
      <u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name val="Arial"/>
      <family val="2"/>
    </font>
    <font>
      <sz val="12"/>
      <name val="Times New Roman"/>
      <family val="1"/>
    </font>
    <font>
      <b/>
      <sz val="12"/>
      <name val="Garamond"/>
      <family val="1"/>
    </font>
    <font>
      <b/>
      <sz val="14"/>
      <name val="Times New Roman"/>
      <family val="1"/>
    </font>
    <font>
      <sz val="12"/>
      <color rgb="FFFF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000000"/>
      <name val="Arial"/>
      <family val="2"/>
    </font>
    <font>
      <b/>
      <u/>
      <sz val="11"/>
      <color rgb="FF000000"/>
      <name val="Calibri"/>
      <family val="2"/>
    </font>
    <font>
      <b/>
      <u/>
      <sz val="12"/>
      <color rgb="FF000000"/>
      <name val="Arial"/>
      <family val="2"/>
    </font>
    <font>
      <u/>
      <sz val="14"/>
      <color theme="1"/>
      <name val="Calibri"/>
      <family val="2"/>
      <scheme val="minor"/>
    </font>
    <font>
      <b/>
      <u/>
      <sz val="14"/>
      <color rgb="FF000000"/>
      <name val="Arial"/>
      <family val="2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Adobe Heiti Std R"/>
      <family val="2"/>
      <charset val="128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8"/>
      <name val="Adobe Heiti Std R"/>
      <family val="2"/>
      <charset val="128"/>
    </font>
    <font>
      <sz val="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u/>
      <sz val="14"/>
      <color rgb="FF000000"/>
      <name val="Calibri"/>
      <family val="2"/>
    </font>
    <font>
      <b/>
      <sz val="16"/>
      <color rgb="FF000000"/>
      <name val="Calibri"/>
      <family val="2"/>
    </font>
    <font>
      <b/>
      <sz val="10"/>
      <name val="Times New Roman"/>
      <family val="1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8"/>
      <color rgb="FF000000"/>
      <name val="Times New Roman"/>
      <family val="1"/>
    </font>
    <font>
      <sz val="8"/>
      <color rgb="FF000000"/>
      <name val="Calibri"/>
      <family val="2"/>
    </font>
    <font>
      <b/>
      <u/>
      <sz val="11"/>
      <color rgb="FFFF0000"/>
      <name val="Calibri"/>
      <family val="2"/>
      <scheme val="minor"/>
    </font>
    <font>
      <sz val="10"/>
      <color theme="1"/>
      <name val="Adobe Heiti Std R"/>
      <family val="2"/>
      <charset val="128"/>
    </font>
    <font>
      <sz val="10"/>
      <name val="Adobe Heiti Std R"/>
      <family val="2"/>
      <charset val="128"/>
    </font>
  </fonts>
  <fills count="3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0"/>
      </patternFill>
    </fill>
    <fill>
      <patternFill patternType="solid">
        <fgColor theme="7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C9C9C9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A5A5A5"/>
        <bgColor rgb="FF000000"/>
      </patternFill>
    </fill>
  </fills>
  <borders count="21">
    <border>
      <left/>
      <right/>
      <top/>
      <bottom/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4" fillId="0" borderId="0"/>
    <xf numFmtId="0" fontId="9" fillId="0" borderId="0"/>
    <xf numFmtId="9" fontId="32" fillId="0" borderId="0" applyFont="0" applyFill="0" applyBorder="0" applyAlignment="0" applyProtection="0"/>
    <xf numFmtId="0" fontId="51" fillId="0" borderId="0"/>
  </cellStyleXfs>
  <cellXfs count="483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0" fillId="3" borderId="0" xfId="0" applyFill="1" applyBorder="1"/>
    <xf numFmtId="0" fontId="0" fillId="4" borderId="0" xfId="0" applyFill="1" applyBorder="1"/>
    <xf numFmtId="0" fontId="0" fillId="0" borderId="0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/>
    <xf numFmtId="0" fontId="0" fillId="0" borderId="9" xfId="0" applyBorder="1"/>
    <xf numFmtId="0" fontId="3" fillId="0" borderId="9" xfId="0" applyFont="1" applyBorder="1" applyAlignment="1">
      <alignment vertical="center" wrapText="1"/>
    </xf>
    <xf numFmtId="0" fontId="4" fillId="0" borderId="9" xfId="1" applyBorder="1" applyAlignment="1">
      <alignment vertical="center"/>
    </xf>
    <xf numFmtId="0" fontId="4" fillId="0" borderId="9" xfId="1" applyFill="1" applyBorder="1" applyAlignment="1">
      <alignment vertical="center"/>
    </xf>
    <xf numFmtId="0" fontId="4" fillId="0" borderId="9" xfId="1" applyBorder="1" applyAlignment="1">
      <alignment horizontal="left" vertical="center"/>
    </xf>
    <xf numFmtId="0" fontId="4" fillId="0" borderId="9" xfId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9" fillId="0" borderId="9" xfId="2" applyFont="1" applyFill="1" applyBorder="1" applyAlignment="1">
      <alignment horizontal="left" vertical="center" wrapText="1"/>
    </xf>
    <xf numFmtId="0" fontId="4" fillId="0" borderId="9" xfId="1" applyFont="1" applyBorder="1" applyAlignment="1">
      <alignment horizontal="left" vertical="center"/>
    </xf>
    <xf numFmtId="0" fontId="4" fillId="0" borderId="9" xfId="1" applyFont="1" applyBorder="1" applyAlignment="1">
      <alignment vertical="center"/>
    </xf>
    <xf numFmtId="0" fontId="6" fillId="5" borderId="9" xfId="0" applyFont="1" applyFill="1" applyBorder="1"/>
    <xf numFmtId="0" fontId="6" fillId="5" borderId="0" xfId="0" applyFont="1" applyFill="1"/>
    <xf numFmtId="0" fontId="8" fillId="5" borderId="9" xfId="1" applyFont="1" applyFill="1" applyBorder="1" applyAlignment="1">
      <alignment horizontal="left" vertical="center"/>
    </xf>
    <xf numFmtId="0" fontId="4" fillId="5" borderId="9" xfId="1" applyFill="1" applyBorder="1" applyAlignment="1">
      <alignment horizontal="center" vertical="center"/>
    </xf>
    <xf numFmtId="0" fontId="10" fillId="5" borderId="9" xfId="1" applyFont="1" applyFill="1" applyBorder="1" applyAlignment="1">
      <alignment vertical="center"/>
    </xf>
    <xf numFmtId="0" fontId="7" fillId="5" borderId="0" xfId="0" applyFont="1" applyFill="1"/>
    <xf numFmtId="0" fontId="12" fillId="0" borderId="9" xfId="2" applyFont="1" applyFill="1" applyBorder="1" applyAlignment="1">
      <alignment horizontal="left" vertical="center" wrapText="1"/>
    </xf>
    <xf numFmtId="0" fontId="11" fillId="6" borderId="9" xfId="2" applyFont="1" applyFill="1" applyBorder="1" applyAlignment="1">
      <alignment horizontal="center" vertical="center"/>
    </xf>
    <xf numFmtId="0" fontId="12" fillId="0" borderId="9" xfId="2" applyFont="1" applyFill="1" applyBorder="1" applyAlignment="1">
      <alignment horizontal="center" vertical="center" wrapText="1"/>
    </xf>
    <xf numFmtId="0" fontId="11" fillId="6" borderId="9" xfId="2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0" xfId="0" applyAlignment="1">
      <alignment horizontal="center"/>
    </xf>
    <xf numFmtId="0" fontId="7" fillId="5" borderId="9" xfId="0" applyFont="1" applyFill="1" applyBorder="1" applyAlignment="1">
      <alignment horizontal="center" vertical="center"/>
    </xf>
    <xf numFmtId="0" fontId="18" fillId="0" borderId="9" xfId="1" applyFont="1" applyFill="1" applyBorder="1" applyAlignment="1" applyProtection="1">
      <alignment vertical="center" wrapText="1" shrinkToFit="1"/>
    </xf>
    <xf numFmtId="0" fontId="20" fillId="0" borderId="9" xfId="1" applyFont="1" applyFill="1" applyBorder="1" applyAlignment="1" applyProtection="1">
      <alignment horizontal="left" vertical="center"/>
    </xf>
    <xf numFmtId="0" fontId="5" fillId="0" borderId="9" xfId="1" quotePrefix="1" applyFont="1" applyFill="1" applyBorder="1" applyAlignment="1" applyProtection="1">
      <alignment horizontal="center" vertical="center"/>
    </xf>
    <xf numFmtId="0" fontId="3" fillId="0" borderId="9" xfId="1" applyFont="1" applyFill="1" applyBorder="1" applyAlignment="1" applyProtection="1">
      <alignment horizontal="left" vertical="center" wrapText="1"/>
    </xf>
    <xf numFmtId="0" fontId="30" fillId="8" borderId="9" xfId="0" applyFont="1" applyFill="1" applyBorder="1" applyAlignment="1">
      <alignment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29" fillId="8" borderId="9" xfId="0" applyFont="1" applyFill="1" applyBorder="1" applyAlignment="1">
      <alignment vertical="center" wrapText="1"/>
    </xf>
    <xf numFmtId="0" fontId="28" fillId="0" borderId="0" xfId="0" applyFont="1" applyFill="1" applyBorder="1" applyAlignment="1"/>
    <xf numFmtId="0" fontId="3" fillId="0" borderId="9" xfId="1" applyFont="1" applyFill="1" applyBorder="1" applyAlignment="1" applyProtection="1">
      <alignment horizontal="left" vertical="center"/>
    </xf>
    <xf numFmtId="0" fontId="20" fillId="0" borderId="9" xfId="1" applyFont="1" applyFill="1" applyBorder="1" applyAlignment="1" applyProtection="1">
      <alignment vertical="center"/>
    </xf>
    <xf numFmtId="0" fontId="0" fillId="5" borderId="0" xfId="0" applyFill="1"/>
    <xf numFmtId="0" fontId="28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9" xfId="1" applyFont="1" applyFill="1" applyBorder="1" applyAlignment="1" applyProtection="1">
      <alignment horizontal="center" vertical="center" wrapText="1"/>
    </xf>
    <xf numFmtId="0" fontId="28" fillId="0" borderId="9" xfId="0" applyFont="1" applyFill="1" applyBorder="1" applyAlignment="1">
      <alignment horizontal="center" vertical="center"/>
    </xf>
    <xf numFmtId="0" fontId="3" fillId="0" borderId="12" xfId="1" applyFont="1" applyFill="1" applyBorder="1" applyAlignment="1" applyProtection="1">
      <alignment vertical="center" wrapText="1"/>
    </xf>
    <xf numFmtId="0" fontId="35" fillId="14" borderId="9" xfId="1" applyFont="1" applyFill="1" applyBorder="1" applyAlignment="1" applyProtection="1">
      <alignment horizontal="center" vertical="center" wrapText="1"/>
    </xf>
    <xf numFmtId="0" fontId="34" fillId="0" borderId="9" xfId="1" applyFont="1" applyFill="1" applyBorder="1" applyAlignment="1" applyProtection="1">
      <alignment vertical="center"/>
    </xf>
    <xf numFmtId="0" fontId="34" fillId="0" borderId="9" xfId="1" applyFont="1" applyFill="1" applyBorder="1" applyAlignment="1" applyProtection="1">
      <alignment horizontal="center" vertical="center"/>
    </xf>
    <xf numFmtId="0" fontId="36" fillId="15" borderId="9" xfId="1" applyFont="1" applyFill="1" applyBorder="1" applyAlignment="1" applyProtection="1">
      <alignment horizontal="center" vertical="center"/>
    </xf>
    <xf numFmtId="9" fontId="34" fillId="0" borderId="9" xfId="3" applyFont="1" applyFill="1" applyBorder="1" applyAlignment="1" applyProtection="1">
      <alignment horizontal="center" vertical="center"/>
    </xf>
    <xf numFmtId="0" fontId="37" fillId="0" borderId="9" xfId="1" applyFont="1" applyFill="1" applyBorder="1" applyAlignment="1" applyProtection="1">
      <alignment horizontal="center" vertical="center"/>
    </xf>
    <xf numFmtId="1" fontId="36" fillId="15" borderId="9" xfId="1" applyNumberFormat="1" applyFont="1" applyFill="1" applyBorder="1" applyAlignment="1" applyProtection="1">
      <alignment horizontal="center" vertical="center"/>
    </xf>
    <xf numFmtId="0" fontId="8" fillId="5" borderId="9" xfId="1" applyFont="1" applyFill="1" applyBorder="1" applyAlignment="1">
      <alignment horizontal="left" vertical="center" wrapText="1"/>
    </xf>
    <xf numFmtId="0" fontId="7" fillId="16" borderId="9" xfId="0" applyFont="1" applyFill="1" applyBorder="1"/>
    <xf numFmtId="0" fontId="4" fillId="16" borderId="9" xfId="1" applyFill="1" applyBorder="1" applyAlignment="1">
      <alignment horizontal="left" vertical="center"/>
    </xf>
    <xf numFmtId="0" fontId="10" fillId="16" borderId="9" xfId="1" applyFont="1" applyFill="1" applyBorder="1" applyAlignment="1">
      <alignment horizontal="left" vertical="center"/>
    </xf>
    <xf numFmtId="0" fontId="15" fillId="17" borderId="9" xfId="1" applyFont="1" applyFill="1" applyBorder="1" applyAlignment="1" applyProtection="1">
      <alignment horizontal="left" vertical="center"/>
    </xf>
    <xf numFmtId="0" fontId="15" fillId="17" borderId="9" xfId="1" applyFont="1" applyFill="1" applyBorder="1" applyAlignment="1" applyProtection="1">
      <alignment horizontal="center" vertical="center"/>
    </xf>
    <xf numFmtId="0" fontId="0" fillId="0" borderId="0" xfId="0" applyFill="1"/>
    <xf numFmtId="0" fontId="14" fillId="0" borderId="9" xfId="1" applyFont="1" applyFill="1" applyBorder="1" applyAlignment="1" applyProtection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18" fillId="0" borderId="9" xfId="1" applyFont="1" applyFill="1" applyBorder="1" applyAlignment="1" applyProtection="1">
      <alignment horizontal="center" vertical="center"/>
    </xf>
    <xf numFmtId="0" fontId="15" fillId="0" borderId="9" xfId="1" applyFont="1" applyFill="1" applyBorder="1" applyAlignment="1" applyProtection="1">
      <alignment horizontal="center" vertical="center"/>
    </xf>
    <xf numFmtId="0" fontId="15" fillId="0" borderId="0" xfId="1" applyFont="1" applyFill="1" applyBorder="1" applyAlignment="1" applyProtection="1">
      <alignment vertical="center"/>
    </xf>
    <xf numFmtId="0" fontId="38" fillId="0" borderId="0" xfId="0" applyFont="1"/>
    <xf numFmtId="0" fontId="40" fillId="8" borderId="9" xfId="1" applyFont="1" applyFill="1" applyBorder="1" applyAlignment="1" applyProtection="1">
      <alignment horizontal="center" vertical="center"/>
    </xf>
    <xf numFmtId="0" fontId="39" fillId="8" borderId="9" xfId="1" applyFont="1" applyFill="1" applyBorder="1" applyAlignment="1" applyProtection="1">
      <alignment horizontal="center" vertical="center"/>
    </xf>
    <xf numFmtId="0" fontId="41" fillId="8" borderId="9" xfId="1" applyFont="1" applyFill="1" applyBorder="1" applyAlignment="1" applyProtection="1">
      <alignment horizontal="center" vertical="center"/>
    </xf>
    <xf numFmtId="1" fontId="41" fillId="8" borderId="9" xfId="1" applyNumberFormat="1" applyFont="1" applyFill="1" applyBorder="1" applyAlignment="1" applyProtection="1">
      <alignment horizontal="center" vertical="center"/>
    </xf>
    <xf numFmtId="1" fontId="41" fillId="8" borderId="9" xfId="1" applyNumberFormat="1" applyFont="1" applyFill="1" applyBorder="1" applyAlignment="1" applyProtection="1">
      <alignment horizontal="center" vertical="center" wrapText="1" shrinkToFit="1"/>
    </xf>
    <xf numFmtId="0" fontId="39" fillId="8" borderId="9" xfId="1" applyNumberFormat="1" applyFont="1" applyFill="1" applyBorder="1" applyAlignment="1" applyProtection="1">
      <alignment horizontal="center" vertical="center"/>
    </xf>
    <xf numFmtId="0" fontId="15" fillId="17" borderId="9" xfId="1" applyFont="1" applyFill="1" applyBorder="1" applyAlignment="1" applyProtection="1">
      <alignment vertical="center"/>
    </xf>
    <xf numFmtId="1" fontId="17" fillId="0" borderId="9" xfId="1" applyNumberFormat="1" applyFont="1" applyFill="1" applyBorder="1" applyAlignment="1" applyProtection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0" fillId="0" borderId="9" xfId="0" applyFill="1" applyBorder="1"/>
    <xf numFmtId="0" fontId="0" fillId="0" borderId="0" xfId="0" applyProtection="1"/>
    <xf numFmtId="0" fontId="23" fillId="13" borderId="9" xfId="0" applyFont="1" applyFill="1" applyBorder="1" applyAlignment="1">
      <alignment horizontal="center" vertical="center" wrapText="1"/>
    </xf>
    <xf numFmtId="0" fontId="28" fillId="0" borderId="9" xfId="0" applyFont="1" applyFill="1" applyBorder="1" applyAlignment="1">
      <alignment horizontal="center" vertical="center"/>
    </xf>
    <xf numFmtId="9" fontId="0" fillId="0" borderId="0" xfId="3" applyFont="1"/>
    <xf numFmtId="0" fontId="34" fillId="18" borderId="9" xfId="1" applyFont="1" applyFill="1" applyBorder="1" applyAlignment="1" applyProtection="1">
      <alignment horizontal="center" vertical="center"/>
    </xf>
    <xf numFmtId="0" fontId="37" fillId="18" borderId="9" xfId="1" applyFont="1" applyFill="1" applyBorder="1" applyAlignment="1" applyProtection="1">
      <alignment horizontal="center" vertical="center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2" fillId="0" borderId="9" xfId="0" applyFont="1" applyFill="1" applyBorder="1" applyAlignment="1">
      <alignment horizontal="center" vertical="center"/>
    </xf>
    <xf numFmtId="0" fontId="42" fillId="0" borderId="0" xfId="0" applyFont="1" applyFill="1" applyBorder="1" applyAlignment="1"/>
    <xf numFmtId="0" fontId="6" fillId="0" borderId="0" xfId="0" applyFont="1"/>
    <xf numFmtId="0" fontId="26" fillId="0" borderId="9" xfId="1" applyFont="1" applyFill="1" applyBorder="1" applyAlignment="1" applyProtection="1">
      <alignment horizontal="left" vertical="center" wrapText="1"/>
    </xf>
    <xf numFmtId="0" fontId="6" fillId="0" borderId="9" xfId="0" applyFont="1" applyBorder="1" applyAlignment="1">
      <alignment horizontal="center"/>
    </xf>
    <xf numFmtId="0" fontId="15" fillId="18" borderId="9" xfId="1" applyFont="1" applyFill="1" applyBorder="1" applyAlignment="1" applyProtection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9" xfId="0" applyFont="1" applyFill="1" applyBorder="1" applyAlignment="1">
      <alignment horizontal="center" vertical="center" wrapText="1"/>
    </xf>
    <xf numFmtId="0" fontId="0" fillId="0" borderId="0" xfId="0" applyProtection="1">
      <protection hidden="1"/>
    </xf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42" fillId="0" borderId="9" xfId="0" applyFont="1" applyFill="1" applyBorder="1" applyAlignment="1">
      <alignment horizontal="center" vertical="center"/>
    </xf>
    <xf numFmtId="0" fontId="44" fillId="0" borderId="9" xfId="0" applyFont="1" applyBorder="1"/>
    <xf numFmtId="0" fontId="44" fillId="0" borderId="9" xfId="0" applyFont="1" applyBorder="1" applyAlignment="1">
      <alignment horizontal="center" vertical="center"/>
    </xf>
    <xf numFmtId="0" fontId="45" fillId="0" borderId="9" xfId="1" applyFont="1" applyFill="1" applyBorder="1" applyAlignment="1" applyProtection="1">
      <alignment horizontal="right" vertical="center"/>
    </xf>
    <xf numFmtId="0" fontId="0" fillId="7" borderId="9" xfId="0" applyFill="1" applyBorder="1" applyAlignment="1" applyProtection="1">
      <alignment horizontal="center" vertical="center" wrapText="1"/>
    </xf>
    <xf numFmtId="165" fontId="0" fillId="7" borderId="9" xfId="0" applyNumberFormat="1" applyFill="1" applyBorder="1" applyAlignment="1" applyProtection="1">
      <alignment horizontal="center" vertical="center" wrapText="1"/>
    </xf>
    <xf numFmtId="165" fontId="0" fillId="0" borderId="9" xfId="0" applyNumberFormat="1" applyBorder="1" applyProtection="1"/>
    <xf numFmtId="165" fontId="0" fillId="0" borderId="0" xfId="0" applyNumberFormat="1" applyProtection="1"/>
    <xf numFmtId="0" fontId="0" fillId="0" borderId="0" xfId="0" applyAlignment="1" applyProtection="1">
      <alignment wrapText="1"/>
    </xf>
    <xf numFmtId="0" fontId="38" fillId="0" borderId="0" xfId="0" applyFont="1" applyFill="1"/>
    <xf numFmtId="0" fontId="40" fillId="0" borderId="9" xfId="1" applyFont="1" applyFill="1" applyBorder="1" applyAlignment="1" applyProtection="1">
      <alignment horizontal="center" vertical="center"/>
    </xf>
    <xf numFmtId="0" fontId="47" fillId="0" borderId="9" xfId="0" applyFont="1" applyBorder="1"/>
    <xf numFmtId="0" fontId="47" fillId="0" borderId="9" xfId="0" applyFont="1" applyBorder="1" applyAlignment="1">
      <alignment horizontal="center"/>
    </xf>
    <xf numFmtId="0" fontId="47" fillId="0" borderId="9" xfId="0" applyFont="1" applyBorder="1" applyAlignment="1">
      <alignment horizontal="left"/>
    </xf>
    <xf numFmtId="0" fontId="6" fillId="0" borderId="9" xfId="0" applyFont="1" applyBorder="1"/>
    <xf numFmtId="0" fontId="0" fillId="0" borderId="9" xfId="0" applyBorder="1" applyAlignment="1">
      <alignment horizontal="left"/>
    </xf>
    <xf numFmtId="0" fontId="7" fillId="0" borderId="9" xfId="0" applyFont="1" applyBorder="1"/>
    <xf numFmtId="0" fontId="46" fillId="0" borderId="9" xfId="0" applyFont="1" applyBorder="1"/>
    <xf numFmtId="9" fontId="46" fillId="0" borderId="9" xfId="3" applyFont="1" applyBorder="1" applyAlignment="1">
      <alignment horizontal="center"/>
    </xf>
    <xf numFmtId="1" fontId="6" fillId="0" borderId="9" xfId="0" applyNumberFormat="1" applyFont="1" applyBorder="1" applyAlignment="1">
      <alignment horizontal="center"/>
    </xf>
    <xf numFmtId="0" fontId="23" fillId="13" borderId="9" xfId="0" applyFont="1" applyFill="1" applyBorder="1" applyAlignment="1">
      <alignment horizontal="center" vertical="center" wrapText="1"/>
    </xf>
    <xf numFmtId="0" fontId="6" fillId="0" borderId="12" xfId="0" applyFont="1" applyBorder="1"/>
    <xf numFmtId="0" fontId="0" fillId="0" borderId="12" xfId="0" applyBorder="1"/>
    <xf numFmtId="0" fontId="48" fillId="19" borderId="13" xfId="0" applyFont="1" applyFill="1" applyBorder="1" applyAlignment="1">
      <alignment horizontal="center" vertical="center"/>
    </xf>
    <xf numFmtId="0" fontId="6" fillId="0" borderId="13" xfId="0" applyFont="1" applyBorder="1"/>
    <xf numFmtId="0" fontId="0" fillId="0" borderId="13" xfId="0" applyBorder="1"/>
    <xf numFmtId="0" fontId="0" fillId="0" borderId="15" xfId="0" applyBorder="1" applyAlignment="1">
      <alignment horizontal="center"/>
    </xf>
    <xf numFmtId="0" fontId="35" fillId="20" borderId="9" xfId="1" applyFont="1" applyFill="1" applyBorder="1" applyAlignment="1" applyProtection="1">
      <alignment horizontal="center" vertical="center" wrapText="1"/>
    </xf>
    <xf numFmtId="0" fontId="6" fillId="7" borderId="9" xfId="0" applyFont="1" applyFill="1" applyBorder="1" applyAlignment="1">
      <alignment vertical="center" wrapText="1"/>
    </xf>
    <xf numFmtId="0" fontId="7" fillId="7" borderId="9" xfId="0" applyFont="1" applyFill="1" applyBorder="1" applyAlignment="1">
      <alignment vertical="center" wrapText="1"/>
    </xf>
    <xf numFmtId="0" fontId="46" fillId="7" borderId="9" xfId="0" applyFont="1" applyFill="1" applyBorder="1" applyAlignment="1">
      <alignment vertical="center" wrapText="1"/>
    </xf>
    <xf numFmtId="0" fontId="27" fillId="17" borderId="9" xfId="0" applyFont="1" applyFill="1" applyBorder="1" applyAlignment="1">
      <alignment vertical="center" wrapText="1"/>
    </xf>
    <xf numFmtId="0" fontId="0" fillId="17" borderId="9" xfId="0" applyFill="1" applyBorder="1" applyAlignment="1">
      <alignment wrapText="1"/>
    </xf>
    <xf numFmtId="0" fontId="0" fillId="21" borderId="9" xfId="0" applyFill="1" applyBorder="1" applyAlignment="1">
      <alignment wrapText="1"/>
    </xf>
    <xf numFmtId="1" fontId="27" fillId="0" borderId="9" xfId="0" applyNumberFormat="1" applyFont="1" applyFill="1" applyBorder="1" applyAlignment="1">
      <alignment vertical="center" wrapText="1"/>
    </xf>
    <xf numFmtId="0" fontId="27" fillId="0" borderId="13" xfId="0" applyFont="1" applyFill="1" applyBorder="1" applyAlignment="1">
      <alignment vertical="center" wrapText="1"/>
    </xf>
    <xf numFmtId="1" fontId="0" fillId="0" borderId="9" xfId="0" applyNumberFormat="1" applyBorder="1"/>
    <xf numFmtId="9" fontId="0" fillId="0" borderId="9" xfId="0" applyNumberFormat="1" applyBorder="1"/>
    <xf numFmtId="0" fontId="0" fillId="0" borderId="9" xfId="0" applyBorder="1" applyAlignment="1">
      <alignment wrapText="1"/>
    </xf>
    <xf numFmtId="0" fontId="19" fillId="0" borderId="9" xfId="1" applyFont="1" applyFill="1" applyBorder="1" applyAlignment="1" applyProtection="1">
      <alignment horizontal="center" vertical="center" textRotation="90" wrapText="1"/>
    </xf>
    <xf numFmtId="0" fontId="21" fillId="0" borderId="9" xfId="1" applyFont="1" applyFill="1" applyBorder="1" applyAlignment="1" applyProtection="1">
      <alignment vertical="center" wrapText="1"/>
    </xf>
    <xf numFmtId="0" fontId="22" fillId="0" borderId="9" xfId="1" applyFont="1" applyFill="1" applyBorder="1" applyAlignment="1" applyProtection="1">
      <alignment vertical="center" wrapText="1"/>
    </xf>
    <xf numFmtId="0" fontId="24" fillId="10" borderId="9" xfId="0" applyFont="1" applyFill="1" applyBorder="1" applyAlignment="1">
      <alignment vertical="center" wrapText="1"/>
    </xf>
    <xf numFmtId="0" fontId="3" fillId="0" borderId="9" xfId="1" applyFont="1" applyFill="1" applyBorder="1" applyAlignment="1" applyProtection="1">
      <alignment vertical="center" wrapText="1"/>
    </xf>
    <xf numFmtId="0" fontId="24" fillId="11" borderId="9" xfId="0" applyFont="1" applyFill="1" applyBorder="1" applyAlignment="1">
      <alignment vertical="center" wrapText="1"/>
    </xf>
    <xf numFmtId="0" fontId="18" fillId="12" borderId="9" xfId="1" applyFont="1" applyFill="1" applyBorder="1" applyAlignment="1" applyProtection="1">
      <alignment vertical="center" wrapText="1"/>
    </xf>
    <xf numFmtId="0" fontId="18" fillId="0" borderId="9" xfId="1" applyFont="1" applyFill="1" applyBorder="1" applyAlignment="1" applyProtection="1">
      <alignment vertical="center"/>
    </xf>
    <xf numFmtId="0" fontId="23" fillId="13" borderId="9" xfId="0" applyFont="1" applyFill="1" applyBorder="1" applyAlignment="1">
      <alignment vertical="center" wrapText="1"/>
    </xf>
    <xf numFmtId="0" fontId="50" fillId="5" borderId="9" xfId="0" applyFont="1" applyFill="1" applyBorder="1" applyAlignment="1" applyProtection="1">
      <alignment horizontal="center" vertical="center" wrapText="1"/>
    </xf>
    <xf numFmtId="1" fontId="50" fillId="5" borderId="9" xfId="0" applyNumberFormat="1" applyFont="1" applyFill="1" applyBorder="1" applyAlignment="1" applyProtection="1">
      <alignment horizontal="center" vertical="center" wrapText="1"/>
    </xf>
    <xf numFmtId="0" fontId="52" fillId="0" borderId="9" xfId="4" applyFont="1" applyFill="1" applyBorder="1" applyAlignment="1">
      <alignment wrapText="1"/>
    </xf>
    <xf numFmtId="0" fontId="52" fillId="6" borderId="9" xfId="4" applyFont="1" applyFill="1" applyBorder="1" applyAlignment="1">
      <alignment horizontal="center" vertical="center" wrapText="1"/>
    </xf>
    <xf numFmtId="0" fontId="0" fillId="7" borderId="18" xfId="0" applyFill="1" applyBorder="1" applyAlignment="1" applyProtection="1">
      <alignment horizontal="center" vertical="center" wrapText="1"/>
    </xf>
    <xf numFmtId="0" fontId="52" fillId="0" borderId="0" xfId="4" applyFont="1" applyFill="1" applyBorder="1" applyAlignment="1">
      <alignment wrapText="1"/>
    </xf>
    <xf numFmtId="0" fontId="52" fillId="22" borderId="9" xfId="4" applyFont="1" applyFill="1" applyBorder="1" applyAlignment="1">
      <alignment horizontal="center" vertical="center" wrapText="1"/>
    </xf>
    <xf numFmtId="0" fontId="52" fillId="23" borderId="9" xfId="4" applyFont="1" applyFill="1" applyBorder="1" applyAlignment="1">
      <alignment wrapText="1"/>
    </xf>
    <xf numFmtId="0" fontId="28" fillId="0" borderId="9" xfId="0" applyFont="1" applyFill="1" applyBorder="1" applyAlignment="1">
      <alignment horizontal="center" vertical="center"/>
    </xf>
    <xf numFmtId="17" fontId="0" fillId="0" borderId="0" xfId="0" applyNumberFormat="1"/>
    <xf numFmtId="0" fontId="0" fillId="0" borderId="0" xfId="0" applyBorder="1" applyProtection="1"/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5" fillId="0" borderId="18" xfId="1" applyFont="1" applyFill="1" applyBorder="1" applyAlignment="1" applyProtection="1">
      <alignment horizontal="center" vertical="center"/>
    </xf>
    <xf numFmtId="1" fontId="7" fillId="0" borderId="9" xfId="0" applyNumberFormat="1" applyFont="1" applyBorder="1" applyAlignment="1">
      <alignment horizontal="center"/>
    </xf>
    <xf numFmtId="1" fontId="53" fillId="0" borderId="9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64" fontId="0" fillId="7" borderId="9" xfId="0" applyNumberFormat="1" applyFill="1" applyBorder="1" applyAlignment="1" applyProtection="1">
      <alignment horizontal="center" vertical="center" wrapText="1"/>
    </xf>
    <xf numFmtId="164" fontId="0" fillId="0" borderId="0" xfId="0" applyNumberFormat="1"/>
    <xf numFmtId="0" fontId="55" fillId="5" borderId="9" xfId="0" applyNumberFormat="1" applyFont="1" applyFill="1" applyBorder="1" applyAlignment="1" applyProtection="1">
      <alignment horizontal="center" vertical="center" wrapText="1"/>
    </xf>
    <xf numFmtId="49" fontId="55" fillId="5" borderId="9" xfId="0" applyNumberFormat="1" applyFont="1" applyFill="1" applyBorder="1" applyAlignment="1" applyProtection="1">
      <alignment horizontal="center" vertical="center" wrapText="1"/>
    </xf>
    <xf numFmtId="0" fontId="55" fillId="5" borderId="9" xfId="0" applyFont="1" applyFill="1" applyBorder="1" applyAlignment="1" applyProtection="1">
      <alignment horizontal="center" vertical="center" wrapText="1"/>
    </xf>
    <xf numFmtId="164" fontId="55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56" fillId="7" borderId="9" xfId="0" applyFont="1" applyFill="1" applyBorder="1" applyAlignment="1" applyProtection="1">
      <alignment horizontal="center" vertical="center" wrapText="1"/>
    </xf>
    <xf numFmtId="0" fontId="41" fillId="8" borderId="9" xfId="1" applyFont="1" applyFill="1" applyBorder="1" applyAlignment="1" applyProtection="1">
      <alignment horizontal="center" vertical="center"/>
    </xf>
    <xf numFmtId="0" fontId="6" fillId="0" borderId="19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46" fillId="0" borderId="9" xfId="0" applyFont="1" applyBorder="1" applyAlignment="1">
      <alignment wrapText="1"/>
    </xf>
    <xf numFmtId="9" fontId="46" fillId="0" borderId="9" xfId="3" applyFont="1" applyBorder="1" applyAlignment="1">
      <alignment horizontal="center" vertical="center"/>
    </xf>
    <xf numFmtId="0" fontId="56" fillId="24" borderId="9" xfId="0" applyFont="1" applyFill="1" applyBorder="1" applyAlignment="1" applyProtection="1">
      <alignment horizontal="center" vertical="center" wrapText="1"/>
    </xf>
    <xf numFmtId="2" fontId="7" fillId="0" borderId="9" xfId="0" applyNumberFormat="1" applyFont="1" applyBorder="1" applyAlignment="1">
      <alignment horizontal="center"/>
    </xf>
    <xf numFmtId="0" fontId="28" fillId="0" borderId="9" xfId="0" applyFont="1" applyFill="1" applyBorder="1" applyAlignment="1">
      <alignment horizontal="center" vertical="center"/>
    </xf>
    <xf numFmtId="0" fontId="28" fillId="0" borderId="9" xfId="0" applyFont="1" applyFill="1" applyBorder="1" applyAlignment="1">
      <alignment horizontal="center" vertical="center"/>
    </xf>
    <xf numFmtId="0" fontId="3" fillId="0" borderId="9" xfId="1" applyFont="1" applyFill="1" applyBorder="1" applyAlignment="1" applyProtection="1">
      <alignment horizontal="center" vertical="center" wrapText="1"/>
    </xf>
    <xf numFmtId="0" fontId="3" fillId="5" borderId="9" xfId="1" applyFont="1" applyFill="1" applyBorder="1" applyAlignment="1" applyProtection="1">
      <alignment horizontal="left" vertical="center" wrapText="1"/>
    </xf>
    <xf numFmtId="0" fontId="28" fillId="0" borderId="9" xfId="0" applyFont="1" applyFill="1" applyBorder="1" applyAlignment="1"/>
    <xf numFmtId="0" fontId="28" fillId="0" borderId="9" xfId="0" applyFont="1" applyFill="1" applyBorder="1" applyAlignment="1">
      <alignment horizontal="center"/>
    </xf>
    <xf numFmtId="0" fontId="42" fillId="0" borderId="9" xfId="0" applyFont="1" applyFill="1" applyBorder="1" applyAlignment="1"/>
    <xf numFmtId="0" fontId="42" fillId="0" borderId="9" xfId="0" applyFont="1" applyFill="1" applyBorder="1" applyAlignment="1">
      <alignment horizontal="center"/>
    </xf>
    <xf numFmtId="0" fontId="3" fillId="5" borderId="9" xfId="1" applyFont="1" applyFill="1" applyBorder="1" applyAlignment="1" applyProtection="1">
      <alignment horizontal="center" vertical="center" wrapText="1"/>
    </xf>
    <xf numFmtId="0" fontId="58" fillId="0" borderId="9" xfId="0" applyFont="1" applyFill="1" applyBorder="1" applyAlignment="1">
      <alignment horizontal="center"/>
    </xf>
    <xf numFmtId="0" fontId="59" fillId="0" borderId="9" xfId="0" applyFont="1" applyFill="1" applyBorder="1" applyAlignment="1">
      <alignment horizontal="center"/>
    </xf>
    <xf numFmtId="0" fontId="26" fillId="0" borderId="9" xfId="1" applyFont="1" applyFill="1" applyBorder="1" applyAlignment="1" applyProtection="1">
      <alignment vertical="center" wrapText="1"/>
    </xf>
    <xf numFmtId="0" fontId="42" fillId="0" borderId="9" xfId="0" applyFont="1" applyFill="1" applyBorder="1" applyAlignment="1">
      <alignment vertical="center" wrapText="1"/>
    </xf>
    <xf numFmtId="0" fontId="0" fillId="25" borderId="9" xfId="0" applyFill="1" applyBorder="1" applyAlignment="1">
      <alignment horizontal="center"/>
    </xf>
    <xf numFmtId="0" fontId="36" fillId="26" borderId="9" xfId="1" applyFont="1" applyFill="1" applyBorder="1" applyAlignment="1" applyProtection="1">
      <alignment horizontal="center" vertical="center"/>
    </xf>
    <xf numFmtId="0" fontId="18" fillId="25" borderId="9" xfId="1" applyFont="1" applyFill="1" applyBorder="1" applyAlignment="1" applyProtection="1">
      <alignment vertical="center" wrapText="1"/>
    </xf>
    <xf numFmtId="0" fontId="18" fillId="25" borderId="9" xfId="1" applyFont="1" applyFill="1" applyBorder="1" applyAlignment="1" applyProtection="1">
      <alignment horizontal="center" vertical="center" wrapText="1"/>
    </xf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7" fillId="0" borderId="0" xfId="0" applyFont="1" applyBorder="1" applyAlignment="1"/>
    <xf numFmtId="0" fontId="6" fillId="0" borderId="0" xfId="0" applyFont="1" applyBorder="1" applyAlignment="1">
      <alignment horizontal="center"/>
    </xf>
    <xf numFmtId="0" fontId="0" fillId="0" borderId="9" xfId="0" applyBorder="1" applyProtection="1"/>
    <xf numFmtId="0" fontId="60" fillId="5" borderId="9" xfId="1" applyFont="1" applyFill="1" applyBorder="1" applyAlignment="1" applyProtection="1">
      <alignment horizontal="center" vertical="center" wrapText="1"/>
    </xf>
    <xf numFmtId="49" fontId="60" fillId="5" borderId="9" xfId="1" applyNumberFormat="1" applyFont="1" applyFill="1" applyBorder="1" applyAlignment="1" applyProtection="1">
      <alignment horizontal="center" vertical="center" wrapText="1"/>
    </xf>
    <xf numFmtId="0" fontId="61" fillId="5" borderId="9" xfId="0" applyFont="1" applyFill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60" fillId="5" borderId="9" xfId="1" applyNumberFormat="1" applyFont="1" applyFill="1" applyBorder="1" applyAlignment="1" applyProtection="1">
      <alignment horizontal="center" vertical="center" wrapText="1"/>
    </xf>
    <xf numFmtId="0" fontId="62" fillId="0" borderId="9" xfId="0" applyFont="1" applyBorder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7" fillId="19" borderId="9" xfId="0" applyFont="1" applyFill="1" applyBorder="1" applyAlignment="1">
      <alignment horizontal="center" vertical="center"/>
    </xf>
    <xf numFmtId="0" fontId="52" fillId="6" borderId="9" xfId="4" applyFont="1" applyFill="1" applyBorder="1" applyAlignment="1">
      <alignment horizontal="center" vertical="center"/>
    </xf>
    <xf numFmtId="0" fontId="7" fillId="19" borderId="9" xfId="0" applyFont="1" applyFill="1" applyBorder="1" applyAlignment="1">
      <alignment horizontal="center" vertical="center" wrapText="1"/>
    </xf>
    <xf numFmtId="0" fontId="52" fillId="6" borderId="14" xfId="4" applyFont="1" applyFill="1" applyBorder="1" applyAlignment="1">
      <alignment horizontal="center" vertical="center"/>
    </xf>
    <xf numFmtId="0" fontId="0" fillId="0" borderId="14" xfId="0" applyBorder="1"/>
    <xf numFmtId="0" fontId="5" fillId="0" borderId="11" xfId="1" quotePrefix="1" applyFont="1" applyFill="1" applyBorder="1" applyAlignment="1" applyProtection="1">
      <alignment horizontal="center" vertical="center"/>
    </xf>
    <xf numFmtId="0" fontId="52" fillId="5" borderId="9" xfId="4" applyFont="1" applyFill="1" applyBorder="1" applyAlignment="1">
      <alignment wrapText="1"/>
    </xf>
    <xf numFmtId="0" fontId="52" fillId="27" borderId="9" xfId="4" applyFont="1" applyFill="1" applyBorder="1" applyAlignment="1">
      <alignment wrapText="1"/>
    </xf>
    <xf numFmtId="0" fontId="52" fillId="0" borderId="9" xfId="4" applyFont="1" applyFill="1" applyBorder="1" applyAlignment="1">
      <alignment horizontal="center" wrapText="1"/>
    </xf>
    <xf numFmtId="0" fontId="52" fillId="0" borderId="9" xfId="4" applyFont="1" applyFill="1" applyBorder="1" applyAlignment="1">
      <alignment horizontal="left" wrapText="1"/>
    </xf>
    <xf numFmtId="0" fontId="12" fillId="27" borderId="9" xfId="4" applyFont="1" applyFill="1" applyBorder="1" applyAlignment="1">
      <alignment horizontal="center" wrapText="1"/>
    </xf>
    <xf numFmtId="0" fontId="12" fillId="5" borderId="9" xfId="4" applyFont="1" applyFill="1" applyBorder="1" applyAlignment="1">
      <alignment wrapText="1"/>
    </xf>
    <xf numFmtId="0" fontId="0" fillId="18" borderId="0" xfId="0" applyFill="1"/>
    <xf numFmtId="0" fontId="35" fillId="29" borderId="9" xfId="1" applyFont="1" applyFill="1" applyBorder="1" applyAlignment="1" applyProtection="1">
      <alignment horizontal="center" vertical="center" wrapText="1"/>
    </xf>
    <xf numFmtId="0" fontId="0" fillId="18" borderId="9" xfId="0" applyFill="1" applyBorder="1"/>
    <xf numFmtId="0" fontId="63" fillId="28" borderId="9" xfId="0" applyFont="1" applyFill="1" applyBorder="1" applyAlignment="1">
      <alignment vertical="center" wrapText="1"/>
    </xf>
    <xf numFmtId="0" fontId="0" fillId="0" borderId="9" xfId="0" applyBorder="1" applyAlignment="1" applyProtection="1">
      <alignment wrapText="1"/>
    </xf>
    <xf numFmtId="0" fontId="0" fillId="0" borderId="9" xfId="0" applyBorder="1" applyAlignment="1">
      <alignment vertical="center"/>
    </xf>
    <xf numFmtId="15" fontId="0" fillId="0" borderId="9" xfId="0" applyNumberFormat="1" applyBorder="1"/>
    <xf numFmtId="15" fontId="0" fillId="0" borderId="0" xfId="0" applyNumberFormat="1" applyBorder="1"/>
    <xf numFmtId="15" fontId="0" fillId="0" borderId="9" xfId="0" applyNumberFormat="1" applyBorder="1" applyAlignment="1">
      <alignment vertical="center"/>
    </xf>
    <xf numFmtId="0" fontId="0" fillId="0" borderId="0" xfId="0" applyAlignment="1">
      <alignment vertical="center"/>
    </xf>
    <xf numFmtId="15" fontId="0" fillId="0" borderId="13" xfId="0" applyNumberFormat="1" applyBorder="1" applyAlignment="1">
      <alignment vertical="center"/>
    </xf>
    <xf numFmtId="0" fontId="0" fillId="5" borderId="9" xfId="0" applyFill="1" applyBorder="1" applyAlignment="1">
      <alignment vertical="center"/>
    </xf>
    <xf numFmtId="15" fontId="0" fillId="5" borderId="9" xfId="0" applyNumberFormat="1" applyFill="1" applyBorder="1" applyAlignment="1">
      <alignment vertical="center"/>
    </xf>
    <xf numFmtId="14" fontId="0" fillId="0" borderId="9" xfId="0" applyNumberFormat="1" applyBorder="1" applyAlignment="1">
      <alignment vertical="center"/>
    </xf>
    <xf numFmtId="0" fontId="18" fillId="5" borderId="9" xfId="1" applyFont="1" applyFill="1" applyBorder="1" applyAlignment="1" applyProtection="1">
      <alignment horizontal="left" vertical="center" wrapText="1"/>
    </xf>
    <xf numFmtId="0" fontId="18" fillId="25" borderId="9" xfId="1" applyFont="1" applyFill="1" applyBorder="1" applyAlignment="1" applyProtection="1">
      <alignment horizontal="left" vertical="center" wrapText="1"/>
    </xf>
    <xf numFmtId="0" fontId="62" fillId="0" borderId="18" xfId="0" applyFont="1" applyFill="1" applyBorder="1" applyAlignment="1">
      <alignment horizontal="left" vertical="center"/>
    </xf>
    <xf numFmtId="9" fontId="0" fillId="0" borderId="9" xfId="3" applyFont="1" applyBorder="1"/>
    <xf numFmtId="166" fontId="0" fillId="0" borderId="9" xfId="0" applyNumberFormat="1" applyBorder="1"/>
    <xf numFmtId="0" fontId="65" fillId="14" borderId="9" xfId="1" applyFont="1" applyFill="1" applyBorder="1" applyAlignment="1" applyProtection="1">
      <alignment horizontal="center" vertical="center" wrapText="1"/>
    </xf>
    <xf numFmtId="0" fontId="66" fillId="30" borderId="9" xfId="0" applyFont="1" applyFill="1" applyBorder="1" applyAlignment="1" applyProtection="1">
      <alignment horizontal="center" vertical="center" wrapText="1"/>
    </xf>
    <xf numFmtId="0" fontId="65" fillId="31" borderId="9" xfId="1" applyFont="1" applyFill="1" applyBorder="1" applyAlignment="1" applyProtection="1">
      <alignment horizontal="center" vertical="center" wrapText="1"/>
    </xf>
    <xf numFmtId="0" fontId="65" fillId="32" borderId="9" xfId="1" applyFont="1" applyFill="1" applyBorder="1" applyAlignment="1" applyProtection="1">
      <alignment horizontal="center" vertical="center" wrapText="1"/>
    </xf>
    <xf numFmtId="169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2" fontId="36" fillId="15" borderId="9" xfId="1" applyNumberFormat="1" applyFont="1" applyFill="1" applyBorder="1" applyAlignment="1" applyProtection="1">
      <alignment horizontal="center" vertical="center"/>
    </xf>
    <xf numFmtId="0" fontId="0" fillId="5" borderId="9" xfId="0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14" fontId="0" fillId="0" borderId="0" xfId="0" applyNumberFormat="1"/>
    <xf numFmtId="0" fontId="0" fillId="5" borderId="9" xfId="0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9" xfId="0" applyBorder="1" applyAlignment="1">
      <alignment horizontal="center" wrapText="1"/>
    </xf>
    <xf numFmtId="0" fontId="0" fillId="5" borderId="9" xfId="0" applyFill="1" applyBorder="1" applyAlignment="1">
      <alignment horizontal="center"/>
    </xf>
    <xf numFmtId="0" fontId="67" fillId="7" borderId="9" xfId="0" applyFont="1" applyFill="1" applyBorder="1" applyAlignment="1">
      <alignment vertical="center" wrapText="1"/>
    </xf>
    <xf numFmtId="0" fontId="42" fillId="0" borderId="9" xfId="0" applyFont="1" applyFill="1" applyBorder="1" applyAlignment="1">
      <alignment horizontal="left" vertical="center"/>
    </xf>
    <xf numFmtId="0" fontId="12" fillId="23" borderId="9" xfId="4" applyFont="1" applyFill="1" applyBorder="1" applyAlignment="1">
      <alignment wrapText="1"/>
    </xf>
    <xf numFmtId="0" fontId="3" fillId="0" borderId="18" xfId="1" quotePrefix="1" applyFont="1" applyFill="1" applyBorder="1" applyAlignment="1" applyProtection="1">
      <alignment horizontal="left" vertical="center" wrapText="1"/>
    </xf>
    <xf numFmtId="0" fontId="5" fillId="0" borderId="20" xfId="1" applyFont="1" applyFill="1" applyBorder="1" applyAlignment="1" applyProtection="1">
      <alignment horizontal="center" vertical="center"/>
    </xf>
    <xf numFmtId="0" fontId="3" fillId="0" borderId="17" xfId="1" applyFont="1" applyFill="1" applyBorder="1" applyAlignment="1" applyProtection="1">
      <alignment horizontal="left" vertical="center" wrapText="1"/>
    </xf>
    <xf numFmtId="15" fontId="0" fillId="0" borderId="0" xfId="0" applyNumberFormat="1"/>
    <xf numFmtId="0" fontId="49" fillId="0" borderId="9" xfId="0" applyNumberFormat="1" applyFont="1" applyFill="1" applyBorder="1" applyProtection="1"/>
    <xf numFmtId="49" fontId="49" fillId="0" borderId="9" xfId="0" applyNumberFormat="1" applyFont="1" applyFill="1" applyBorder="1" applyProtection="1"/>
    <xf numFmtId="0" fontId="49" fillId="0" borderId="9" xfId="0" applyFont="1" applyFill="1" applyBorder="1" applyProtection="1"/>
    <xf numFmtId="49" fontId="49" fillId="0" borderId="9" xfId="0" applyNumberFormat="1" applyFont="1" applyFill="1" applyBorder="1" applyAlignment="1" applyProtection="1">
      <alignment horizontal="center"/>
    </xf>
    <xf numFmtId="166" fontId="49" fillId="0" borderId="9" xfId="0" applyNumberFormat="1" applyFont="1" applyFill="1" applyBorder="1" applyProtection="1"/>
    <xf numFmtId="14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49" fontId="69" fillId="0" borderId="9" xfId="0" quotePrefix="1" applyNumberFormat="1" applyFont="1" applyBorder="1" applyAlignment="1">
      <alignment horizontal="center" vertical="center"/>
    </xf>
    <xf numFmtId="49" fontId="69" fillId="0" borderId="9" xfId="0" applyNumberFormat="1" applyFont="1" applyBorder="1" applyAlignment="1">
      <alignment horizontal="center" vertical="center"/>
    </xf>
    <xf numFmtId="166" fontId="69" fillId="0" borderId="9" xfId="0" applyNumberFormat="1" applyFont="1" applyBorder="1" applyAlignment="1">
      <alignment horizontal="center" vertical="center"/>
    </xf>
    <xf numFmtId="164" fontId="69" fillId="0" borderId="9" xfId="0" applyNumberFormat="1" applyFont="1" applyBorder="1" applyAlignment="1">
      <alignment horizontal="center" vertical="center"/>
    </xf>
    <xf numFmtId="0" fontId="68" fillId="0" borderId="0" xfId="0" applyFont="1" applyBorder="1" applyProtection="1"/>
    <xf numFmtId="0" fontId="68" fillId="0" borderId="9" xfId="0" applyFont="1" applyBorder="1"/>
    <xf numFmtId="0" fontId="0" fillId="0" borderId="0" xfId="0" applyBorder="1" applyAlignment="1" applyProtection="1">
      <alignment vertical="center"/>
    </xf>
    <xf numFmtId="0" fontId="68" fillId="0" borderId="0" xfId="0" applyFont="1" applyBorder="1" applyAlignment="1" applyProtection="1">
      <alignment vertical="center"/>
    </xf>
    <xf numFmtId="49" fontId="49" fillId="0" borderId="9" xfId="0" quotePrefix="1" applyNumberFormat="1" applyFont="1" applyFill="1" applyBorder="1" applyProtection="1"/>
    <xf numFmtId="167" fontId="49" fillId="0" borderId="9" xfId="0" applyNumberFormat="1" applyFont="1" applyFill="1" applyBorder="1" applyProtection="1"/>
    <xf numFmtId="167" fontId="69" fillId="0" borderId="9" xfId="0" applyNumberFormat="1" applyFont="1" applyBorder="1" applyAlignment="1">
      <alignment horizontal="center" vertical="center"/>
    </xf>
    <xf numFmtId="49" fontId="68" fillId="0" borderId="9" xfId="0" applyNumberFormat="1" applyFont="1" applyBorder="1" applyAlignment="1">
      <alignment horizontal="center" vertical="center"/>
    </xf>
    <xf numFmtId="49" fontId="0" fillId="0" borderId="9" xfId="0" applyNumberFormat="1" applyBorder="1" applyProtection="1"/>
    <xf numFmtId="49" fontId="68" fillId="0" borderId="9" xfId="0" applyNumberFormat="1" applyFont="1" applyBorder="1"/>
    <xf numFmtId="2" fontId="0" fillId="0" borderId="9" xfId="0" applyNumberFormat="1" applyBorder="1" applyProtection="1"/>
    <xf numFmtId="2" fontId="68" fillId="0" borderId="9" xfId="0" applyNumberFormat="1" applyFont="1" applyBorder="1"/>
    <xf numFmtId="49" fontId="68" fillId="0" borderId="9" xfId="0" applyNumberFormat="1" applyFont="1" applyBorder="1" applyProtection="1"/>
    <xf numFmtId="0" fontId="30" fillId="8" borderId="9" xfId="0" applyFont="1" applyFill="1" applyBorder="1" applyAlignment="1">
      <alignment horizontal="left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29" fillId="8" borderId="9" xfId="0" applyFont="1" applyFill="1" applyBorder="1" applyAlignment="1">
      <alignment vertical="center" wrapText="1"/>
    </xf>
    <xf numFmtId="0" fontId="27" fillId="0" borderId="9" xfId="0" applyFont="1" applyFill="1" applyBorder="1" applyAlignment="1">
      <alignment vertical="center" wrapText="1"/>
    </xf>
    <xf numFmtId="0" fontId="0" fillId="17" borderId="12" xfId="0" applyFill="1" applyBorder="1"/>
    <xf numFmtId="0" fontId="0" fillId="17" borderId="12" xfId="0" applyFill="1" applyBorder="1" applyAlignment="1"/>
    <xf numFmtId="0" fontId="0" fillId="21" borderId="12" xfId="0" applyFill="1" applyBorder="1"/>
    <xf numFmtId="0" fontId="0" fillId="21" borderId="12" xfId="0" applyFill="1" applyBorder="1" applyAlignment="1"/>
    <xf numFmtId="0" fontId="18" fillId="5" borderId="9" xfId="1" applyFont="1" applyFill="1" applyBorder="1" applyAlignment="1" applyProtection="1">
      <alignment horizontal="center" vertical="center" wrapText="1"/>
    </xf>
    <xf numFmtId="164" fontId="49" fillId="0" borderId="9" xfId="0" applyNumberFormat="1" applyFont="1" applyFill="1" applyBorder="1" applyProtection="1">
      <protection locked="0"/>
    </xf>
    <xf numFmtId="164" fontId="0" fillId="0" borderId="9" xfId="0" applyNumberFormat="1" applyBorder="1" applyProtection="1"/>
    <xf numFmtId="164" fontId="68" fillId="0" borderId="9" xfId="0" applyNumberFormat="1" applyFont="1" applyBorder="1" applyAlignment="1">
      <alignment horizontal="center" vertical="center"/>
    </xf>
    <xf numFmtId="164" fontId="68" fillId="0" borderId="9" xfId="0" applyNumberFormat="1" applyFont="1" applyBorder="1"/>
    <xf numFmtId="164" fontId="49" fillId="0" borderId="9" xfId="0" applyNumberFormat="1" applyFont="1" applyFill="1" applyBorder="1" applyProtection="1"/>
    <xf numFmtId="164" fontId="69" fillId="0" borderId="9" xfId="0" applyNumberFormat="1" applyFont="1" applyBorder="1" applyAlignment="1" applyProtection="1">
      <alignment horizontal="center" vertical="center"/>
      <protection locked="0"/>
    </xf>
    <xf numFmtId="164" fontId="69" fillId="0" borderId="9" xfId="0" applyNumberFormat="1" applyFont="1" applyBorder="1" applyAlignment="1" applyProtection="1">
      <alignment horizontal="center" vertical="center" wrapText="1"/>
      <protection locked="0"/>
    </xf>
    <xf numFmtId="170" fontId="55" fillId="5" borderId="9" xfId="0" applyNumberFormat="1" applyFont="1" applyFill="1" applyBorder="1" applyAlignment="1" applyProtection="1">
      <alignment horizontal="center" vertical="center" wrapText="1"/>
      <protection locked="0"/>
    </xf>
    <xf numFmtId="170" fontId="55" fillId="5" borderId="9" xfId="0" applyNumberFormat="1" applyFont="1" applyFill="1" applyBorder="1" applyAlignment="1" applyProtection="1">
      <alignment horizontal="center" vertical="center" wrapText="1"/>
    </xf>
    <xf numFmtId="167" fontId="55" fillId="5" borderId="9" xfId="0" applyNumberFormat="1" applyFont="1" applyFill="1" applyBorder="1" applyAlignment="1" applyProtection="1">
      <alignment horizontal="center" vertical="center" wrapText="1"/>
    </xf>
    <xf numFmtId="49" fontId="56" fillId="7" borderId="9" xfId="0" applyNumberFormat="1" applyFont="1" applyFill="1" applyBorder="1" applyAlignment="1" applyProtection="1">
      <alignment horizontal="center" vertical="center" wrapText="1"/>
    </xf>
    <xf numFmtId="49" fontId="56" fillId="24" borderId="9" xfId="0" applyNumberFormat="1" applyFont="1" applyFill="1" applyBorder="1" applyAlignment="1" applyProtection="1">
      <alignment horizontal="center" vertical="center" wrapText="1"/>
    </xf>
    <xf numFmtId="164" fontId="56" fillId="24" borderId="9" xfId="0" applyNumberFormat="1" applyFont="1" applyFill="1" applyBorder="1" applyAlignment="1" applyProtection="1">
      <alignment horizontal="center" vertical="center" wrapText="1"/>
    </xf>
    <xf numFmtId="49" fontId="61" fillId="5" borderId="9" xfId="0" applyNumberFormat="1" applyFont="1" applyFill="1" applyBorder="1" applyAlignment="1" applyProtection="1">
      <alignment horizontal="center" vertical="center" wrapText="1"/>
    </xf>
    <xf numFmtId="164" fontId="60" fillId="5" borderId="9" xfId="1" applyNumberFormat="1" applyFont="1" applyFill="1" applyBorder="1" applyAlignment="1" applyProtection="1">
      <alignment horizontal="center" vertical="center" wrapText="1"/>
    </xf>
    <xf numFmtId="2" fontId="60" fillId="5" borderId="9" xfId="1" applyNumberFormat="1" applyFont="1" applyFill="1" applyBorder="1" applyAlignment="1" applyProtection="1">
      <alignment horizontal="center" vertical="center" wrapText="1"/>
    </xf>
    <xf numFmtId="168" fontId="60" fillId="5" borderId="9" xfId="1" applyNumberFormat="1" applyFont="1" applyFill="1" applyBorder="1" applyAlignment="1" applyProtection="1">
      <alignment horizontal="center" vertical="center" wrapText="1"/>
    </xf>
    <xf numFmtId="164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2" fontId="0" fillId="0" borderId="0" xfId="0" applyNumberFormat="1"/>
    <xf numFmtId="2" fontId="0" fillId="0" borderId="0" xfId="0" applyNumberFormat="1" applyAlignment="1">
      <alignment wrapText="1"/>
    </xf>
    <xf numFmtId="0" fontId="12" fillId="0" borderId="9" xfId="4" applyFont="1" applyFill="1" applyBorder="1" applyAlignment="1">
      <alignment wrapText="1"/>
    </xf>
    <xf numFmtId="0" fontId="52" fillId="22" borderId="9" xfId="4" applyNumberFormat="1" applyFont="1" applyFill="1" applyBorder="1" applyAlignment="1">
      <alignment horizontal="center" vertical="center" wrapText="1"/>
    </xf>
    <xf numFmtId="0" fontId="52" fillId="5" borderId="9" xfId="4" applyNumberFormat="1" applyFont="1" applyFill="1" applyBorder="1" applyAlignment="1">
      <alignment wrapText="1"/>
    </xf>
    <xf numFmtId="0" fontId="52" fillId="27" borderId="9" xfId="4" applyNumberFormat="1" applyFont="1" applyFill="1" applyBorder="1" applyAlignment="1">
      <alignment wrapText="1"/>
    </xf>
    <xf numFmtId="0" fontId="52" fillId="0" borderId="9" xfId="4" applyNumberFormat="1" applyFont="1" applyFill="1" applyBorder="1" applyAlignment="1">
      <alignment horizontal="center" wrapText="1"/>
    </xf>
    <xf numFmtId="0" fontId="52" fillId="27" borderId="9" xfId="4" applyNumberFormat="1" applyFont="1" applyFill="1" applyBorder="1" applyAlignment="1">
      <alignment horizontal="center" wrapText="1"/>
    </xf>
    <xf numFmtId="0" fontId="0" fillId="0" borderId="0" xfId="0" applyNumberFormat="1"/>
    <xf numFmtId="0" fontId="52" fillId="23" borderId="9" xfId="4" applyNumberFormat="1" applyFont="1" applyFill="1" applyBorder="1" applyAlignment="1">
      <alignment horizontal="center" wrapText="1"/>
    </xf>
    <xf numFmtId="0" fontId="52" fillId="5" borderId="9" xfId="4" applyNumberFormat="1" applyFont="1" applyFill="1" applyBorder="1" applyAlignment="1">
      <alignment horizontal="center" wrapText="1"/>
    </xf>
    <xf numFmtId="0" fontId="0" fillId="0" borderId="0" xfId="0" applyNumberFormat="1" applyAlignment="1">
      <alignment horizontal="center"/>
    </xf>
    <xf numFmtId="0" fontId="52" fillId="6" borderId="9" xfId="4" applyNumberFormat="1" applyFont="1" applyFill="1" applyBorder="1" applyAlignment="1">
      <alignment horizontal="center" vertical="center" wrapText="1"/>
    </xf>
    <xf numFmtId="0" fontId="52" fillId="0" borderId="9" xfId="4" applyNumberFormat="1" applyFont="1" applyFill="1" applyBorder="1" applyAlignment="1">
      <alignment wrapText="1"/>
    </xf>
    <xf numFmtId="0" fontId="52" fillId="0" borderId="9" xfId="4" applyNumberFormat="1" applyFont="1" applyFill="1" applyBorder="1" applyAlignment="1">
      <alignment horizontal="left" wrapText="1"/>
    </xf>
    <xf numFmtId="170" fontId="49" fillId="0" borderId="9" xfId="0" applyNumberFormat="1" applyFon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/>
    </xf>
    <xf numFmtId="168" fontId="49" fillId="0" borderId="9" xfId="0" applyNumberFormat="1" applyFont="1" applyBorder="1" applyAlignment="1">
      <alignment horizontal="center" vertical="center"/>
    </xf>
    <xf numFmtId="17" fontId="0" fillId="0" borderId="9" xfId="0" applyNumberFormat="1" applyBorder="1"/>
    <xf numFmtId="168" fontId="0" fillId="0" borderId="9" xfId="0" applyNumberFormat="1" applyBorder="1"/>
    <xf numFmtId="2" fontId="0" fillId="0" borderId="9" xfId="0" applyNumberFormat="1" applyBorder="1"/>
    <xf numFmtId="49" fontId="49" fillId="0" borderId="9" xfId="0" quotePrefix="1" applyNumberFormat="1" applyFont="1" applyBorder="1" applyAlignment="1">
      <alignment horizontal="center" vertical="center"/>
    </xf>
    <xf numFmtId="49" fontId="49" fillId="0" borderId="9" xfId="0" applyNumberFormat="1" applyFont="1" applyBorder="1" applyAlignment="1">
      <alignment horizontal="left" vertical="center"/>
    </xf>
    <xf numFmtId="0" fontId="49" fillId="0" borderId="9" xfId="0" applyFont="1" applyBorder="1" applyAlignment="1">
      <alignment horizontal="center" vertical="center"/>
    </xf>
    <xf numFmtId="0" fontId="49" fillId="0" borderId="9" xfId="0" applyFont="1" applyBorder="1"/>
    <xf numFmtId="166" fontId="49" fillId="0" borderId="9" xfId="0" applyNumberFormat="1" applyFont="1" applyBorder="1"/>
    <xf numFmtId="0" fontId="49" fillId="0" borderId="9" xfId="0" applyFont="1" applyBorder="1" applyAlignment="1">
      <alignment horizontal="left" vertical="center"/>
    </xf>
    <xf numFmtId="164" fontId="49" fillId="0" borderId="9" xfId="0" applyNumberFormat="1" applyFont="1" applyBorder="1" applyAlignment="1">
      <alignment horizontal="center" vertical="center"/>
    </xf>
    <xf numFmtId="164" fontId="49" fillId="0" borderId="9" xfId="0" applyNumberFormat="1" applyFont="1" applyBorder="1"/>
    <xf numFmtId="49" fontId="49" fillId="0" borderId="9" xfId="0" applyNumberFormat="1" applyFont="1" applyBorder="1" applyAlignment="1">
      <alignment horizontal="center" vertical="center"/>
    </xf>
    <xf numFmtId="170" fontId="0" fillId="0" borderId="9" xfId="0" applyNumberFormat="1" applyBorder="1"/>
    <xf numFmtId="0" fontId="0" fillId="0" borderId="9" xfId="0" applyFill="1" applyBorder="1" applyAlignment="1">
      <alignment horizontal="left" vertical="center"/>
    </xf>
    <xf numFmtId="49" fontId="0" fillId="0" borderId="9" xfId="0" quotePrefix="1" applyNumberFormat="1" applyBorder="1" applyAlignment="1">
      <alignment horizontal="center" vertical="center"/>
    </xf>
    <xf numFmtId="0" fontId="1" fillId="0" borderId="9" xfId="0" pivotButton="1" applyFont="1" applyBorder="1"/>
    <xf numFmtId="0" fontId="1" fillId="0" borderId="9" xfId="0" applyFont="1" applyBorder="1"/>
    <xf numFmtId="0" fontId="1" fillId="0" borderId="9" xfId="0" applyFont="1" applyBorder="1" applyAlignment="1">
      <alignment horizontal="center"/>
    </xf>
    <xf numFmtId="0" fontId="1" fillId="0" borderId="9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9" xfId="0" pivotButton="1" applyFont="1" applyBorder="1" applyAlignment="1">
      <alignment horizontal="center" vertical="center"/>
    </xf>
    <xf numFmtId="170" fontId="55" fillId="5" borderId="9" xfId="0" applyNumberFormat="1" applyFont="1" applyFill="1" applyBorder="1" applyAlignment="1" applyProtection="1">
      <alignment horizontal="center" vertical="center" wrapText="1"/>
    </xf>
    <xf numFmtId="170" fontId="60" fillId="5" borderId="9" xfId="1" applyNumberFormat="1" applyFont="1" applyFill="1" applyBorder="1" applyAlignment="1" applyProtection="1">
      <alignment horizontal="center" vertical="center" wrapText="1"/>
    </xf>
    <xf numFmtId="171" fontId="55" fillId="5" borderId="9" xfId="0" applyNumberFormat="1" applyFont="1" applyFill="1" applyBorder="1" applyAlignment="1" applyProtection="1">
      <alignment horizontal="center" vertical="center" wrapText="1"/>
    </xf>
    <xf numFmtId="170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49" fontId="68" fillId="0" borderId="9" xfId="0" applyNumberFormat="1" applyFont="1" applyBorder="1" applyAlignment="1">
      <alignment horizontal="center" vertical="center" wrapText="1"/>
    </xf>
    <xf numFmtId="172" fontId="55" fillId="5" borderId="9" xfId="0" applyNumberFormat="1" applyFont="1" applyFill="1" applyBorder="1" applyAlignment="1" applyProtection="1">
      <alignment horizontal="center" vertical="center" wrapText="1"/>
    </xf>
    <xf numFmtId="172" fontId="0" fillId="0" borderId="0" xfId="0" applyNumberFormat="1"/>
    <xf numFmtId="172" fontId="60" fillId="5" borderId="9" xfId="1" applyNumberFormat="1" applyFont="1" applyFill="1" applyBorder="1" applyAlignment="1" applyProtection="1">
      <alignment horizontal="center" vertical="center" wrapText="1"/>
    </xf>
    <xf numFmtId="173" fontId="55" fillId="5" borderId="9" xfId="0" applyNumberFormat="1" applyFont="1" applyFill="1" applyBorder="1" applyAlignment="1" applyProtection="1">
      <alignment horizontal="center" vertical="center" wrapText="1"/>
    </xf>
    <xf numFmtId="173" fontId="0" fillId="0" borderId="0" xfId="0" applyNumberFormat="1"/>
    <xf numFmtId="0" fontId="46" fillId="0" borderId="14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/>
    </xf>
    <xf numFmtId="0" fontId="0" fillId="5" borderId="0" xfId="0" applyFill="1" applyAlignment="1">
      <alignment horizontal="center"/>
    </xf>
    <xf numFmtId="0" fontId="28" fillId="0" borderId="9" xfId="0" applyFont="1" applyFill="1" applyBorder="1" applyAlignment="1">
      <alignment horizontal="left"/>
    </xf>
    <xf numFmtId="0" fontId="42" fillId="0" borderId="9" xfId="0" applyFont="1" applyFill="1" applyBorder="1" applyAlignment="1">
      <alignment horizontal="left" vertical="center" wrapText="1"/>
    </xf>
    <xf numFmtId="0" fontId="27" fillId="5" borderId="9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 wrapText="1"/>
    </xf>
    <xf numFmtId="0" fontId="29" fillId="8" borderId="9" xfId="0" applyFont="1" applyFill="1" applyBorder="1" applyAlignment="1">
      <alignment horizontal="left" vertical="center" wrapText="1"/>
    </xf>
    <xf numFmtId="0" fontId="30" fillId="8" borderId="9" xfId="0" applyFont="1" applyFill="1" applyBorder="1" applyAlignment="1">
      <alignment horizontal="left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29" fillId="8" borderId="9" xfId="0" applyFont="1" applyFill="1" applyBorder="1" applyAlignment="1">
      <alignment vertical="center" wrapText="1"/>
    </xf>
    <xf numFmtId="1" fontId="17" fillId="8" borderId="9" xfId="3" applyNumberFormat="1" applyFont="1" applyFill="1" applyBorder="1" applyAlignment="1">
      <alignment horizontal="center" vertical="center" wrapText="1"/>
    </xf>
    <xf numFmtId="0" fontId="17" fillId="8" borderId="12" xfId="0" applyFont="1" applyFill="1" applyBorder="1" applyAlignment="1">
      <alignment horizontal="center" vertical="center" wrapText="1"/>
    </xf>
    <xf numFmtId="0" fontId="17" fillId="8" borderId="13" xfId="0" applyFont="1" applyFill="1" applyBorder="1" applyAlignment="1">
      <alignment horizontal="center" vertical="center" wrapText="1"/>
    </xf>
    <xf numFmtId="0" fontId="3" fillId="5" borderId="9" xfId="1" applyFont="1" applyFill="1" applyBorder="1" applyAlignment="1" applyProtection="1">
      <alignment horizontal="center" vertical="center" wrapText="1"/>
    </xf>
    <xf numFmtId="0" fontId="28" fillId="0" borderId="9" xfId="0" applyFont="1" applyFill="1" applyBorder="1" applyAlignment="1">
      <alignment horizontal="center"/>
    </xf>
    <xf numFmtId="0" fontId="3" fillId="18" borderId="9" xfId="1" applyFont="1" applyFill="1" applyBorder="1" applyAlignment="1" applyProtection="1">
      <alignment horizontal="center" vertical="center" wrapText="1"/>
    </xf>
    <xf numFmtId="0" fontId="15" fillId="0" borderId="10" xfId="1" applyFont="1" applyFill="1" applyBorder="1" applyAlignment="1" applyProtection="1">
      <alignment horizontal="center" vertical="center"/>
    </xf>
    <xf numFmtId="0" fontId="15" fillId="0" borderId="9" xfId="1" applyFont="1" applyFill="1" applyBorder="1" applyAlignment="1" applyProtection="1">
      <alignment horizontal="left" vertical="center"/>
    </xf>
    <xf numFmtId="0" fontId="15" fillId="0" borderId="14" xfId="1" applyFont="1" applyFill="1" applyBorder="1" applyAlignment="1" applyProtection="1">
      <alignment horizontal="left" vertical="center"/>
    </xf>
    <xf numFmtId="0" fontId="15" fillId="0" borderId="15" xfId="1" applyFont="1" applyFill="1" applyBorder="1" applyAlignment="1" applyProtection="1">
      <alignment horizontal="left" vertical="center"/>
    </xf>
    <xf numFmtId="0" fontId="15" fillId="0" borderId="11" xfId="1" applyFont="1" applyFill="1" applyBorder="1" applyAlignment="1" applyProtection="1">
      <alignment horizontal="left" vertical="center"/>
    </xf>
    <xf numFmtId="0" fontId="39" fillId="8" borderId="9" xfId="1" applyFont="1" applyFill="1" applyBorder="1" applyAlignment="1" applyProtection="1">
      <alignment horizontal="center" vertical="center"/>
    </xf>
    <xf numFmtId="0" fontId="15" fillId="0" borderId="9" xfId="1" applyFont="1" applyFill="1" applyBorder="1" applyAlignment="1" applyProtection="1">
      <alignment horizontal="center" vertical="center"/>
    </xf>
    <xf numFmtId="0" fontId="18" fillId="0" borderId="9" xfId="1" applyFont="1" applyFill="1" applyBorder="1" applyAlignment="1" applyProtection="1">
      <alignment horizontal="center" vertical="center"/>
    </xf>
    <xf numFmtId="0" fontId="18" fillId="0" borderId="14" xfId="1" applyFont="1" applyFill="1" applyBorder="1" applyAlignment="1" applyProtection="1">
      <alignment horizontal="left" vertical="center"/>
    </xf>
    <xf numFmtId="0" fontId="18" fillId="0" borderId="15" xfId="1" applyFont="1" applyFill="1" applyBorder="1" applyAlignment="1" applyProtection="1">
      <alignment horizontal="left" vertical="center"/>
    </xf>
    <xf numFmtId="0" fontId="18" fillId="0" borderId="11" xfId="1" applyFont="1" applyFill="1" applyBorder="1" applyAlignment="1" applyProtection="1">
      <alignment horizontal="left" vertical="center"/>
    </xf>
    <xf numFmtId="1" fontId="41" fillId="8" borderId="9" xfId="1" applyNumberFormat="1" applyFont="1" applyFill="1" applyBorder="1" applyAlignment="1" applyProtection="1">
      <alignment horizontal="center" vertical="center"/>
    </xf>
    <xf numFmtId="0" fontId="41" fillId="8" borderId="9" xfId="1" applyFont="1" applyFill="1" applyBorder="1" applyAlignment="1" applyProtection="1">
      <alignment horizontal="center" vertical="center"/>
    </xf>
    <xf numFmtId="0" fontId="18" fillId="0" borderId="9" xfId="1" applyFont="1" applyFill="1" applyBorder="1" applyAlignment="1" applyProtection="1">
      <alignment horizontal="center" vertical="center" wrapText="1" shrinkToFit="1"/>
    </xf>
    <xf numFmtId="0" fontId="19" fillId="0" borderId="9" xfId="1" applyFont="1" applyFill="1" applyBorder="1" applyAlignment="1" applyProtection="1">
      <alignment horizontal="center" vertical="center" textRotation="90" wrapText="1"/>
    </xf>
    <xf numFmtId="0" fontId="21" fillId="0" borderId="9" xfId="1" applyFont="1" applyFill="1" applyBorder="1" applyAlignment="1" applyProtection="1">
      <alignment horizontal="center" vertical="center" wrapText="1"/>
    </xf>
    <xf numFmtId="0" fontId="22" fillId="0" borderId="9" xfId="1" applyFont="1" applyFill="1" applyBorder="1" applyAlignment="1" applyProtection="1">
      <alignment horizontal="center" vertical="center" wrapText="1"/>
    </xf>
    <xf numFmtId="0" fontId="24" fillId="10" borderId="9" xfId="0" applyFont="1" applyFill="1" applyBorder="1" applyAlignment="1">
      <alignment horizontal="center" vertical="center" wrapText="1"/>
    </xf>
    <xf numFmtId="0" fontId="24" fillId="11" borderId="9" xfId="0" applyFont="1" applyFill="1" applyBorder="1" applyAlignment="1">
      <alignment horizontal="center" vertical="center" wrapText="1"/>
    </xf>
    <xf numFmtId="0" fontId="18" fillId="12" borderId="9" xfId="1" applyFont="1" applyFill="1" applyBorder="1" applyAlignment="1" applyProtection="1">
      <alignment horizontal="center" vertical="center" wrapText="1"/>
    </xf>
    <xf numFmtId="0" fontId="18" fillId="0" borderId="12" xfId="1" applyFont="1" applyFill="1" applyBorder="1" applyAlignment="1" applyProtection="1">
      <alignment horizontal="center" vertical="center"/>
    </xf>
    <xf numFmtId="0" fontId="18" fillId="0" borderId="13" xfId="1" applyFont="1" applyFill="1" applyBorder="1" applyAlignment="1" applyProtection="1">
      <alignment horizontal="center" vertical="center"/>
    </xf>
    <xf numFmtId="0" fontId="25" fillId="0" borderId="11" xfId="0" applyFont="1" applyFill="1" applyBorder="1" applyAlignment="1">
      <alignment horizontal="center" vertical="center" wrapText="1"/>
    </xf>
    <xf numFmtId="0" fontId="25" fillId="0" borderId="9" xfId="0" applyFont="1" applyFill="1" applyBorder="1" applyAlignment="1">
      <alignment horizontal="center" vertical="center" wrapText="1"/>
    </xf>
    <xf numFmtId="0" fontId="23" fillId="9" borderId="9" xfId="0" applyFont="1" applyFill="1" applyBorder="1" applyAlignment="1">
      <alignment horizontal="center" vertical="center" wrapText="1"/>
    </xf>
    <xf numFmtId="0" fontId="3" fillId="0" borderId="9" xfId="1" applyFont="1" applyFill="1" applyBorder="1" applyAlignment="1" applyProtection="1">
      <alignment horizontal="center" vertical="center" wrapText="1"/>
    </xf>
    <xf numFmtId="0" fontId="22" fillId="0" borderId="11" xfId="1" applyFont="1" applyFill="1" applyBorder="1" applyAlignment="1" applyProtection="1">
      <alignment horizontal="center" vertical="center" textRotation="90" wrapText="1"/>
      <protection locked="0"/>
    </xf>
    <xf numFmtId="0" fontId="27" fillId="0" borderId="9" xfId="0" applyFont="1" applyFill="1" applyBorder="1" applyAlignment="1">
      <alignment vertical="center" wrapText="1"/>
    </xf>
    <xf numFmtId="167" fontId="17" fillId="8" borderId="14" xfId="0" applyNumberFormat="1" applyFont="1" applyFill="1" applyBorder="1" applyAlignment="1">
      <alignment horizontal="center" vertical="center" wrapText="1"/>
    </xf>
    <xf numFmtId="167" fontId="17" fillId="8" borderId="15" xfId="0" applyNumberFormat="1" applyFont="1" applyFill="1" applyBorder="1" applyAlignment="1">
      <alignment horizontal="center" vertical="center" wrapText="1"/>
    </xf>
    <xf numFmtId="167" fontId="17" fillId="8" borderId="11" xfId="0" applyNumberFormat="1" applyFont="1" applyFill="1" applyBorder="1" applyAlignment="1">
      <alignment horizontal="center" vertical="center" wrapText="1"/>
    </xf>
    <xf numFmtId="0" fontId="17" fillId="8" borderId="14" xfId="0" applyFont="1" applyFill="1" applyBorder="1" applyAlignment="1">
      <alignment horizontal="center" vertical="center" wrapText="1"/>
    </xf>
    <xf numFmtId="0" fontId="17" fillId="8" borderId="15" xfId="0" applyFont="1" applyFill="1" applyBorder="1" applyAlignment="1">
      <alignment horizontal="center" vertical="center" wrapText="1"/>
    </xf>
    <xf numFmtId="0" fontId="17" fillId="8" borderId="11" xfId="0" applyFont="1" applyFill="1" applyBorder="1" applyAlignment="1">
      <alignment horizontal="center" vertical="center" wrapText="1"/>
    </xf>
    <xf numFmtId="0" fontId="27" fillId="0" borderId="9" xfId="0" applyFont="1" applyFill="1" applyBorder="1" applyAlignment="1">
      <alignment horizontal="left" vertical="center" wrapText="1"/>
    </xf>
    <xf numFmtId="0" fontId="19" fillId="0" borderId="9" xfId="1" applyFont="1" applyFill="1" applyBorder="1" applyAlignment="1" applyProtection="1">
      <alignment horizontal="center" vertical="center" textRotation="90"/>
    </xf>
    <xf numFmtId="0" fontId="31" fillId="13" borderId="9" xfId="0" applyFont="1" applyFill="1" applyBorder="1" applyAlignment="1">
      <alignment horizontal="center" vertical="center" wrapText="1"/>
    </xf>
    <xf numFmtId="0" fontId="18" fillId="0" borderId="14" xfId="1" applyFont="1" applyFill="1" applyBorder="1" applyAlignment="1" applyProtection="1">
      <alignment horizontal="left" vertical="center" wrapText="1"/>
    </xf>
    <xf numFmtId="0" fontId="18" fillId="0" borderId="15" xfId="1" applyFont="1" applyFill="1" applyBorder="1" applyAlignment="1" applyProtection="1">
      <alignment horizontal="left" vertical="center" wrapText="1"/>
    </xf>
    <xf numFmtId="0" fontId="18" fillId="0" borderId="11" xfId="1" applyFont="1" applyFill="1" applyBorder="1" applyAlignment="1" applyProtection="1">
      <alignment horizontal="left" vertical="center" wrapText="1"/>
    </xf>
    <xf numFmtId="0" fontId="28" fillId="0" borderId="9" xfId="0" applyFont="1" applyFill="1" applyBorder="1" applyAlignment="1">
      <alignment horizontal="right" vertical="center"/>
    </xf>
    <xf numFmtId="0" fontId="24" fillId="9" borderId="9" xfId="0" applyFont="1" applyFill="1" applyBorder="1" applyAlignment="1">
      <alignment horizontal="center" vertical="center" wrapText="1"/>
    </xf>
    <xf numFmtId="0" fontId="43" fillId="0" borderId="16" xfId="1" applyFont="1" applyFill="1" applyBorder="1" applyAlignment="1" applyProtection="1">
      <alignment horizontal="right" vertical="center"/>
    </xf>
    <xf numFmtId="0" fontId="43" fillId="0" borderId="17" xfId="1" applyFont="1" applyFill="1" applyBorder="1" applyAlignment="1" applyProtection="1">
      <alignment horizontal="right" vertical="center"/>
    </xf>
    <xf numFmtId="0" fontId="42" fillId="0" borderId="14" xfId="0" applyFont="1" applyFill="1" applyBorder="1" applyAlignment="1">
      <alignment horizontal="center" vertical="center"/>
    </xf>
    <xf numFmtId="0" fontId="42" fillId="0" borderId="11" xfId="0" applyFont="1" applyFill="1" applyBorder="1" applyAlignment="1">
      <alignment horizontal="center" vertical="center"/>
    </xf>
    <xf numFmtId="0" fontId="42" fillId="0" borderId="14" xfId="0" applyFont="1" applyFill="1" applyBorder="1" applyAlignment="1">
      <alignment horizontal="center"/>
    </xf>
    <xf numFmtId="0" fontId="42" fillId="0" borderId="11" xfId="0" applyFont="1" applyFill="1" applyBorder="1" applyAlignment="1">
      <alignment horizontal="center"/>
    </xf>
    <xf numFmtId="0" fontId="57" fillId="0" borderId="14" xfId="0" applyFont="1" applyFill="1" applyBorder="1" applyAlignment="1">
      <alignment horizontal="center"/>
    </xf>
    <xf numFmtId="0" fontId="57" fillId="0" borderId="15" xfId="0" applyFont="1" applyFill="1" applyBorder="1" applyAlignment="1">
      <alignment horizontal="center"/>
    </xf>
    <xf numFmtId="0" fontId="57" fillId="0" borderId="11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left"/>
    </xf>
    <xf numFmtId="0" fontId="42" fillId="0" borderId="15" xfId="0" applyFont="1" applyFill="1" applyBorder="1" applyAlignment="1">
      <alignment horizontal="left"/>
    </xf>
    <xf numFmtId="0" fontId="42" fillId="0" borderId="11" xfId="0" applyFont="1" applyFill="1" applyBorder="1" applyAlignment="1">
      <alignment horizontal="left"/>
    </xf>
    <xf numFmtId="0" fontId="28" fillId="0" borderId="9" xfId="0" applyFont="1" applyFill="1" applyBorder="1" applyAlignment="1">
      <alignment horizontal="center" wrapText="1"/>
    </xf>
    <xf numFmtId="0" fontId="7" fillId="0" borderId="9" xfId="0" applyFont="1" applyBorder="1" applyAlignment="1">
      <alignment horizontal="left" vertical="center"/>
    </xf>
    <xf numFmtId="0" fontId="13" fillId="17" borderId="14" xfId="1" applyFont="1" applyFill="1" applyBorder="1" applyAlignment="1" applyProtection="1">
      <alignment horizontal="left" vertical="center"/>
    </xf>
    <xf numFmtId="0" fontId="13" fillId="17" borderId="15" xfId="1" applyFont="1" applyFill="1" applyBorder="1" applyAlignment="1" applyProtection="1">
      <alignment horizontal="left" vertical="center"/>
    </xf>
    <xf numFmtId="0" fontId="13" fillId="17" borderId="11" xfId="1" applyFont="1" applyFill="1" applyBorder="1" applyAlignment="1" applyProtection="1">
      <alignment horizontal="left" vertical="center"/>
    </xf>
    <xf numFmtId="0" fontId="16" fillId="17" borderId="14" xfId="1" applyFont="1" applyFill="1" applyBorder="1" applyAlignment="1" applyProtection="1">
      <alignment horizontal="left" vertical="center"/>
    </xf>
    <xf numFmtId="0" fontId="16" fillId="17" borderId="15" xfId="1" applyFont="1" applyFill="1" applyBorder="1" applyAlignment="1" applyProtection="1">
      <alignment horizontal="left" vertical="center"/>
    </xf>
    <xf numFmtId="0" fontId="16" fillId="17" borderId="11" xfId="1" applyFont="1" applyFill="1" applyBorder="1" applyAlignment="1" applyProtection="1">
      <alignment horizontal="left" vertical="center"/>
    </xf>
    <xf numFmtId="0" fontId="40" fillId="0" borderId="14" xfId="1" applyFont="1" applyFill="1" applyBorder="1" applyAlignment="1" applyProtection="1">
      <alignment horizontal="left" vertical="center"/>
    </xf>
    <xf numFmtId="0" fontId="40" fillId="0" borderId="15" xfId="1" applyFont="1" applyFill="1" applyBorder="1" applyAlignment="1" applyProtection="1">
      <alignment horizontal="left" vertical="center"/>
    </xf>
    <xf numFmtId="0" fontId="40" fillId="0" borderId="11" xfId="1" applyFont="1" applyFill="1" applyBorder="1" applyAlignment="1" applyProtection="1">
      <alignment horizontal="left" vertical="center"/>
    </xf>
    <xf numFmtId="0" fontId="5" fillId="0" borderId="14" xfId="1" applyFont="1" applyFill="1" applyBorder="1" applyAlignment="1" applyProtection="1">
      <alignment vertical="center"/>
    </xf>
    <xf numFmtId="0" fontId="5" fillId="0" borderId="15" xfId="1" applyFont="1" applyFill="1" applyBorder="1" applyAlignment="1" applyProtection="1">
      <alignment vertical="center"/>
    </xf>
    <xf numFmtId="0" fontId="5" fillId="0" borderId="11" xfId="1" applyFont="1" applyFill="1" applyBorder="1" applyAlignment="1" applyProtection="1">
      <alignment vertical="center"/>
    </xf>
    <xf numFmtId="0" fontId="7" fillId="0" borderId="14" xfId="0" applyFont="1" applyBorder="1" applyAlignment="1"/>
    <xf numFmtId="0" fontId="7" fillId="0" borderId="15" xfId="0" applyFont="1" applyBorder="1" applyAlignment="1"/>
    <xf numFmtId="0" fontId="7" fillId="0" borderId="11" xfId="0" applyFont="1" applyBorder="1" applyAlignment="1"/>
    <xf numFmtId="0" fontId="0" fillId="0" borderId="9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0" fillId="0" borderId="11" xfId="0" applyBorder="1" applyAlignment="1"/>
    <xf numFmtId="0" fontId="54" fillId="0" borderId="9" xfId="0" applyFont="1" applyBorder="1" applyAlignment="1">
      <alignment horizontal="center"/>
    </xf>
    <xf numFmtId="0" fontId="46" fillId="0" borderId="19" xfId="0" applyFont="1" applyBorder="1" applyAlignment="1">
      <alignment horizontal="left"/>
    </xf>
    <xf numFmtId="0" fontId="46" fillId="0" borderId="0" xfId="0" applyFont="1" applyBorder="1" applyAlignment="1">
      <alignment horizontal="left"/>
    </xf>
    <xf numFmtId="0" fontId="64" fillId="0" borderId="9" xfId="0" applyFont="1" applyBorder="1" applyAlignment="1">
      <alignment horizontal="center"/>
    </xf>
    <xf numFmtId="0" fontId="54" fillId="0" borderId="10" xfId="0" applyFont="1" applyBorder="1" applyAlignment="1">
      <alignment horizontal="center"/>
    </xf>
    <xf numFmtId="0" fontId="33" fillId="0" borderId="9" xfId="1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/>
    </xf>
    <xf numFmtId="0" fontId="0" fillId="17" borderId="12" xfId="0" applyFill="1" applyBorder="1" applyAlignment="1">
      <alignment horizontal="center" wrapText="1"/>
    </xf>
    <xf numFmtId="0" fontId="0" fillId="17" borderId="9" xfId="0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21" borderId="9" xfId="0" applyFill="1" applyBorder="1" applyAlignment="1">
      <alignment horizontal="center"/>
    </xf>
    <xf numFmtId="0" fontId="0" fillId="21" borderId="12" xfId="0" applyFill="1" applyBorder="1" applyAlignment="1">
      <alignment horizontal="center"/>
    </xf>
    <xf numFmtId="0" fontId="0" fillId="21" borderId="12" xfId="0" applyFill="1" applyBorder="1" applyAlignment="1">
      <alignment horizontal="center" wrapText="1"/>
    </xf>
  </cellXfs>
  <cellStyles count="5">
    <cellStyle name="Normal" xfId="0" builtinId="0"/>
    <cellStyle name="Normal 2" xfId="1"/>
    <cellStyle name="Normal_Sheet1" xfId="2"/>
    <cellStyle name="Normal_Sheet1 2" xfId="4"/>
    <cellStyle name="Percent" xfId="3" builtinId="5"/>
  </cellStyles>
  <dxfs count="85"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rgb="FFFF0000"/>
      </font>
    </dxf>
    <dxf>
      <font>
        <color rgb="FF9C0006"/>
      </font>
      <fill>
        <patternFill>
          <bgColor rgb="FFFFC7CE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253365</xdr:colOff>
      <xdr:row>1</xdr:row>
      <xdr:rowOff>167640</xdr:rowOff>
    </xdr:from>
    <xdr:to>
      <xdr:col>7</xdr:col>
      <xdr:colOff>30480</xdr:colOff>
      <xdr:row>11</xdr:row>
      <xdr:rowOff>53340</xdr:rowOff>
    </xdr:to>
    <xdr:sp macro="[0]!Show_JP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3365" y="350520"/>
          <a:ext cx="4044315" cy="116586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Control Center</a:t>
          </a:r>
        </a:p>
        <a:p>
          <a:pPr algn="ctr"/>
          <a:r>
            <a:rPr lang="en-IN" sz="1400">
              <a:latin typeface="Adobe Garamond Pro Bold" panose="02020702060506020403" pitchFamily="18" charset="0"/>
            </a:rPr>
            <a:t>PQSP -Version 3.1 (20.12.2021)</a:t>
          </a:r>
        </a:p>
      </xdr:txBody>
    </xdr:sp>
    <xdr:clientData/>
  </xdr:twoCellAnchor>
  <xdr:twoCellAnchor>
    <xdr:from>
      <xdr:col>0</xdr:col>
      <xdr:colOff>200025</xdr:colOff>
      <xdr:row>14</xdr:row>
      <xdr:rowOff>99060</xdr:rowOff>
    </xdr:from>
    <xdr:to>
      <xdr:col>6</xdr:col>
      <xdr:colOff>586740</xdr:colOff>
      <xdr:row>19</xdr:row>
      <xdr:rowOff>7620</xdr:rowOff>
    </xdr:to>
    <xdr:sp macro="[0]!show_SettingFor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0025" y="2110740"/>
          <a:ext cx="4044315" cy="82296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129540</xdr:colOff>
      <xdr:row>0</xdr:row>
      <xdr:rowOff>83820</xdr:rowOff>
    </xdr:from>
    <xdr:to>
      <xdr:col>7</xdr:col>
      <xdr:colOff>556260</xdr:colOff>
      <xdr:row>3</xdr:row>
      <xdr:rowOff>7620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80960" y="83820"/>
          <a:ext cx="1348740" cy="5181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r>
            <a:rPr lang="en-US" sz="12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 FORM</a:t>
          </a:r>
          <a:endParaRPr lang="en-US" sz="12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655320</xdr:colOff>
      <xdr:row>0</xdr:row>
      <xdr:rowOff>76200</xdr:rowOff>
    </xdr:from>
    <xdr:to>
      <xdr:col>8</xdr:col>
      <xdr:colOff>1082040</xdr:colOff>
      <xdr:row>3</xdr:row>
      <xdr:rowOff>7620</xdr:rowOff>
    </xdr:to>
    <xdr:sp macro="[0]!Workbook_Clos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128760" y="76200"/>
          <a:ext cx="1348740" cy="52578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Close PQSP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30480</xdr:colOff>
      <xdr:row>0</xdr:row>
      <xdr:rowOff>152400</xdr:rowOff>
    </xdr:from>
    <xdr:to>
      <xdr:col>57</xdr:col>
      <xdr:colOff>594360</xdr:colOff>
      <xdr:row>0</xdr:row>
      <xdr:rowOff>510540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651420" y="152400"/>
          <a:ext cx="1173480" cy="358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58</xdr:col>
      <xdr:colOff>60960</xdr:colOff>
      <xdr:row>0</xdr:row>
      <xdr:rowOff>137160</xdr:rowOff>
    </xdr:from>
    <xdr:to>
      <xdr:col>60</xdr:col>
      <xdr:colOff>15240</xdr:colOff>
      <xdr:row>0</xdr:row>
      <xdr:rowOff>495300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901100" y="137160"/>
          <a:ext cx="1173480" cy="3581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" name="Rounded Rectangle 3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" name="Rounded Rectangle 4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" name="Rounded Rectangle 5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" name="Rounded Rectangle 6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" name="Rounded Rectangle 7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" name="Rounded Rectangle 8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" name="Rounded Rectangle 9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" name="Rounded Rectangle 10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" name="Rounded Rectangle 11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" name="Rounded Rectangle 12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" name="Rounded Rectangle 13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" name="Rounded Rectangle 14"/>
        <xdr:cNvSpPr/>
      </xdr:nvSpPr>
      <xdr:spPr>
        <a:xfrm>
          <a:off x="28117799" y="47624"/>
          <a:ext cx="3324225" cy="1885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" name="Rounded Rectangle 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" name="Rounded Rectangle 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" name="Rounded Rectangle 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" name="Rounded Rectangle 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" name="Rounded Rectangle 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" name="Rounded Rectangle 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" name="Rounded Rectangle 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" name="Rounded Rectangle 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" name="Rounded Rectangle 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" name="Rounded Rectangle 1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" name="Rounded Rectangle 1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" name="Rounded Rectangle 1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" name="Rounded Rectangle 1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" name="Rounded Rectangle 1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" name="Rounded Rectangle 1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" name="Rounded Rectangle 1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" name="Rounded Rectangle 1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" name="Rounded Rectangle 1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" name="Rounded Rectangle 1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" name="Rounded Rectangle 2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" name="Rounded Rectangle 2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3" name="Rounded Rectangle 2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4" name="Rounded Rectangle 2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5" name="Rounded Rectangle 2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6" name="Rounded Rectangle 2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7" name="Rounded Rectangle 2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8" name="Rounded Rectangle 2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9" name="Rounded Rectangle 2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0" name="Rounded Rectangle 2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1" name="Rounded Rectangle 3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2" name="Rounded Rectangle 3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3" name="Rounded Rectangle 3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4" name="Rounded Rectangle 3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5" name="Rounded Rectangle 3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6" name="Rounded Rectangle 3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7" name="Rounded Rectangle 3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8" name="Rounded Rectangle 3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39" name="Rounded Rectangle 3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0" name="Rounded Rectangle 3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1" name="Rounded Rectangle 4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2" name="Rounded Rectangle 4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3" name="Rounded Rectangle 4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4" name="Rounded Rectangle 4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5" name="Rounded Rectangle 4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6" name="Rounded Rectangle 4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7" name="Rounded Rectangle 4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8" name="Rounded Rectangle 4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49" name="Rounded Rectangle 4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0" name="Rounded Rectangle 4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1" name="Rounded Rectangle 5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2" name="Rounded Rectangle 5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3" name="Rounded Rectangle 5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4" name="Rounded Rectangle 5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5" name="Rounded Rectangle 5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6" name="Rounded Rectangle 5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7" name="Rounded Rectangle 5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8" name="Rounded Rectangle 5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59" name="Rounded Rectangle 5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0" name="Rounded Rectangle 5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1" name="Rounded Rectangle 6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2" name="Rounded Rectangle 6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3" name="Rounded Rectangle 6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4" name="Rounded Rectangle 6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5" name="Rounded Rectangle 6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6" name="Rounded Rectangle 6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7" name="Rounded Rectangle 6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8" name="Rounded Rectangle 6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69" name="Rounded Rectangle 6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0" name="Rounded Rectangle 6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1" name="Rounded Rectangle 7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2" name="Rounded Rectangle 7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3" name="Rounded Rectangle 7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4" name="Rounded Rectangle 7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5" name="Rounded Rectangle 7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6" name="Rounded Rectangle 7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7" name="Rounded Rectangle 7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8" name="Rounded Rectangle 7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79" name="Rounded Rectangle 7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0" name="Rounded Rectangle 7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1" name="Rounded Rectangle 8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2" name="Rounded Rectangle 8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3" name="Rounded Rectangle 8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4" name="Rounded Rectangle 8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5" name="Rounded Rectangle 8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6" name="Rounded Rectangle 8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7" name="Rounded Rectangle 8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8" name="Rounded Rectangle 8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89" name="Rounded Rectangle 8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0" name="Rounded Rectangle 8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1" name="Rounded Rectangle 9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2" name="Rounded Rectangle 9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3" name="Rounded Rectangle 9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4" name="Rounded Rectangle 9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5" name="Rounded Rectangle 9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6" name="Rounded Rectangle 9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7" name="Rounded Rectangle 9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8" name="Rounded Rectangle 9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99" name="Rounded Rectangle 9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0" name="Rounded Rectangle 9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1" name="Rounded Rectangle 10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2" name="Rounded Rectangle 10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3" name="Rounded Rectangle 10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4" name="Rounded Rectangle 10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5" name="Rounded Rectangle 10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6" name="Rounded Rectangle 10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7" name="Rounded Rectangle 10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8" name="Rounded Rectangle 10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09" name="Rounded Rectangle 10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0" name="Rounded Rectangle 10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1" name="Rounded Rectangle 11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2" name="Rounded Rectangle 11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3" name="Rounded Rectangle 11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4" name="Rounded Rectangle 11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5" name="Rounded Rectangle 11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6" name="Rounded Rectangle 11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7" name="Rounded Rectangle 11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8" name="Rounded Rectangle 11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19" name="Rounded Rectangle 11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0" name="Rounded Rectangle 11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1" name="Rounded Rectangle 12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2" name="Rounded Rectangle 12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3" name="Rounded Rectangle 12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4" name="Rounded Rectangle 12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5" name="Rounded Rectangle 12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6" name="Rounded Rectangle 12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7" name="Rounded Rectangle 12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8" name="Rounded Rectangle 12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29" name="Rounded Rectangle 12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0" name="Rounded Rectangle 12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1" name="Rounded Rectangle 13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2" name="Rounded Rectangle 13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3" name="Rounded Rectangle 13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4" name="Rounded Rectangle 13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5" name="Rounded Rectangle 13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6" name="Rounded Rectangle 13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7" name="Rounded Rectangle 13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8" name="Rounded Rectangle 13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39" name="Rounded Rectangle 13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0" name="Rounded Rectangle 13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1" name="Rounded Rectangle 14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2" name="Rounded Rectangle 14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3" name="Rounded Rectangle 14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4" name="Rounded Rectangle 14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5" name="Rounded Rectangle 14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6" name="Rounded Rectangle 14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7" name="Rounded Rectangle 14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8" name="Rounded Rectangle 14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49" name="Rounded Rectangle 14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0" name="Rounded Rectangle 14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1" name="Rounded Rectangle 15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2" name="Rounded Rectangle 15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3" name="Rounded Rectangle 15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4" name="Rounded Rectangle 15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5" name="Rounded Rectangle 15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6" name="Rounded Rectangle 15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7" name="Rounded Rectangle 15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8" name="Rounded Rectangle 15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59" name="Rounded Rectangle 15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0" name="Rounded Rectangle 15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1" name="Rounded Rectangle 16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2" name="Rounded Rectangle 16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3" name="Rounded Rectangle 16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4" name="Rounded Rectangle 16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5" name="Rounded Rectangle 16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6" name="Rounded Rectangle 16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7" name="Rounded Rectangle 16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8" name="Rounded Rectangle 16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69" name="Rounded Rectangle 16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0" name="Rounded Rectangle 16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1" name="Rounded Rectangle 17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2" name="Rounded Rectangle 17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3" name="Rounded Rectangle 17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4" name="Rounded Rectangle 17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5" name="Rounded Rectangle 17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6" name="Rounded Rectangle 17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7" name="Rounded Rectangle 17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8" name="Rounded Rectangle 17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79" name="Rounded Rectangle 17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0" name="Rounded Rectangle 17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1" name="Rounded Rectangle 18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2" name="Rounded Rectangle 18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3" name="Rounded Rectangle 18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4" name="Rounded Rectangle 18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5" name="Rounded Rectangle 18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6" name="Rounded Rectangle 18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7" name="Rounded Rectangle 18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8" name="Rounded Rectangle 18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89" name="Rounded Rectangle 18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0" name="Rounded Rectangle 18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1" name="Rounded Rectangle 19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2" name="Rounded Rectangle 19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3" name="Rounded Rectangle 19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4" name="Rounded Rectangle 19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5" name="Rounded Rectangle 19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6" name="Rounded Rectangle 19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7" name="Rounded Rectangle 19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8" name="Rounded Rectangle 19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199" name="Rounded Rectangle 19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0" name="Rounded Rectangle 19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1" name="Rounded Rectangle 20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2" name="Rounded Rectangle 20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3" name="Rounded Rectangle 20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4" name="Rounded Rectangle 20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5" name="Rounded Rectangle 20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6" name="Rounded Rectangle 20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7" name="Rounded Rectangle 20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8" name="Rounded Rectangle 20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09" name="Rounded Rectangle 20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0" name="Rounded Rectangle 20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1" name="Rounded Rectangle 21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2" name="Rounded Rectangle 21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3" name="Rounded Rectangle 21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4" name="Rounded Rectangle 21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5" name="Rounded Rectangle 21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6" name="Rounded Rectangle 21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7" name="Rounded Rectangle 21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8" name="Rounded Rectangle 21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19" name="Rounded Rectangle 21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0" name="Rounded Rectangle 219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1" name="Rounded Rectangle 220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2" name="Rounded Rectangle 221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3" name="Rounded Rectangle 222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4" name="Rounded Rectangle 223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5" name="Rounded Rectangle 224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6" name="Rounded Rectangle 225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7" name="Rounded Rectangle 226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8" name="Rounded Rectangle 227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2</xdr:row>
      <xdr:rowOff>171449</xdr:rowOff>
    </xdr:to>
    <xdr:sp macro="[2]!Show_Form" textlink="">
      <xdr:nvSpPr>
        <xdr:cNvPr id="229" name="Rounded Rectangle 228"/>
        <xdr:cNvSpPr/>
      </xdr:nvSpPr>
      <xdr:spPr>
        <a:xfrm>
          <a:off x="28117799" y="47624"/>
          <a:ext cx="332422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" name="Rounded Rectangle 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" name="Rounded Rectangle 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" name="Rounded Rectangle 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" name="Rounded Rectangle 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" name="Rounded Rectangle 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" name="Rounded Rectangle 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" name="Rounded Rectangle 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" name="Rounded Rectangle 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" name="Rounded Rectangle 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" name="Rounded Rectangle 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" name="Rounded Rectangle 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" name="Rounded Rectangle 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" name="Rounded Rectangle 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" name="Rounded Rectangle 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" name="Rounded Rectangle 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" name="Rounded Rectangle 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" name="Rounded Rectangle 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" name="Rounded Rectangle 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" name="Rounded Rectangle 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" name="Rounded Rectangle 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" name="Rounded Rectangle 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" name="Rounded Rectangle 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" name="Rounded Rectangle 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" name="Rounded Rectangle 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" name="Rounded Rectangle 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" name="Rounded Rectangle 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" name="Rounded Rectangle 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" name="Rounded Rectangle 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" name="Rounded Rectangle 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" name="Rounded Rectangle 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" name="Rounded Rectangle 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" name="Rounded Rectangle 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" name="Rounded Rectangle 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" name="Rounded Rectangle 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" name="Rounded Rectangle 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" name="Rounded Rectangle 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" name="Rounded Rectangle 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" name="Rounded Rectangle 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" name="Rounded Rectangle 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" name="Rounded Rectangle 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" name="Rounded Rectangle 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" name="Rounded Rectangle 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" name="Rounded Rectangle 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" name="Rounded Rectangle 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" name="Rounded Rectangle 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" name="Rounded Rectangle 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" name="Rounded Rectangle 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" name="Rounded Rectangle 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" name="Rounded Rectangle 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" name="Rounded Rectangle 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" name="Rounded Rectangle 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" name="Rounded Rectangle 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" name="Rounded Rectangle 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" name="Rounded Rectangle 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" name="Rounded Rectangle 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" name="Rounded Rectangle 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" name="Rounded Rectangle 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" name="Rounded Rectangle 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" name="Rounded Rectangle 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" name="Rounded Rectangle 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" name="Rounded Rectangle 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" name="Rounded Rectangle 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" name="Rounded Rectangle 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" name="Rounded Rectangle 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" name="Rounded Rectangle 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" name="Rounded Rectangle 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" name="Rounded Rectangle 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" name="Rounded Rectangle 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" name="Rounded Rectangle 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" name="Rounded Rectangle 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" name="Rounded Rectangle 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" name="Rounded Rectangle 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" name="Rounded Rectangle 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" name="Rounded Rectangle 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" name="Rounded Rectangle 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" name="Rounded Rectangle 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" name="Rounded Rectangle 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" name="Rounded Rectangle 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" name="Rounded Rectangle 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" name="Rounded Rectangle 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" name="Rounded Rectangle 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" name="Rounded Rectangle 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" name="Rounded Rectangle 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" name="Rounded Rectangle 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" name="Rounded Rectangle 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" name="Rounded Rectangle 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" name="Rounded Rectangle 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" name="Rounded Rectangle 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" name="Rounded Rectangle 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" name="Rounded Rectangle 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" name="Rounded Rectangle 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" name="Rounded Rectangle 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" name="Rounded Rectangle 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" name="Rounded Rectangle 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" name="Rounded Rectangle 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" name="Rounded Rectangle 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" name="Rounded Rectangle 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" name="Rounded Rectangle 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" name="Rounded Rectangle 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" name="Rounded Rectangle 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" name="Rounded Rectangle 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" name="Rounded Rectangle 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" name="Rounded Rectangle 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" name="Rounded Rectangle 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" name="Rounded Rectangle 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" name="Rounded Rectangle 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" name="Rounded Rectangle 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" name="Rounded Rectangle 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" name="Rounded Rectangle 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" name="Rounded Rectangle 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" name="Rounded Rectangle 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" name="Rounded Rectangle 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" name="Rounded Rectangle 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" name="Rounded Rectangle 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" name="Rounded Rectangle 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" name="Rounded Rectangle 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" name="Rounded Rectangle 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" name="Rounded Rectangle 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" name="Rounded Rectangle 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" name="Rounded Rectangle 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" name="Rounded Rectangle 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" name="Rounded Rectangle 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" name="Rounded Rectangle 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" name="Rounded Rectangle 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" name="Rounded Rectangle 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" name="Rounded Rectangle 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" name="Rounded Rectangle 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" name="Rounded Rectangle 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" name="Rounded Rectangle 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" name="Rounded Rectangle 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" name="Rounded Rectangle 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" name="Rounded Rectangle 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" name="Rounded Rectangle 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" name="Rounded Rectangle 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" name="Rounded Rectangle 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" name="Rounded Rectangle 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" name="Rounded Rectangle 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" name="Rounded Rectangle 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" name="Rounded Rectangle 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" name="Rounded Rectangle 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" name="Rounded Rectangle 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" name="Rounded Rectangle 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" name="Rounded Rectangle 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" name="Rounded Rectangle 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" name="Rounded Rectangle 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" name="Rounded Rectangle 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" name="Rounded Rectangle 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" name="Rounded Rectangle 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" name="Rounded Rectangle 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" name="Rounded Rectangle 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" name="Rounded Rectangle 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" name="Rounded Rectangle 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" name="Rounded Rectangle 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" name="Rounded Rectangle 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" name="Rounded Rectangle 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" name="Rounded Rectangle 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" name="Rounded Rectangle 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" name="Rounded Rectangle 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" name="Rounded Rectangle 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" name="Rounded Rectangle 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" name="Rounded Rectangle 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" name="Rounded Rectangle 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" name="Rounded Rectangle 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" name="Rounded Rectangle 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" name="Rounded Rectangle 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" name="Rounded Rectangle 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" name="Rounded Rectangle 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" name="Rounded Rectangle 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" name="Rounded Rectangle 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" name="Rounded Rectangle 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" name="Rounded Rectangle 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" name="Rounded Rectangle 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" name="Rounded Rectangle 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" name="Rounded Rectangle 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" name="Rounded Rectangle 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" name="Rounded Rectangle 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" name="Rounded Rectangle 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" name="Rounded Rectangle 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" name="Rounded Rectangle 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" name="Rounded Rectangle 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" name="Rounded Rectangle 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" name="Rounded Rectangle 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" name="Rounded Rectangle 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" name="Rounded Rectangle 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" name="Rounded Rectangle 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" name="Rounded Rectangle 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" name="Rounded Rectangle 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" name="Rounded Rectangle 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" name="Rounded Rectangle 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" name="Rounded Rectangle 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" name="Rounded Rectangle 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" name="Rounded Rectangle 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" name="Rounded Rectangle 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" name="Rounded Rectangle 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" name="Rounded Rectangle 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" name="Rounded Rectangle 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" name="Rounded Rectangle 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" name="Rounded Rectangle 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" name="Rounded Rectangle 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" name="Rounded Rectangle 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" name="Rounded Rectangle 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" name="Rounded Rectangle 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" name="Rounded Rectangle 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" name="Rounded Rectangle 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" name="Rounded Rectangle 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" name="Rounded Rectangle 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" name="Rounded Rectangle 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" name="Rounded Rectangle 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" name="Rounded Rectangle 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" name="Rounded Rectangle 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" name="Rounded Rectangle 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" name="Rounded Rectangle 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" name="Rounded Rectangle 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" name="Rounded Rectangle 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" name="Rounded Rectangle 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" name="Rounded Rectangle 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" name="Rounded Rectangle 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" name="Rounded Rectangle 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" name="Rounded Rectangle 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" name="Rounded Rectangle 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" name="Rounded Rectangle 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" name="Rounded Rectangle 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" name="Rounded Rectangle 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" name="Rounded Rectangle 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" name="Rounded Rectangle 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" name="Rounded Rectangle 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" name="Rounded Rectangle 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" name="Rounded Rectangle 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" name="Rounded Rectangle 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" name="Rounded Rectangle 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" name="Rounded Rectangle 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" name="Rounded Rectangle 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" name="Rounded Rectangle 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" name="Rounded Rectangle 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" name="Rounded Rectangle 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" name="Rounded Rectangle 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" name="Rounded Rectangle 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" name="Rounded Rectangle 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" name="Rounded Rectangle 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" name="Rounded Rectangle 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" name="Rounded Rectangle 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" name="Rounded Rectangle 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" name="Rounded Rectangle 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" name="Rounded Rectangle 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" name="Rounded Rectangle 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" name="Rounded Rectangle 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" name="Rounded Rectangle 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" name="Rounded Rectangle 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" name="Rounded Rectangle 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" name="Rounded Rectangle 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" name="Rounded Rectangle 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" name="Rounded Rectangle 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" name="Rounded Rectangle 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" name="Rounded Rectangle 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" name="Rounded Rectangle 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" name="Rounded Rectangle 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" name="Rounded Rectangle 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" name="Rounded Rectangle 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" name="Rounded Rectangle 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" name="Rounded Rectangle 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" name="Rounded Rectangle 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" name="Rounded Rectangle 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" name="Rounded Rectangle 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" name="Rounded Rectangle 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" name="Rounded Rectangle 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" name="Rounded Rectangle 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" name="Rounded Rectangle 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" name="Rounded Rectangle 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" name="Rounded Rectangle 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" name="Rounded Rectangle 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" name="Rounded Rectangle 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" name="Rounded Rectangle 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" name="Rounded Rectangle 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" name="Rounded Rectangle 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" name="Rounded Rectangle 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" name="Rounded Rectangle 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" name="Rounded Rectangle 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" name="Rounded Rectangle 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" name="Rounded Rectangle 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" name="Rounded Rectangle 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" name="Rounded Rectangle 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" name="Rounded Rectangle 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" name="Rounded Rectangle 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" name="Rounded Rectangle 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" name="Rounded Rectangle 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" name="Rounded Rectangle 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" name="Rounded Rectangle 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" name="Rounded Rectangle 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" name="Rounded Rectangle 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" name="Rounded Rectangle 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" name="Rounded Rectangle 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" name="Rounded Rectangle 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" name="Rounded Rectangle 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" name="Rounded Rectangle 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" name="Rounded Rectangle 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" name="Rounded Rectangle 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" name="Rounded Rectangle 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" name="Rounded Rectangle 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" name="Rounded Rectangle 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" name="Rounded Rectangle 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" name="Rounded Rectangle 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" name="Rounded Rectangle 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" name="Rounded Rectangle 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" name="Rounded Rectangle 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" name="Rounded Rectangle 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" name="Rounded Rectangle 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" name="Rounded Rectangle 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" name="Rounded Rectangle 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" name="Rounded Rectangle 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" name="Rounded Rectangle 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" name="Rounded Rectangle 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" name="Rounded Rectangle 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" name="Rounded Rectangle 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" name="Rounded Rectangle 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" name="Rounded Rectangle 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" name="Rounded Rectangle 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" name="Rounded Rectangle 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" name="Rounded Rectangle 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" name="Rounded Rectangle 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" name="Rounded Rectangle 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" name="Rounded Rectangle 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" name="Rounded Rectangle 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" name="Rounded Rectangle 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" name="Rounded Rectangle 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" name="Rounded Rectangle 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" name="Rounded Rectangle 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" name="Rounded Rectangle 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" name="Rounded Rectangle 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" name="Rounded Rectangle 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" name="Rounded Rectangle 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" name="Rounded Rectangle 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" name="Rounded Rectangle 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" name="Rounded Rectangle 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" name="Rounded Rectangle 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" name="Rounded Rectangle 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" name="Rounded Rectangle 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" name="Rounded Rectangle 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" name="Rounded Rectangle 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" name="Rounded Rectangle 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" name="Rounded Rectangle 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" name="Rounded Rectangle 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" name="Rounded Rectangle 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" name="Rounded Rectangle 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" name="Rounded Rectangle 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" name="Rounded Rectangle 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" name="Rounded Rectangle 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" name="Rounded Rectangle 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" name="Rounded Rectangle 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" name="Rounded Rectangle 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" name="Rounded Rectangle 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" name="Rounded Rectangle 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" name="Rounded Rectangle 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" name="Rounded Rectangle 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" name="Rounded Rectangle 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" name="Rounded Rectangle 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" name="Rounded Rectangle 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" name="Rounded Rectangle 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" name="Rounded Rectangle 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" name="Rounded Rectangle 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" name="Rounded Rectangle 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" name="Rounded Rectangle 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" name="Rounded Rectangle 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" name="Rounded Rectangle 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" name="Rounded Rectangle 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" name="Rounded Rectangle 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" name="Rounded Rectangle 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" name="Rounded Rectangle 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" name="Rounded Rectangle 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" name="Rounded Rectangle 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" name="Rounded Rectangle 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" name="Rounded Rectangle 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" name="Rounded Rectangle 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" name="Rounded Rectangle 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" name="Rounded Rectangle 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" name="Rounded Rectangle 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" name="Rounded Rectangle 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" name="Rounded Rectangle 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" name="Rounded Rectangle 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" name="Rounded Rectangle 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" name="Rounded Rectangle 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" name="Rounded Rectangle 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" name="Rounded Rectangle 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" name="Rounded Rectangle 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" name="Rounded Rectangle 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" name="Rounded Rectangle 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" name="Rounded Rectangle 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" name="Rounded Rectangle 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" name="Rounded Rectangle 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" name="Rounded Rectangle 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" name="Rounded Rectangle 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" name="Rounded Rectangle 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" name="Rounded Rectangle 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" name="Rounded Rectangle 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" name="Rounded Rectangle 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" name="Rounded Rectangle 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" name="Rounded Rectangle 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" name="Rounded Rectangle 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" name="Rounded Rectangle 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" name="Rounded Rectangle 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" name="Rounded Rectangle 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" name="Rounded Rectangle 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" name="Rounded Rectangle 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" name="Rounded Rectangle 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" name="Rounded Rectangle 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" name="Rounded Rectangle 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" name="Rounded Rectangle 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" name="Rounded Rectangle 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" name="Rounded Rectangle 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" name="Rounded Rectangle 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" name="Rounded Rectangle 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" name="Rounded Rectangle 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" name="Rounded Rectangle 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" name="Rounded Rectangle 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" name="Rounded Rectangle 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" name="Rounded Rectangle 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" name="Rounded Rectangle 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" name="Rounded Rectangle 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" name="Rounded Rectangle 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" name="Rounded Rectangle 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" name="Rounded Rectangle 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" name="Rounded Rectangle 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" name="Rounded Rectangle 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" name="Rounded Rectangle 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" name="Rounded Rectangle 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" name="Rounded Rectangle 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" name="Rounded Rectangle 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" name="Rounded Rectangle 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" name="Rounded Rectangle 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" name="Rounded Rectangle 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" name="Rounded Rectangle 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" name="Rounded Rectangle 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" name="Rounded Rectangle 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" name="Rounded Rectangle 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" name="Rounded Rectangle 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" name="Rounded Rectangle 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" name="Rounded Rectangle 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" name="Rounded Rectangle 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" name="Rounded Rectangle 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" name="Rounded Rectangle 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" name="Rounded Rectangle 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" name="Rounded Rectangle 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" name="Rounded Rectangle 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" name="Rounded Rectangle 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" name="Rounded Rectangle 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" name="Rounded Rectangle 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" name="Rounded Rectangle 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" name="Rounded Rectangle 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" name="Rounded Rectangle 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" name="Rounded Rectangle 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" name="Rounded Rectangle 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" name="Rounded Rectangle 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" name="Rounded Rectangle 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" name="Rounded Rectangle 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" name="Rounded Rectangle 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" name="Rounded Rectangle 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" name="Rounded Rectangle 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" name="Rounded Rectangle 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" name="Rounded Rectangle 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" name="Rounded Rectangle 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" name="Rounded Rectangle 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" name="Rounded Rectangle 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" name="Rounded Rectangle 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" name="Rounded Rectangle 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" name="Rounded Rectangle 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" name="Rounded Rectangle 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" name="Rounded Rectangle 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" name="Rounded Rectangle 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" name="Rounded Rectangle 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" name="Rounded Rectangle 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" name="Rounded Rectangle 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" name="Rounded Rectangle 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" name="Rounded Rectangle 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" name="Rounded Rectangle 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" name="Rounded Rectangle 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" name="Rounded Rectangle 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" name="Rounded Rectangle 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" name="Rounded Rectangle 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" name="Rounded Rectangle 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" name="Rounded Rectangle 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" name="Rounded Rectangle 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" name="Rounded Rectangle 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" name="Rounded Rectangle 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" name="Rounded Rectangle 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" name="Rounded Rectangle 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" name="Rounded Rectangle 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" name="Rounded Rectangle 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" name="Rounded Rectangle 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" name="Rounded Rectangle 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" name="Rounded Rectangle 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" name="Rounded Rectangle 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" name="Rounded Rectangle 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" name="Rounded Rectangle 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" name="Rounded Rectangle 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" name="Rounded Rectangle 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" name="Rounded Rectangle 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" name="Rounded Rectangle 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" name="Rounded Rectangle 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" name="Rounded Rectangle 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" name="Rounded Rectangle 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" name="Rounded Rectangle 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" name="Rounded Rectangle 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" name="Rounded Rectangle 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" name="Rounded Rectangle 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" name="Rounded Rectangle 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" name="Rounded Rectangle 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" name="Rounded Rectangle 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" name="Rounded Rectangle 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" name="Rounded Rectangle 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" name="Rounded Rectangle 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" name="Rounded Rectangle 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" name="Rounded Rectangle 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" name="Rounded Rectangle 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" name="Rounded Rectangle 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" name="Rounded Rectangle 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" name="Rounded Rectangle 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" name="Rounded Rectangle 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" name="Rounded Rectangle 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" name="Rounded Rectangle 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" name="Rounded Rectangle 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" name="Rounded Rectangle 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" name="Rounded Rectangle 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" name="Rounded Rectangle 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" name="Rounded Rectangle 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" name="Rounded Rectangle 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" name="Rounded Rectangle 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" name="Rounded Rectangle 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" name="Rounded Rectangle 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" name="Rounded Rectangle 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" name="Rounded Rectangle 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" name="Rounded Rectangle 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" name="Rounded Rectangle 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" name="Rounded Rectangle 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" name="Rounded Rectangle 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" name="Rounded Rectangle 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" name="Rounded Rectangle 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" name="Rounded Rectangle 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" name="Rounded Rectangle 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" name="Rounded Rectangle 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" name="Rounded Rectangle 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" name="Rounded Rectangle 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" name="Rounded Rectangle 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" name="Rounded Rectangle 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" name="Rounded Rectangle 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" name="Rounded Rectangle 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" name="Rounded Rectangle 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" name="Rounded Rectangle 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" name="Rounded Rectangle 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" name="Rounded Rectangle 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" name="Rounded Rectangle 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" name="Rounded Rectangle 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" name="Rounded Rectangle 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" name="Rounded Rectangle 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" name="Rounded Rectangle 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" name="Rounded Rectangle 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" name="Rounded Rectangle 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" name="Rounded Rectangle 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" name="Rounded Rectangle 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" name="Rounded Rectangle 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" name="Rounded Rectangle 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" name="Rounded Rectangle 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" name="Rounded Rectangle 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" name="Rounded Rectangle 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" name="Rounded Rectangle 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" name="Rounded Rectangle 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" name="Rounded Rectangle 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" name="Rounded Rectangle 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" name="Rounded Rectangle 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" name="Rounded Rectangle 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" name="Rounded Rectangle 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" name="Rounded Rectangle 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" name="Rounded Rectangle 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" name="Rounded Rectangle 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" name="Rounded Rectangle 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" name="Rounded Rectangle 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" name="Rounded Rectangle 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" name="Rounded Rectangle 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" name="Rounded Rectangle 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" name="Rounded Rectangle 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" name="Rounded Rectangle 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" name="Rounded Rectangle 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" name="Rounded Rectangle 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" name="Rounded Rectangle 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" name="Rounded Rectangle 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" name="Rounded Rectangle 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" name="Rounded Rectangle 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" name="Rounded Rectangle 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" name="Rounded Rectangle 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" name="Rounded Rectangle 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" name="Rounded Rectangle 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" name="Rounded Rectangle 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" name="Rounded Rectangle 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" name="Rounded Rectangle 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" name="Rounded Rectangle 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" name="Rounded Rectangle 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" name="Rounded Rectangle 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" name="Rounded Rectangle 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" name="Rounded Rectangle 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" name="Rounded Rectangle 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" name="Rounded Rectangle 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" name="Rounded Rectangle 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" name="Rounded Rectangle 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" name="Rounded Rectangle 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" name="Rounded Rectangle 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" name="Rounded Rectangle 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" name="Rounded Rectangle 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" name="Rounded Rectangle 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" name="Rounded Rectangle 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" name="Rounded Rectangle 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" name="Rounded Rectangle 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" name="Rounded Rectangle 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" name="Rounded Rectangle 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" name="Rounded Rectangle 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" name="Rounded Rectangle 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" name="Rounded Rectangle 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" name="Rounded Rectangle 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" name="Rounded Rectangle 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" name="Rounded Rectangle 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" name="Rounded Rectangle 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" name="Rounded Rectangle 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" name="Rounded Rectangle 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" name="Rounded Rectangle 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" name="Rounded Rectangle 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" name="Rounded Rectangle 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" name="Rounded Rectangle 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" name="Rounded Rectangle 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" name="Rounded Rectangle 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" name="Rounded Rectangle 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" name="Rounded Rectangle 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" name="Rounded Rectangle 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" name="Rounded Rectangle 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" name="Rounded Rectangle 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" name="Rounded Rectangle 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" name="Rounded Rectangle 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" name="Rounded Rectangle 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" name="Rounded Rectangle 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" name="Rounded Rectangle 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" name="Rounded Rectangle 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" name="Rounded Rectangle 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" name="Rounded Rectangle 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" name="Rounded Rectangle 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" name="Rounded Rectangle 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" name="Rounded Rectangle 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" name="Rounded Rectangle 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" name="Rounded Rectangle 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" name="Rounded Rectangle 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" name="Rounded Rectangle 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" name="Rounded Rectangle 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" name="Rounded Rectangle 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" name="Rounded Rectangle 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" name="Rounded Rectangle 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" name="Rounded Rectangle 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" name="Rounded Rectangle 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" name="Rounded Rectangle 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" name="Rounded Rectangle 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" name="Rounded Rectangle 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" name="Rounded Rectangle 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" name="Rounded Rectangle 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" name="Rounded Rectangle 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" name="Rounded Rectangle 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" name="Rounded Rectangle 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" name="Rounded Rectangle 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" name="Rounded Rectangle 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" name="Rounded Rectangle 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" name="Rounded Rectangle 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" name="Rounded Rectangle 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" name="Rounded Rectangle 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" name="Rounded Rectangle 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" name="Rounded Rectangle 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" name="Rounded Rectangle 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" name="Rounded Rectangle 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" name="Rounded Rectangle 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" name="Rounded Rectangle 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" name="Rounded Rectangle 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" name="Rounded Rectangle 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" name="Rounded Rectangle 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" name="Rounded Rectangle 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" name="Rounded Rectangle 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" name="Rounded Rectangle 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" name="Rounded Rectangle 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" name="Rounded Rectangle 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" name="Rounded Rectangle 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" name="Rounded Rectangle 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" name="Rounded Rectangle 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" name="Rounded Rectangle 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" name="Rounded Rectangle 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" name="Rounded Rectangle 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" name="Rounded Rectangle 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" name="Rounded Rectangle 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" name="Rounded Rectangle 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" name="Rounded Rectangle 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" name="Rounded Rectangle 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" name="Rounded Rectangle 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" name="Rounded Rectangle 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" name="Rounded Rectangle 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" name="Rounded Rectangle 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" name="Rounded Rectangle 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" name="Rounded Rectangle 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" name="Rounded Rectangle 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" name="Rounded Rectangle 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" name="Rounded Rectangle 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" name="Rounded Rectangle 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" name="Rounded Rectangle 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" name="Rounded Rectangle 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" name="Rounded Rectangle 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" name="Rounded Rectangle 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" name="Rounded Rectangle 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" name="Rounded Rectangle 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" name="Rounded Rectangle 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" name="Rounded Rectangle 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" name="Rounded Rectangle 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" name="Rounded Rectangle 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" name="Rounded Rectangle 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" name="Rounded Rectangle 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" name="Rounded Rectangle 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" name="Rounded Rectangle 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" name="Rounded Rectangle 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" name="Rounded Rectangle 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" name="Rounded Rectangle 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" name="Rounded Rectangle 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" name="Rounded Rectangle 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" name="Rounded Rectangle 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" name="Rounded Rectangle 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" name="Rounded Rectangle 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" name="Rounded Rectangle 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" name="Rounded Rectangle 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" name="Rounded Rectangle 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" name="Rounded Rectangle 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" name="Rounded Rectangle 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" name="Rounded Rectangle 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" name="Rounded Rectangle 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" name="Rounded Rectangle 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" name="Rounded Rectangle 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" name="Rounded Rectangle 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" name="Rounded Rectangle 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" name="Rounded Rectangle 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" name="Rounded Rectangle 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" name="Rounded Rectangle 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" name="Rounded Rectangle 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" name="Rounded Rectangle 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" name="Rounded Rectangle 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" name="Rounded Rectangle 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" name="Rounded Rectangle 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" name="Rounded Rectangle 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" name="Rounded Rectangle 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" name="Rounded Rectangle 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" name="Rounded Rectangle 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" name="Rounded Rectangle 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" name="Rounded Rectangle 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" name="Rounded Rectangle 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" name="Rounded Rectangle 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" name="Rounded Rectangle 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" name="Rounded Rectangle 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" name="Rounded Rectangle 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" name="Rounded Rectangle 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" name="Rounded Rectangle 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" name="Rounded Rectangle 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" name="Rounded Rectangle 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" name="Rounded Rectangle 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" name="Rounded Rectangle 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" name="Rounded Rectangle 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" name="Rounded Rectangle 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" name="Rounded Rectangle 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" name="Rounded Rectangle 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" name="Rounded Rectangle 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" name="Rounded Rectangle 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" name="Rounded Rectangle 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" name="Rounded Rectangle 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" name="Rounded Rectangle 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" name="Rounded Rectangle 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" name="Rounded Rectangle 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" name="Rounded Rectangle 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" name="Rounded Rectangle 1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" name="Rounded Rectangle 1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" name="Rounded Rectangle 1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" name="Rounded Rectangle 1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" name="Rounded Rectangle 1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" name="Rounded Rectangle 1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" name="Rounded Rectangle 1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" name="Rounded Rectangle 1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" name="Rounded Rectangle 1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" name="Rounded Rectangle 1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" name="Rounded Rectangle 1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" name="Rounded Rectangle 1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" name="Rounded Rectangle 1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" name="Rounded Rectangle 1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" name="Rounded Rectangle 1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" name="Rounded Rectangle 1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" name="Rounded Rectangle 1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" name="Rounded Rectangle 1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" name="Rounded Rectangle 1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" name="Rounded Rectangle 1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" name="Rounded Rectangle 1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" name="Rounded Rectangle 1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" name="Rounded Rectangle 1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" name="Rounded Rectangle 1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" name="Rounded Rectangle 1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" name="Rounded Rectangle 1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" name="Rounded Rectangle 1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" name="Rounded Rectangle 1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" name="Rounded Rectangle 1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" name="Rounded Rectangle 1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" name="Rounded Rectangle 1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" name="Rounded Rectangle 1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" name="Rounded Rectangle 1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" name="Rounded Rectangle 1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" name="Rounded Rectangle 1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" name="Rounded Rectangle 1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" name="Rounded Rectangle 1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" name="Rounded Rectangle 1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" name="Rounded Rectangle 1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" name="Rounded Rectangle 1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" name="Rounded Rectangle 1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" name="Rounded Rectangle 1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" name="Rounded Rectangle 1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" name="Rounded Rectangle 1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" name="Rounded Rectangle 1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" name="Rounded Rectangle 1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" name="Rounded Rectangle 1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" name="Rounded Rectangle 1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" name="Rounded Rectangle 1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" name="Rounded Rectangle 1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" name="Rounded Rectangle 1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" name="Rounded Rectangle 1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" name="Rounded Rectangle 1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" name="Rounded Rectangle 1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" name="Rounded Rectangle 1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" name="Rounded Rectangle 1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" name="Rounded Rectangle 1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" name="Rounded Rectangle 1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" name="Rounded Rectangle 1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" name="Rounded Rectangle 1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" name="Rounded Rectangle 1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" name="Rounded Rectangle 1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" name="Rounded Rectangle 1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" name="Rounded Rectangle 1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" name="Rounded Rectangle 1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" name="Rounded Rectangle 1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" name="Rounded Rectangle 1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" name="Rounded Rectangle 1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" name="Rounded Rectangle 1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" name="Rounded Rectangle 1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" name="Rounded Rectangle 1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" name="Rounded Rectangle 1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" name="Rounded Rectangle 1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" name="Rounded Rectangle 1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" name="Rounded Rectangle 1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" name="Rounded Rectangle 1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" name="Rounded Rectangle 1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" name="Rounded Rectangle 1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" name="Rounded Rectangle 1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" name="Rounded Rectangle 1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" name="Rounded Rectangle 1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" name="Rounded Rectangle 1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" name="Rounded Rectangle 1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" name="Rounded Rectangle 1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" name="Rounded Rectangle 1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" name="Rounded Rectangle 1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" name="Rounded Rectangle 1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" name="Rounded Rectangle 1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" name="Rounded Rectangle 1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" name="Rounded Rectangle 1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" name="Rounded Rectangle 1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" name="Rounded Rectangle 1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" name="Rounded Rectangle 1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" name="Rounded Rectangle 1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" name="Rounded Rectangle 1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" name="Rounded Rectangle 1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" name="Rounded Rectangle 1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" name="Rounded Rectangle 1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" name="Rounded Rectangle 1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" name="Rounded Rectangle 1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" name="Rounded Rectangle 1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" name="Rounded Rectangle 1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" name="Rounded Rectangle 1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" name="Rounded Rectangle 1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" name="Rounded Rectangle 1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" name="Rounded Rectangle 1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" name="Rounded Rectangle 1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" name="Rounded Rectangle 1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" name="Rounded Rectangle 1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" name="Rounded Rectangle 1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" name="Rounded Rectangle 1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" name="Rounded Rectangle 1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" name="Rounded Rectangle 1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" name="Rounded Rectangle 1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" name="Rounded Rectangle 1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" name="Rounded Rectangle 1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" name="Rounded Rectangle 1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" name="Rounded Rectangle 1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" name="Rounded Rectangle 1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" name="Rounded Rectangle 1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" name="Rounded Rectangle 1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" name="Rounded Rectangle 1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" name="Rounded Rectangle 1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" name="Rounded Rectangle 1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" name="Rounded Rectangle 1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" name="Rounded Rectangle 1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" name="Rounded Rectangle 1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" name="Rounded Rectangle 1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" name="Rounded Rectangle 1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" name="Rounded Rectangle 1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" name="Rounded Rectangle 1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" name="Rounded Rectangle 1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" name="Rounded Rectangle 1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" name="Rounded Rectangle 1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" name="Rounded Rectangle 1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" name="Rounded Rectangle 1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" name="Rounded Rectangle 1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" name="Rounded Rectangle 1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" name="Rounded Rectangle 1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" name="Rounded Rectangle 1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" name="Rounded Rectangle 1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" name="Rounded Rectangle 1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" name="Rounded Rectangle 1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" name="Rounded Rectangle 1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" name="Rounded Rectangle 1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" name="Rounded Rectangle 1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" name="Rounded Rectangle 1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" name="Rounded Rectangle 1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" name="Rounded Rectangle 1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" name="Rounded Rectangle 1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" name="Rounded Rectangle 1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" name="Rounded Rectangle 1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" name="Rounded Rectangle 1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" name="Rounded Rectangle 1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" name="Rounded Rectangle 1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" name="Rounded Rectangle 1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" name="Rounded Rectangle 1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" name="Rounded Rectangle 1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" name="Rounded Rectangle 1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" name="Rounded Rectangle 1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" name="Rounded Rectangle 1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" name="Rounded Rectangle 1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" name="Rounded Rectangle 1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" name="Rounded Rectangle 1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" name="Rounded Rectangle 1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" name="Rounded Rectangle 1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" name="Rounded Rectangle 1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" name="Rounded Rectangle 1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" name="Rounded Rectangle 1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" name="Rounded Rectangle 1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" name="Rounded Rectangle 1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" name="Rounded Rectangle 1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" name="Rounded Rectangle 1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" name="Rounded Rectangle 1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" name="Rounded Rectangle 1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" name="Rounded Rectangle 1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" name="Rounded Rectangle 1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" name="Rounded Rectangle 1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" name="Rounded Rectangle 1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" name="Rounded Rectangle 1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" name="Rounded Rectangle 1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" name="Rounded Rectangle 1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" name="Rounded Rectangle 1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" name="Rounded Rectangle 1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" name="Rounded Rectangle 1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" name="Rounded Rectangle 1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" name="Rounded Rectangle 1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" name="Rounded Rectangle 1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" name="Rounded Rectangle 1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" name="Rounded Rectangle 1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" name="Rounded Rectangle 1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" name="Rounded Rectangle 1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" name="Rounded Rectangle 1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" name="Rounded Rectangle 1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" name="Rounded Rectangle 1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" name="Rounded Rectangle 1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" name="Rounded Rectangle 1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" name="Rounded Rectangle 1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" name="Rounded Rectangle 1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" name="Rounded Rectangle 1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" name="Rounded Rectangle 1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" name="Rounded Rectangle 1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" name="Rounded Rectangle 1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" name="Rounded Rectangle 1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" name="Rounded Rectangle 1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" name="Rounded Rectangle 1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" name="Rounded Rectangle 1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" name="Rounded Rectangle 1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" name="Rounded Rectangle 1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" name="Rounded Rectangle 1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" name="Rounded Rectangle 1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" name="Rounded Rectangle 1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" name="Rounded Rectangle 1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" name="Rounded Rectangle 1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" name="Rounded Rectangle 1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" name="Rounded Rectangle 1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" name="Rounded Rectangle 1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" name="Rounded Rectangle 1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" name="Rounded Rectangle 1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" name="Rounded Rectangle 1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" name="Rounded Rectangle 1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" name="Rounded Rectangle 1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" name="Rounded Rectangle 1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" name="Rounded Rectangle 1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" name="Rounded Rectangle 1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" name="Rounded Rectangle 1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" name="Rounded Rectangle 1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" name="Rounded Rectangle 1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" name="Rounded Rectangle 1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" name="Rounded Rectangle 1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" name="Rounded Rectangle 1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" name="Rounded Rectangle 1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" name="Rounded Rectangle 1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" name="Rounded Rectangle 1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" name="Rounded Rectangle 1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" name="Rounded Rectangle 1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" name="Rounded Rectangle 1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" name="Rounded Rectangle 1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" name="Rounded Rectangle 1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" name="Rounded Rectangle 1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" name="Rounded Rectangle 1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" name="Rounded Rectangle 1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" name="Rounded Rectangle 1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" name="Rounded Rectangle 1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" name="Rounded Rectangle 1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" name="Rounded Rectangle 1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" name="Rounded Rectangle 1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" name="Rounded Rectangle 1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" name="Rounded Rectangle 1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" name="Rounded Rectangle 1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" name="Rounded Rectangle 1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" name="Rounded Rectangle 1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" name="Rounded Rectangle 1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" name="Rounded Rectangle 1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" name="Rounded Rectangle 1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" name="Rounded Rectangle 1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" name="Rounded Rectangle 1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" name="Rounded Rectangle 1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" name="Rounded Rectangle 1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" name="Rounded Rectangle 1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" name="Rounded Rectangle 1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" name="Rounded Rectangle 1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" name="Rounded Rectangle 1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" name="Rounded Rectangle 1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" name="Rounded Rectangle 1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" name="Rounded Rectangle 1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" name="Rounded Rectangle 1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" name="Rounded Rectangle 1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" name="Rounded Rectangle 1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" name="Rounded Rectangle 1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" name="Rounded Rectangle 1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" name="Rounded Rectangle 1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" name="Rounded Rectangle 1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" name="Rounded Rectangle 1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" name="Rounded Rectangle 1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" name="Rounded Rectangle 1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" name="Rounded Rectangle 1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" name="Rounded Rectangle 1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" name="Rounded Rectangle 1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" name="Rounded Rectangle 1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" name="Rounded Rectangle 1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" name="Rounded Rectangle 1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" name="Rounded Rectangle 1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" name="Rounded Rectangle 1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" name="Rounded Rectangle 1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" name="Rounded Rectangle 1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" name="Rounded Rectangle 1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" name="Rounded Rectangle 1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" name="Rounded Rectangle 1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" name="Rounded Rectangle 1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" name="Rounded Rectangle 1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" name="Rounded Rectangle 1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" name="Rounded Rectangle 1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" name="Rounded Rectangle 1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" name="Rounded Rectangle 1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" name="Rounded Rectangle 1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" name="Rounded Rectangle 1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" name="Rounded Rectangle 1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" name="Rounded Rectangle 1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" name="Rounded Rectangle 1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" name="Rounded Rectangle 1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" name="Rounded Rectangle 1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" name="Rounded Rectangle 1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" name="Rounded Rectangle 1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" name="Rounded Rectangle 1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" name="Rounded Rectangle 1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" name="Rounded Rectangle 1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" name="Rounded Rectangle 1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" name="Rounded Rectangle 1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" name="Rounded Rectangle 1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" name="Rounded Rectangle 1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" name="Rounded Rectangle 1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" name="Rounded Rectangle 1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" name="Rounded Rectangle 1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" name="Rounded Rectangle 1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" name="Rounded Rectangle 1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" name="Rounded Rectangle 1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" name="Rounded Rectangle 1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" name="Rounded Rectangle 1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" name="Rounded Rectangle 1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" name="Rounded Rectangle 1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" name="Rounded Rectangle 1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" name="Rounded Rectangle 1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" name="Rounded Rectangle 1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" name="Rounded Rectangle 1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" name="Rounded Rectangle 1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" name="Rounded Rectangle 1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" name="Rounded Rectangle 1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" name="Rounded Rectangle 1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" name="Rounded Rectangle 1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" name="Rounded Rectangle 1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" name="Rounded Rectangle 1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" name="Rounded Rectangle 1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" name="Rounded Rectangle 1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" name="Rounded Rectangle 1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" name="Rounded Rectangle 1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" name="Rounded Rectangle 1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" name="Rounded Rectangle 1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" name="Rounded Rectangle 1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" name="Rounded Rectangle 1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" name="Rounded Rectangle 1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" name="Rounded Rectangle 1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" name="Rounded Rectangle 1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" name="Rounded Rectangle 1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" name="Rounded Rectangle 1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" name="Rounded Rectangle 1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" name="Rounded Rectangle 1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" name="Rounded Rectangle 1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" name="Rounded Rectangle 1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" name="Rounded Rectangle 1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" name="Rounded Rectangle 1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" name="Rounded Rectangle 1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" name="Rounded Rectangle 1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" name="Rounded Rectangle 1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" name="Rounded Rectangle 1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" name="Rounded Rectangle 1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" name="Rounded Rectangle 1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" name="Rounded Rectangle 1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" name="Rounded Rectangle 1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" name="Rounded Rectangle 1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" name="Rounded Rectangle 1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" name="Rounded Rectangle 1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" name="Rounded Rectangle 1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" name="Rounded Rectangle 1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" name="Rounded Rectangle 1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" name="Rounded Rectangle 1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" name="Rounded Rectangle 1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" name="Rounded Rectangle 1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" name="Rounded Rectangle 1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" name="Rounded Rectangle 1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" name="Rounded Rectangle 1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" name="Rounded Rectangle 1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" name="Rounded Rectangle 1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" name="Rounded Rectangle 1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" name="Rounded Rectangle 1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" name="Rounded Rectangle 1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" name="Rounded Rectangle 1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" name="Rounded Rectangle 1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" name="Rounded Rectangle 1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" name="Rounded Rectangle 1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" name="Rounded Rectangle 1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" name="Rounded Rectangle 1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" name="Rounded Rectangle 1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4" name="Rounded Rectangle 1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5" name="Rounded Rectangle 1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6" name="Rounded Rectangle 1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7" name="Rounded Rectangle 1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8" name="Rounded Rectangle 1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9" name="Rounded Rectangle 1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0" name="Rounded Rectangle 1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1" name="Rounded Rectangle 1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2" name="Rounded Rectangle 1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3" name="Rounded Rectangle 1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4" name="Rounded Rectangle 1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5" name="Rounded Rectangle 1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6" name="Rounded Rectangle 1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7" name="Rounded Rectangle 1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8" name="Rounded Rectangle 1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99" name="Rounded Rectangle 1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0" name="Rounded Rectangle 1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1" name="Rounded Rectangle 1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2" name="Rounded Rectangle 1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3" name="Rounded Rectangle 1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4" name="Rounded Rectangle 1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5" name="Rounded Rectangle 1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6" name="Rounded Rectangle 1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7" name="Rounded Rectangle 1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8" name="Rounded Rectangle 1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09" name="Rounded Rectangle 1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0" name="Rounded Rectangle 1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1" name="Rounded Rectangle 1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2" name="Rounded Rectangle 1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3" name="Rounded Rectangle 1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4" name="Rounded Rectangle 1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5" name="Rounded Rectangle 1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6" name="Rounded Rectangle 1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7" name="Rounded Rectangle 1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8" name="Rounded Rectangle 1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19" name="Rounded Rectangle 1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0" name="Rounded Rectangle 1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1" name="Rounded Rectangle 1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2" name="Rounded Rectangle 1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3" name="Rounded Rectangle 1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4" name="Rounded Rectangle 1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5" name="Rounded Rectangle 1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6" name="Rounded Rectangle 1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7" name="Rounded Rectangle 1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8" name="Rounded Rectangle 1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29" name="Rounded Rectangle 1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0" name="Rounded Rectangle 1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1" name="Rounded Rectangle 1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2" name="Rounded Rectangle 1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3" name="Rounded Rectangle 1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4" name="Rounded Rectangle 1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5" name="Rounded Rectangle 1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6" name="Rounded Rectangle 1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7" name="Rounded Rectangle 1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8" name="Rounded Rectangle 1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39" name="Rounded Rectangle 1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0" name="Rounded Rectangle 1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1" name="Rounded Rectangle 1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2" name="Rounded Rectangle 1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3" name="Rounded Rectangle 1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4" name="Rounded Rectangle 1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5" name="Rounded Rectangle 1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6" name="Rounded Rectangle 1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7" name="Rounded Rectangle 1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8" name="Rounded Rectangle 1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49" name="Rounded Rectangle 1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0" name="Rounded Rectangle 1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1" name="Rounded Rectangle 1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2" name="Rounded Rectangle 1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3" name="Rounded Rectangle 1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4" name="Rounded Rectangle 1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5" name="Rounded Rectangle 1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6" name="Rounded Rectangle 1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7" name="Rounded Rectangle 1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8" name="Rounded Rectangle 1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59" name="Rounded Rectangle 1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0" name="Rounded Rectangle 1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1" name="Rounded Rectangle 1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2" name="Rounded Rectangle 1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3" name="Rounded Rectangle 1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4" name="Rounded Rectangle 1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5" name="Rounded Rectangle 1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6" name="Rounded Rectangle 1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7" name="Rounded Rectangle 1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8" name="Rounded Rectangle 1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69" name="Rounded Rectangle 1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0" name="Rounded Rectangle 1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1" name="Rounded Rectangle 1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2" name="Rounded Rectangle 1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3" name="Rounded Rectangle 1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4" name="Rounded Rectangle 1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5" name="Rounded Rectangle 1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6" name="Rounded Rectangle 1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7" name="Rounded Rectangle 1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8" name="Rounded Rectangle 1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79" name="Rounded Rectangle 1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0" name="Rounded Rectangle 1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1" name="Rounded Rectangle 1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2" name="Rounded Rectangle 1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3" name="Rounded Rectangle 1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4" name="Rounded Rectangle 1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5" name="Rounded Rectangle 1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6" name="Rounded Rectangle 1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7" name="Rounded Rectangle 1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8" name="Rounded Rectangle 1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89" name="Rounded Rectangle 1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0" name="Rounded Rectangle 1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1" name="Rounded Rectangle 1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2" name="Rounded Rectangle 1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3" name="Rounded Rectangle 1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4" name="Rounded Rectangle 1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5" name="Rounded Rectangle 1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6" name="Rounded Rectangle 1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7" name="Rounded Rectangle 1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8" name="Rounded Rectangle 1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499" name="Rounded Rectangle 1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0" name="Rounded Rectangle 1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1" name="Rounded Rectangle 1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2" name="Rounded Rectangle 1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3" name="Rounded Rectangle 1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4" name="Rounded Rectangle 1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5" name="Rounded Rectangle 1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6" name="Rounded Rectangle 1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7" name="Rounded Rectangle 1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8" name="Rounded Rectangle 1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09" name="Rounded Rectangle 1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0" name="Rounded Rectangle 1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1" name="Rounded Rectangle 1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2" name="Rounded Rectangle 1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3" name="Rounded Rectangle 1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4" name="Rounded Rectangle 1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5" name="Rounded Rectangle 1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6" name="Rounded Rectangle 1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7" name="Rounded Rectangle 1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8" name="Rounded Rectangle 1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19" name="Rounded Rectangle 1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0" name="Rounded Rectangle 1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1" name="Rounded Rectangle 1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2" name="Rounded Rectangle 1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3" name="Rounded Rectangle 1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4" name="Rounded Rectangle 1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5" name="Rounded Rectangle 1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6" name="Rounded Rectangle 1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7" name="Rounded Rectangle 1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8" name="Rounded Rectangle 1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29" name="Rounded Rectangle 1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0" name="Rounded Rectangle 1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1" name="Rounded Rectangle 1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2" name="Rounded Rectangle 1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3" name="Rounded Rectangle 1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4" name="Rounded Rectangle 1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5" name="Rounded Rectangle 1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6" name="Rounded Rectangle 1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7" name="Rounded Rectangle 1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8" name="Rounded Rectangle 1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39" name="Rounded Rectangle 1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0" name="Rounded Rectangle 1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1" name="Rounded Rectangle 1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2" name="Rounded Rectangle 1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3" name="Rounded Rectangle 1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4" name="Rounded Rectangle 1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5" name="Rounded Rectangle 1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6" name="Rounded Rectangle 1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7" name="Rounded Rectangle 1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8" name="Rounded Rectangle 1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49" name="Rounded Rectangle 1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0" name="Rounded Rectangle 1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1" name="Rounded Rectangle 1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2" name="Rounded Rectangle 1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3" name="Rounded Rectangle 1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4" name="Rounded Rectangle 1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5" name="Rounded Rectangle 1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6" name="Rounded Rectangle 1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7" name="Rounded Rectangle 1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8" name="Rounded Rectangle 1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59" name="Rounded Rectangle 1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0" name="Rounded Rectangle 1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1" name="Rounded Rectangle 1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2" name="Rounded Rectangle 1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3" name="Rounded Rectangle 1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4" name="Rounded Rectangle 1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5" name="Rounded Rectangle 1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6" name="Rounded Rectangle 1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7" name="Rounded Rectangle 1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8" name="Rounded Rectangle 1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69" name="Rounded Rectangle 1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0" name="Rounded Rectangle 1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1" name="Rounded Rectangle 1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2" name="Rounded Rectangle 1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3" name="Rounded Rectangle 1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4" name="Rounded Rectangle 1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5" name="Rounded Rectangle 1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6" name="Rounded Rectangle 1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7" name="Rounded Rectangle 1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8" name="Rounded Rectangle 1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79" name="Rounded Rectangle 1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0" name="Rounded Rectangle 1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1" name="Rounded Rectangle 1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2" name="Rounded Rectangle 1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3" name="Rounded Rectangle 1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4" name="Rounded Rectangle 1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5" name="Rounded Rectangle 1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6" name="Rounded Rectangle 1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7" name="Rounded Rectangle 1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8" name="Rounded Rectangle 1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89" name="Rounded Rectangle 1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0" name="Rounded Rectangle 1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1" name="Rounded Rectangle 1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2" name="Rounded Rectangle 1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3" name="Rounded Rectangle 1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4" name="Rounded Rectangle 1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5" name="Rounded Rectangle 1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6" name="Rounded Rectangle 1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7" name="Rounded Rectangle 1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8" name="Rounded Rectangle 1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599" name="Rounded Rectangle 1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0" name="Rounded Rectangle 1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1" name="Rounded Rectangle 1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2" name="Rounded Rectangle 1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3" name="Rounded Rectangle 1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4" name="Rounded Rectangle 1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5" name="Rounded Rectangle 1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6" name="Rounded Rectangle 1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7" name="Rounded Rectangle 1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8" name="Rounded Rectangle 1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09" name="Rounded Rectangle 1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0" name="Rounded Rectangle 1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1" name="Rounded Rectangle 1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2" name="Rounded Rectangle 1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3" name="Rounded Rectangle 1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4" name="Rounded Rectangle 1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5" name="Rounded Rectangle 1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6" name="Rounded Rectangle 1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7" name="Rounded Rectangle 1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8" name="Rounded Rectangle 1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19" name="Rounded Rectangle 1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0" name="Rounded Rectangle 1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1" name="Rounded Rectangle 1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2" name="Rounded Rectangle 1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3" name="Rounded Rectangle 1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4" name="Rounded Rectangle 1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5" name="Rounded Rectangle 1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6" name="Rounded Rectangle 1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7" name="Rounded Rectangle 1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8" name="Rounded Rectangle 1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29" name="Rounded Rectangle 1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0" name="Rounded Rectangle 1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1" name="Rounded Rectangle 1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2" name="Rounded Rectangle 1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3" name="Rounded Rectangle 1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4" name="Rounded Rectangle 1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5" name="Rounded Rectangle 1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6" name="Rounded Rectangle 1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7" name="Rounded Rectangle 1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8" name="Rounded Rectangle 1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39" name="Rounded Rectangle 1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0" name="Rounded Rectangle 1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1" name="Rounded Rectangle 1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2" name="Rounded Rectangle 1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3" name="Rounded Rectangle 1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4" name="Rounded Rectangle 1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5" name="Rounded Rectangle 1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6" name="Rounded Rectangle 1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7" name="Rounded Rectangle 1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8" name="Rounded Rectangle 1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49" name="Rounded Rectangle 1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0" name="Rounded Rectangle 1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1" name="Rounded Rectangle 1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2" name="Rounded Rectangle 1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3" name="Rounded Rectangle 1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4" name="Rounded Rectangle 1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5" name="Rounded Rectangle 1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6" name="Rounded Rectangle 1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7" name="Rounded Rectangle 1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8" name="Rounded Rectangle 1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59" name="Rounded Rectangle 1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0" name="Rounded Rectangle 1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1" name="Rounded Rectangle 1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2" name="Rounded Rectangle 1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3" name="Rounded Rectangle 1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4" name="Rounded Rectangle 1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5" name="Rounded Rectangle 1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6" name="Rounded Rectangle 1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7" name="Rounded Rectangle 1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8" name="Rounded Rectangle 1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69" name="Rounded Rectangle 1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0" name="Rounded Rectangle 1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1" name="Rounded Rectangle 1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2" name="Rounded Rectangle 1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3" name="Rounded Rectangle 1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4" name="Rounded Rectangle 1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5" name="Rounded Rectangle 1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6" name="Rounded Rectangle 1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7" name="Rounded Rectangle 1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8" name="Rounded Rectangle 1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79" name="Rounded Rectangle 1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0" name="Rounded Rectangle 1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1" name="Rounded Rectangle 1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2" name="Rounded Rectangle 1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3" name="Rounded Rectangle 1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4" name="Rounded Rectangle 1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5" name="Rounded Rectangle 1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6" name="Rounded Rectangle 1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7" name="Rounded Rectangle 1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8" name="Rounded Rectangle 1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89" name="Rounded Rectangle 1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0" name="Rounded Rectangle 1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1" name="Rounded Rectangle 1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2" name="Rounded Rectangle 1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3" name="Rounded Rectangle 1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4" name="Rounded Rectangle 1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5" name="Rounded Rectangle 1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6" name="Rounded Rectangle 1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7" name="Rounded Rectangle 1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8" name="Rounded Rectangle 1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699" name="Rounded Rectangle 1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0" name="Rounded Rectangle 1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1" name="Rounded Rectangle 1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2" name="Rounded Rectangle 1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3" name="Rounded Rectangle 1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4" name="Rounded Rectangle 1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5" name="Rounded Rectangle 1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6" name="Rounded Rectangle 1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7" name="Rounded Rectangle 1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8" name="Rounded Rectangle 1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09" name="Rounded Rectangle 1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0" name="Rounded Rectangle 1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1" name="Rounded Rectangle 1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2" name="Rounded Rectangle 1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3" name="Rounded Rectangle 1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4" name="Rounded Rectangle 1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5" name="Rounded Rectangle 1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6" name="Rounded Rectangle 1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7" name="Rounded Rectangle 1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8" name="Rounded Rectangle 1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19" name="Rounded Rectangle 1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0" name="Rounded Rectangle 1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1" name="Rounded Rectangle 1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2" name="Rounded Rectangle 1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3" name="Rounded Rectangle 1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4" name="Rounded Rectangle 1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5" name="Rounded Rectangle 1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6" name="Rounded Rectangle 1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7" name="Rounded Rectangle 1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8" name="Rounded Rectangle 1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29" name="Rounded Rectangle 1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0" name="Rounded Rectangle 1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1" name="Rounded Rectangle 1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2" name="Rounded Rectangle 1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3" name="Rounded Rectangle 1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4" name="Rounded Rectangle 1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5" name="Rounded Rectangle 1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6" name="Rounded Rectangle 1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7" name="Rounded Rectangle 1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8" name="Rounded Rectangle 1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39" name="Rounded Rectangle 1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0" name="Rounded Rectangle 1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1" name="Rounded Rectangle 1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2" name="Rounded Rectangle 1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3" name="Rounded Rectangle 1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4" name="Rounded Rectangle 1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5" name="Rounded Rectangle 1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6" name="Rounded Rectangle 1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7" name="Rounded Rectangle 1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8" name="Rounded Rectangle 1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49" name="Rounded Rectangle 1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0" name="Rounded Rectangle 1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1" name="Rounded Rectangle 1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2" name="Rounded Rectangle 1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3" name="Rounded Rectangle 1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4" name="Rounded Rectangle 1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5" name="Rounded Rectangle 1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6" name="Rounded Rectangle 1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7" name="Rounded Rectangle 1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8" name="Rounded Rectangle 1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59" name="Rounded Rectangle 1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0" name="Rounded Rectangle 1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1" name="Rounded Rectangle 1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2" name="Rounded Rectangle 1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3" name="Rounded Rectangle 1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4" name="Rounded Rectangle 1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5" name="Rounded Rectangle 1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6" name="Rounded Rectangle 1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7" name="Rounded Rectangle 1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8" name="Rounded Rectangle 1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69" name="Rounded Rectangle 1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0" name="Rounded Rectangle 1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1" name="Rounded Rectangle 1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2" name="Rounded Rectangle 1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3" name="Rounded Rectangle 1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4" name="Rounded Rectangle 1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5" name="Rounded Rectangle 1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6" name="Rounded Rectangle 1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7" name="Rounded Rectangle 1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8" name="Rounded Rectangle 1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79" name="Rounded Rectangle 1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0" name="Rounded Rectangle 1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1" name="Rounded Rectangle 1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2" name="Rounded Rectangle 1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3" name="Rounded Rectangle 1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4" name="Rounded Rectangle 1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5" name="Rounded Rectangle 1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6" name="Rounded Rectangle 1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7" name="Rounded Rectangle 1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8" name="Rounded Rectangle 1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89" name="Rounded Rectangle 1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0" name="Rounded Rectangle 1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1" name="Rounded Rectangle 1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2" name="Rounded Rectangle 1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3" name="Rounded Rectangle 1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4" name="Rounded Rectangle 1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5" name="Rounded Rectangle 1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6" name="Rounded Rectangle 1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7" name="Rounded Rectangle 1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8" name="Rounded Rectangle 1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799" name="Rounded Rectangle 1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0" name="Rounded Rectangle 1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1" name="Rounded Rectangle 1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2" name="Rounded Rectangle 1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3" name="Rounded Rectangle 1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4" name="Rounded Rectangle 1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5" name="Rounded Rectangle 1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6" name="Rounded Rectangle 1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7" name="Rounded Rectangle 1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8" name="Rounded Rectangle 1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09" name="Rounded Rectangle 1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0" name="Rounded Rectangle 1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1" name="Rounded Rectangle 1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2" name="Rounded Rectangle 1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3" name="Rounded Rectangle 1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4" name="Rounded Rectangle 1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5" name="Rounded Rectangle 1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6" name="Rounded Rectangle 1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7" name="Rounded Rectangle 1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8" name="Rounded Rectangle 1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19" name="Rounded Rectangle 1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0" name="Rounded Rectangle 1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1" name="Rounded Rectangle 1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2" name="Rounded Rectangle 1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3" name="Rounded Rectangle 1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4" name="Rounded Rectangle 1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5" name="Rounded Rectangle 1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6" name="Rounded Rectangle 1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7" name="Rounded Rectangle 1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8" name="Rounded Rectangle 1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29" name="Rounded Rectangle 1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0" name="Rounded Rectangle 1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1" name="Rounded Rectangle 1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2" name="Rounded Rectangle 1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3" name="Rounded Rectangle 1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4" name="Rounded Rectangle 1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5" name="Rounded Rectangle 1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6" name="Rounded Rectangle 1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7" name="Rounded Rectangle 1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8" name="Rounded Rectangle 1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39" name="Rounded Rectangle 1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0" name="Rounded Rectangle 1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1" name="Rounded Rectangle 1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2" name="Rounded Rectangle 1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3" name="Rounded Rectangle 1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4" name="Rounded Rectangle 1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5" name="Rounded Rectangle 1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6" name="Rounded Rectangle 1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7" name="Rounded Rectangle 1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8" name="Rounded Rectangle 1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49" name="Rounded Rectangle 1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0" name="Rounded Rectangle 1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1" name="Rounded Rectangle 1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2" name="Rounded Rectangle 1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3" name="Rounded Rectangle 1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4" name="Rounded Rectangle 1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5" name="Rounded Rectangle 1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6" name="Rounded Rectangle 1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7" name="Rounded Rectangle 1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8" name="Rounded Rectangle 1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59" name="Rounded Rectangle 1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0" name="Rounded Rectangle 1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1" name="Rounded Rectangle 1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2" name="Rounded Rectangle 1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3" name="Rounded Rectangle 1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4" name="Rounded Rectangle 1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5" name="Rounded Rectangle 1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6" name="Rounded Rectangle 1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7" name="Rounded Rectangle 1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8" name="Rounded Rectangle 1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69" name="Rounded Rectangle 1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0" name="Rounded Rectangle 1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1" name="Rounded Rectangle 1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2" name="Rounded Rectangle 1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3" name="Rounded Rectangle 1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4" name="Rounded Rectangle 1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5" name="Rounded Rectangle 1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6" name="Rounded Rectangle 1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7" name="Rounded Rectangle 1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8" name="Rounded Rectangle 1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79" name="Rounded Rectangle 1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0" name="Rounded Rectangle 1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1" name="Rounded Rectangle 1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2" name="Rounded Rectangle 1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3" name="Rounded Rectangle 1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4" name="Rounded Rectangle 1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5" name="Rounded Rectangle 1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6" name="Rounded Rectangle 1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7" name="Rounded Rectangle 1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8" name="Rounded Rectangle 1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89" name="Rounded Rectangle 1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0" name="Rounded Rectangle 1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1" name="Rounded Rectangle 1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2" name="Rounded Rectangle 1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3" name="Rounded Rectangle 1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4" name="Rounded Rectangle 1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5" name="Rounded Rectangle 1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6" name="Rounded Rectangle 1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7" name="Rounded Rectangle 1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8" name="Rounded Rectangle 1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899" name="Rounded Rectangle 1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0" name="Rounded Rectangle 1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1" name="Rounded Rectangle 1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2" name="Rounded Rectangle 1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3" name="Rounded Rectangle 1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4" name="Rounded Rectangle 1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5" name="Rounded Rectangle 1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6" name="Rounded Rectangle 1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7" name="Rounded Rectangle 1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8" name="Rounded Rectangle 1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09" name="Rounded Rectangle 1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0" name="Rounded Rectangle 1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1" name="Rounded Rectangle 1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2" name="Rounded Rectangle 1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3" name="Rounded Rectangle 1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4" name="Rounded Rectangle 1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5" name="Rounded Rectangle 1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6" name="Rounded Rectangle 1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7" name="Rounded Rectangle 1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8" name="Rounded Rectangle 1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19" name="Rounded Rectangle 1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0" name="Rounded Rectangle 1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1" name="Rounded Rectangle 1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2" name="Rounded Rectangle 1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3" name="Rounded Rectangle 1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4" name="Rounded Rectangle 1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5" name="Rounded Rectangle 1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6" name="Rounded Rectangle 1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7" name="Rounded Rectangle 1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8" name="Rounded Rectangle 1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29" name="Rounded Rectangle 1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0" name="Rounded Rectangle 1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1" name="Rounded Rectangle 1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2" name="Rounded Rectangle 1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3" name="Rounded Rectangle 1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4" name="Rounded Rectangle 1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5" name="Rounded Rectangle 1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6" name="Rounded Rectangle 1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7" name="Rounded Rectangle 1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8" name="Rounded Rectangle 1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39" name="Rounded Rectangle 1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0" name="Rounded Rectangle 1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1" name="Rounded Rectangle 1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2" name="Rounded Rectangle 1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3" name="Rounded Rectangle 1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4" name="Rounded Rectangle 1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5" name="Rounded Rectangle 1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6" name="Rounded Rectangle 1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7" name="Rounded Rectangle 1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8" name="Rounded Rectangle 1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49" name="Rounded Rectangle 1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0" name="Rounded Rectangle 1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1" name="Rounded Rectangle 1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2" name="Rounded Rectangle 1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3" name="Rounded Rectangle 1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4" name="Rounded Rectangle 1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5" name="Rounded Rectangle 1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6" name="Rounded Rectangle 1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7" name="Rounded Rectangle 1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8" name="Rounded Rectangle 1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59" name="Rounded Rectangle 1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0" name="Rounded Rectangle 1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1" name="Rounded Rectangle 1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2" name="Rounded Rectangle 1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3" name="Rounded Rectangle 1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4" name="Rounded Rectangle 1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5" name="Rounded Rectangle 1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6" name="Rounded Rectangle 1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7" name="Rounded Rectangle 1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8" name="Rounded Rectangle 1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69" name="Rounded Rectangle 1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0" name="Rounded Rectangle 1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1" name="Rounded Rectangle 1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2" name="Rounded Rectangle 1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3" name="Rounded Rectangle 1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4" name="Rounded Rectangle 1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5" name="Rounded Rectangle 1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6" name="Rounded Rectangle 1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7" name="Rounded Rectangle 1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8" name="Rounded Rectangle 1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79" name="Rounded Rectangle 1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0" name="Rounded Rectangle 1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1" name="Rounded Rectangle 1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2" name="Rounded Rectangle 1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3" name="Rounded Rectangle 1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4" name="Rounded Rectangle 1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5" name="Rounded Rectangle 1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6" name="Rounded Rectangle 1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7" name="Rounded Rectangle 1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8" name="Rounded Rectangle 1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89" name="Rounded Rectangle 1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0" name="Rounded Rectangle 1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1" name="Rounded Rectangle 1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2" name="Rounded Rectangle 1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3" name="Rounded Rectangle 1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4" name="Rounded Rectangle 1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5" name="Rounded Rectangle 1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6" name="Rounded Rectangle 1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7" name="Rounded Rectangle 1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8" name="Rounded Rectangle 1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999" name="Rounded Rectangle 1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0" name="Rounded Rectangle 1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1" name="Rounded Rectangle 2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2" name="Rounded Rectangle 2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3" name="Rounded Rectangle 2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4" name="Rounded Rectangle 2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5" name="Rounded Rectangle 2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6" name="Rounded Rectangle 2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7" name="Rounded Rectangle 2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8" name="Rounded Rectangle 2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09" name="Rounded Rectangle 2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0" name="Rounded Rectangle 2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1" name="Rounded Rectangle 2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2" name="Rounded Rectangle 2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3" name="Rounded Rectangle 2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4" name="Rounded Rectangle 2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5" name="Rounded Rectangle 2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6" name="Rounded Rectangle 2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7" name="Rounded Rectangle 2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8" name="Rounded Rectangle 2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19" name="Rounded Rectangle 2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0" name="Rounded Rectangle 2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1" name="Rounded Rectangle 2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2" name="Rounded Rectangle 2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3" name="Rounded Rectangle 2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4" name="Rounded Rectangle 2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5" name="Rounded Rectangle 2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6" name="Rounded Rectangle 2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7" name="Rounded Rectangle 2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8" name="Rounded Rectangle 2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29" name="Rounded Rectangle 2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0" name="Rounded Rectangle 2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1" name="Rounded Rectangle 2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2" name="Rounded Rectangle 2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3" name="Rounded Rectangle 2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4" name="Rounded Rectangle 2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5" name="Rounded Rectangle 2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6" name="Rounded Rectangle 2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7" name="Rounded Rectangle 2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8" name="Rounded Rectangle 2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39" name="Rounded Rectangle 2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0" name="Rounded Rectangle 2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1" name="Rounded Rectangle 2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2" name="Rounded Rectangle 2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3" name="Rounded Rectangle 2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4" name="Rounded Rectangle 2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5" name="Rounded Rectangle 2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6" name="Rounded Rectangle 2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7" name="Rounded Rectangle 2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8" name="Rounded Rectangle 2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49" name="Rounded Rectangle 2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0" name="Rounded Rectangle 2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1" name="Rounded Rectangle 2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2" name="Rounded Rectangle 2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3" name="Rounded Rectangle 2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4" name="Rounded Rectangle 2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5" name="Rounded Rectangle 2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6" name="Rounded Rectangle 2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7" name="Rounded Rectangle 2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8" name="Rounded Rectangle 2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59" name="Rounded Rectangle 2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0" name="Rounded Rectangle 2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1" name="Rounded Rectangle 2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2" name="Rounded Rectangle 2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3" name="Rounded Rectangle 2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4" name="Rounded Rectangle 2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5" name="Rounded Rectangle 2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6" name="Rounded Rectangle 2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7" name="Rounded Rectangle 2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8" name="Rounded Rectangle 2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69" name="Rounded Rectangle 2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0" name="Rounded Rectangle 2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1" name="Rounded Rectangle 2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2" name="Rounded Rectangle 2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3" name="Rounded Rectangle 2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4" name="Rounded Rectangle 2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5" name="Rounded Rectangle 2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6" name="Rounded Rectangle 2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7" name="Rounded Rectangle 2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8" name="Rounded Rectangle 2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79" name="Rounded Rectangle 2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0" name="Rounded Rectangle 2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1" name="Rounded Rectangle 2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2" name="Rounded Rectangle 2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3" name="Rounded Rectangle 2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4" name="Rounded Rectangle 2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5" name="Rounded Rectangle 2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6" name="Rounded Rectangle 2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7" name="Rounded Rectangle 2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8" name="Rounded Rectangle 2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89" name="Rounded Rectangle 2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0" name="Rounded Rectangle 2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1" name="Rounded Rectangle 2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2" name="Rounded Rectangle 2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3" name="Rounded Rectangle 2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4" name="Rounded Rectangle 2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5" name="Rounded Rectangle 2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6" name="Rounded Rectangle 2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7" name="Rounded Rectangle 2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8" name="Rounded Rectangle 2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099" name="Rounded Rectangle 2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0" name="Rounded Rectangle 2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1" name="Rounded Rectangle 2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2" name="Rounded Rectangle 2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3" name="Rounded Rectangle 2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4" name="Rounded Rectangle 2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5" name="Rounded Rectangle 2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6" name="Rounded Rectangle 2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7" name="Rounded Rectangle 2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8" name="Rounded Rectangle 2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09" name="Rounded Rectangle 2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0" name="Rounded Rectangle 2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1" name="Rounded Rectangle 2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2" name="Rounded Rectangle 2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3" name="Rounded Rectangle 2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4" name="Rounded Rectangle 2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5" name="Rounded Rectangle 2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6" name="Rounded Rectangle 2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7" name="Rounded Rectangle 2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8" name="Rounded Rectangle 2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19" name="Rounded Rectangle 2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0" name="Rounded Rectangle 2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1" name="Rounded Rectangle 2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2" name="Rounded Rectangle 2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3" name="Rounded Rectangle 2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4" name="Rounded Rectangle 2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5" name="Rounded Rectangle 2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6" name="Rounded Rectangle 2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7" name="Rounded Rectangle 2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8" name="Rounded Rectangle 2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29" name="Rounded Rectangle 2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0" name="Rounded Rectangle 2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1" name="Rounded Rectangle 2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2" name="Rounded Rectangle 2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3" name="Rounded Rectangle 2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4" name="Rounded Rectangle 2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5" name="Rounded Rectangle 2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6" name="Rounded Rectangle 2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7" name="Rounded Rectangle 2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8" name="Rounded Rectangle 2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39" name="Rounded Rectangle 2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0" name="Rounded Rectangle 2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1" name="Rounded Rectangle 2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2" name="Rounded Rectangle 2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3" name="Rounded Rectangle 2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4" name="Rounded Rectangle 2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5" name="Rounded Rectangle 2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6" name="Rounded Rectangle 2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7" name="Rounded Rectangle 2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8" name="Rounded Rectangle 2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49" name="Rounded Rectangle 2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0" name="Rounded Rectangle 2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1" name="Rounded Rectangle 2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2" name="Rounded Rectangle 2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3" name="Rounded Rectangle 2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4" name="Rounded Rectangle 2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5" name="Rounded Rectangle 2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6" name="Rounded Rectangle 2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7" name="Rounded Rectangle 2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8" name="Rounded Rectangle 2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59" name="Rounded Rectangle 2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0" name="Rounded Rectangle 2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1" name="Rounded Rectangle 2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2" name="Rounded Rectangle 2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3" name="Rounded Rectangle 2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4" name="Rounded Rectangle 2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5" name="Rounded Rectangle 2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6" name="Rounded Rectangle 2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7" name="Rounded Rectangle 2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8" name="Rounded Rectangle 2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69" name="Rounded Rectangle 2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0" name="Rounded Rectangle 2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1" name="Rounded Rectangle 2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2" name="Rounded Rectangle 2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3" name="Rounded Rectangle 2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4" name="Rounded Rectangle 2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5" name="Rounded Rectangle 2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6" name="Rounded Rectangle 2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7" name="Rounded Rectangle 2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8" name="Rounded Rectangle 2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79" name="Rounded Rectangle 2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0" name="Rounded Rectangle 2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1" name="Rounded Rectangle 2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2" name="Rounded Rectangle 2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3" name="Rounded Rectangle 2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4" name="Rounded Rectangle 2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5" name="Rounded Rectangle 2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6" name="Rounded Rectangle 2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7" name="Rounded Rectangle 2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8" name="Rounded Rectangle 2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89" name="Rounded Rectangle 2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0" name="Rounded Rectangle 2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1" name="Rounded Rectangle 2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2" name="Rounded Rectangle 2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3" name="Rounded Rectangle 2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4" name="Rounded Rectangle 2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5" name="Rounded Rectangle 2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6" name="Rounded Rectangle 2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7" name="Rounded Rectangle 2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8" name="Rounded Rectangle 2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199" name="Rounded Rectangle 2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0" name="Rounded Rectangle 2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1" name="Rounded Rectangle 2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2" name="Rounded Rectangle 2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3" name="Rounded Rectangle 2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4" name="Rounded Rectangle 2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5" name="Rounded Rectangle 2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6" name="Rounded Rectangle 2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7" name="Rounded Rectangle 2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8" name="Rounded Rectangle 2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09" name="Rounded Rectangle 2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0" name="Rounded Rectangle 2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1" name="Rounded Rectangle 2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2" name="Rounded Rectangle 2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3" name="Rounded Rectangle 2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4" name="Rounded Rectangle 2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5" name="Rounded Rectangle 2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6" name="Rounded Rectangle 2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7" name="Rounded Rectangle 2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8" name="Rounded Rectangle 2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19" name="Rounded Rectangle 2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0" name="Rounded Rectangle 2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1" name="Rounded Rectangle 2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2" name="Rounded Rectangle 2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3" name="Rounded Rectangle 2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4" name="Rounded Rectangle 2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5" name="Rounded Rectangle 2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6" name="Rounded Rectangle 2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7" name="Rounded Rectangle 2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8" name="Rounded Rectangle 2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29" name="Rounded Rectangle 2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0" name="Rounded Rectangle 2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1" name="Rounded Rectangle 2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2" name="Rounded Rectangle 2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3" name="Rounded Rectangle 2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4" name="Rounded Rectangle 2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5" name="Rounded Rectangle 2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6" name="Rounded Rectangle 2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7" name="Rounded Rectangle 2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8" name="Rounded Rectangle 2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39" name="Rounded Rectangle 2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0" name="Rounded Rectangle 2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1" name="Rounded Rectangle 2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2" name="Rounded Rectangle 2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3" name="Rounded Rectangle 2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4" name="Rounded Rectangle 2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5" name="Rounded Rectangle 2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6" name="Rounded Rectangle 2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7" name="Rounded Rectangle 2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8" name="Rounded Rectangle 2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49" name="Rounded Rectangle 2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0" name="Rounded Rectangle 2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1" name="Rounded Rectangle 2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2" name="Rounded Rectangle 2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3" name="Rounded Rectangle 2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4" name="Rounded Rectangle 2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5" name="Rounded Rectangle 2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6" name="Rounded Rectangle 2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7" name="Rounded Rectangle 2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8" name="Rounded Rectangle 2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59" name="Rounded Rectangle 2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0" name="Rounded Rectangle 2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1" name="Rounded Rectangle 2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2" name="Rounded Rectangle 2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3" name="Rounded Rectangle 2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4" name="Rounded Rectangle 2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5" name="Rounded Rectangle 2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6" name="Rounded Rectangle 2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7" name="Rounded Rectangle 2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8" name="Rounded Rectangle 2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69" name="Rounded Rectangle 2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0" name="Rounded Rectangle 2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1" name="Rounded Rectangle 2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2" name="Rounded Rectangle 2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3" name="Rounded Rectangle 2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4" name="Rounded Rectangle 2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5" name="Rounded Rectangle 2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6" name="Rounded Rectangle 2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7" name="Rounded Rectangle 2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8" name="Rounded Rectangle 2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79" name="Rounded Rectangle 2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0" name="Rounded Rectangle 2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1" name="Rounded Rectangle 2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2" name="Rounded Rectangle 2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3" name="Rounded Rectangle 2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4" name="Rounded Rectangle 2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5" name="Rounded Rectangle 2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6" name="Rounded Rectangle 2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7" name="Rounded Rectangle 2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8" name="Rounded Rectangle 2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89" name="Rounded Rectangle 2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0" name="Rounded Rectangle 2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1" name="Rounded Rectangle 2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2" name="Rounded Rectangle 2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3" name="Rounded Rectangle 2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4" name="Rounded Rectangle 2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5" name="Rounded Rectangle 2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6" name="Rounded Rectangle 2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7" name="Rounded Rectangle 2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8" name="Rounded Rectangle 2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299" name="Rounded Rectangle 2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0" name="Rounded Rectangle 2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1" name="Rounded Rectangle 2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2" name="Rounded Rectangle 2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3" name="Rounded Rectangle 2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4" name="Rounded Rectangle 2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5" name="Rounded Rectangle 2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6" name="Rounded Rectangle 2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7" name="Rounded Rectangle 2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8" name="Rounded Rectangle 2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09" name="Rounded Rectangle 2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0" name="Rounded Rectangle 2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1" name="Rounded Rectangle 2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2" name="Rounded Rectangle 2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3" name="Rounded Rectangle 2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4" name="Rounded Rectangle 2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5" name="Rounded Rectangle 2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6" name="Rounded Rectangle 2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7" name="Rounded Rectangle 2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8" name="Rounded Rectangle 2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19" name="Rounded Rectangle 2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0" name="Rounded Rectangle 2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1" name="Rounded Rectangle 2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2" name="Rounded Rectangle 2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3" name="Rounded Rectangle 2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4" name="Rounded Rectangle 2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5" name="Rounded Rectangle 2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6" name="Rounded Rectangle 2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7" name="Rounded Rectangle 2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8" name="Rounded Rectangle 2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29" name="Rounded Rectangle 2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0" name="Rounded Rectangle 2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1" name="Rounded Rectangle 2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2" name="Rounded Rectangle 2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3" name="Rounded Rectangle 2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4" name="Rounded Rectangle 2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5" name="Rounded Rectangle 2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6" name="Rounded Rectangle 2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7" name="Rounded Rectangle 2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8" name="Rounded Rectangle 2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39" name="Rounded Rectangle 2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0" name="Rounded Rectangle 2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1" name="Rounded Rectangle 2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2" name="Rounded Rectangle 2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3" name="Rounded Rectangle 2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4" name="Rounded Rectangle 2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5" name="Rounded Rectangle 2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6" name="Rounded Rectangle 2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7" name="Rounded Rectangle 2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8" name="Rounded Rectangle 2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49" name="Rounded Rectangle 2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0" name="Rounded Rectangle 2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1" name="Rounded Rectangle 2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2" name="Rounded Rectangle 2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3" name="Rounded Rectangle 2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4" name="Rounded Rectangle 2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5" name="Rounded Rectangle 2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6" name="Rounded Rectangle 2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7" name="Rounded Rectangle 2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8" name="Rounded Rectangle 2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59" name="Rounded Rectangle 2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0" name="Rounded Rectangle 2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1" name="Rounded Rectangle 2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2" name="Rounded Rectangle 2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3" name="Rounded Rectangle 2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4" name="Rounded Rectangle 2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5" name="Rounded Rectangle 2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6" name="Rounded Rectangle 2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7" name="Rounded Rectangle 2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8" name="Rounded Rectangle 2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69" name="Rounded Rectangle 2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0" name="Rounded Rectangle 2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1" name="Rounded Rectangle 2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2" name="Rounded Rectangle 2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3" name="Rounded Rectangle 2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4" name="Rounded Rectangle 2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5" name="Rounded Rectangle 2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6" name="Rounded Rectangle 2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7" name="Rounded Rectangle 2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8" name="Rounded Rectangle 2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79" name="Rounded Rectangle 2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0" name="Rounded Rectangle 2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1" name="Rounded Rectangle 2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2" name="Rounded Rectangle 2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3" name="Rounded Rectangle 2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4" name="Rounded Rectangle 2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5" name="Rounded Rectangle 2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6" name="Rounded Rectangle 2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7" name="Rounded Rectangle 2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8" name="Rounded Rectangle 2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89" name="Rounded Rectangle 2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0" name="Rounded Rectangle 2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1" name="Rounded Rectangle 2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2" name="Rounded Rectangle 2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3" name="Rounded Rectangle 2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4" name="Rounded Rectangle 2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5" name="Rounded Rectangle 2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6" name="Rounded Rectangle 2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7" name="Rounded Rectangle 2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8" name="Rounded Rectangle 2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399" name="Rounded Rectangle 2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0" name="Rounded Rectangle 2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1" name="Rounded Rectangle 2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2" name="Rounded Rectangle 2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3" name="Rounded Rectangle 2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4" name="Rounded Rectangle 2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5" name="Rounded Rectangle 2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6" name="Rounded Rectangle 2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7" name="Rounded Rectangle 2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8" name="Rounded Rectangle 2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09" name="Rounded Rectangle 2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0" name="Rounded Rectangle 2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1" name="Rounded Rectangle 2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2" name="Rounded Rectangle 2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3" name="Rounded Rectangle 2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4" name="Rounded Rectangle 2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5" name="Rounded Rectangle 2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6" name="Rounded Rectangle 2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7" name="Rounded Rectangle 2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8" name="Rounded Rectangle 2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19" name="Rounded Rectangle 2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0" name="Rounded Rectangle 2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1" name="Rounded Rectangle 2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2" name="Rounded Rectangle 2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3" name="Rounded Rectangle 2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4" name="Rounded Rectangle 2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5" name="Rounded Rectangle 2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6" name="Rounded Rectangle 2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7" name="Rounded Rectangle 2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8" name="Rounded Rectangle 2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29" name="Rounded Rectangle 2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0" name="Rounded Rectangle 2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1" name="Rounded Rectangle 2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2" name="Rounded Rectangle 2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3" name="Rounded Rectangle 2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4" name="Rounded Rectangle 2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5" name="Rounded Rectangle 2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6" name="Rounded Rectangle 2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7" name="Rounded Rectangle 2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8" name="Rounded Rectangle 2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39" name="Rounded Rectangle 2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0" name="Rounded Rectangle 2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1" name="Rounded Rectangle 2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2" name="Rounded Rectangle 2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3" name="Rounded Rectangle 2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4" name="Rounded Rectangle 2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5" name="Rounded Rectangle 2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6" name="Rounded Rectangle 2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7" name="Rounded Rectangle 2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8" name="Rounded Rectangle 2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49" name="Rounded Rectangle 2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0" name="Rounded Rectangle 2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1" name="Rounded Rectangle 2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2" name="Rounded Rectangle 2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3" name="Rounded Rectangle 2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4" name="Rounded Rectangle 2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5" name="Rounded Rectangle 2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6" name="Rounded Rectangle 2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7" name="Rounded Rectangle 2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8" name="Rounded Rectangle 2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59" name="Rounded Rectangle 2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0" name="Rounded Rectangle 2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1" name="Rounded Rectangle 2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2" name="Rounded Rectangle 2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3" name="Rounded Rectangle 2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4" name="Rounded Rectangle 2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5" name="Rounded Rectangle 2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6" name="Rounded Rectangle 2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7" name="Rounded Rectangle 2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8" name="Rounded Rectangle 2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69" name="Rounded Rectangle 2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0" name="Rounded Rectangle 2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1" name="Rounded Rectangle 2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2" name="Rounded Rectangle 2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3" name="Rounded Rectangle 2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4" name="Rounded Rectangle 2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5" name="Rounded Rectangle 2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6" name="Rounded Rectangle 2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7" name="Rounded Rectangle 2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8" name="Rounded Rectangle 2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79" name="Rounded Rectangle 2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0" name="Rounded Rectangle 2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1" name="Rounded Rectangle 2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2" name="Rounded Rectangle 2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3" name="Rounded Rectangle 2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4" name="Rounded Rectangle 2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5" name="Rounded Rectangle 2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6" name="Rounded Rectangle 2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7" name="Rounded Rectangle 2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8" name="Rounded Rectangle 2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89" name="Rounded Rectangle 2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0" name="Rounded Rectangle 2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1" name="Rounded Rectangle 2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2" name="Rounded Rectangle 2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3" name="Rounded Rectangle 2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4" name="Rounded Rectangle 2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5" name="Rounded Rectangle 2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6" name="Rounded Rectangle 2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7" name="Rounded Rectangle 2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8" name="Rounded Rectangle 2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499" name="Rounded Rectangle 2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0" name="Rounded Rectangle 2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1" name="Rounded Rectangle 2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2" name="Rounded Rectangle 2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3" name="Rounded Rectangle 2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4" name="Rounded Rectangle 2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5" name="Rounded Rectangle 2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6" name="Rounded Rectangle 2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7" name="Rounded Rectangle 2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8" name="Rounded Rectangle 2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09" name="Rounded Rectangle 2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0" name="Rounded Rectangle 2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1" name="Rounded Rectangle 2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2" name="Rounded Rectangle 2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3" name="Rounded Rectangle 2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4" name="Rounded Rectangle 2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5" name="Rounded Rectangle 2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6" name="Rounded Rectangle 2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7" name="Rounded Rectangle 2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8" name="Rounded Rectangle 2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19" name="Rounded Rectangle 2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0" name="Rounded Rectangle 2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1" name="Rounded Rectangle 2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2" name="Rounded Rectangle 2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3" name="Rounded Rectangle 2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4" name="Rounded Rectangle 2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5" name="Rounded Rectangle 2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6" name="Rounded Rectangle 2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7" name="Rounded Rectangle 2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8" name="Rounded Rectangle 2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29" name="Rounded Rectangle 2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0" name="Rounded Rectangle 2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1" name="Rounded Rectangle 2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2" name="Rounded Rectangle 2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3" name="Rounded Rectangle 2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4" name="Rounded Rectangle 2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5" name="Rounded Rectangle 2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6" name="Rounded Rectangle 2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7" name="Rounded Rectangle 2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8" name="Rounded Rectangle 2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39" name="Rounded Rectangle 2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0" name="Rounded Rectangle 2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1" name="Rounded Rectangle 2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2" name="Rounded Rectangle 2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3" name="Rounded Rectangle 2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4" name="Rounded Rectangle 2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5" name="Rounded Rectangle 2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6" name="Rounded Rectangle 2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7" name="Rounded Rectangle 2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8" name="Rounded Rectangle 2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49" name="Rounded Rectangle 2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0" name="Rounded Rectangle 2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1" name="Rounded Rectangle 2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2" name="Rounded Rectangle 2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3" name="Rounded Rectangle 2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4" name="Rounded Rectangle 2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5" name="Rounded Rectangle 2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6" name="Rounded Rectangle 2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7" name="Rounded Rectangle 2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8" name="Rounded Rectangle 2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59" name="Rounded Rectangle 2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0" name="Rounded Rectangle 2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1" name="Rounded Rectangle 2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2" name="Rounded Rectangle 2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3" name="Rounded Rectangle 2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4" name="Rounded Rectangle 2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5" name="Rounded Rectangle 2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6" name="Rounded Rectangle 2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7" name="Rounded Rectangle 2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8" name="Rounded Rectangle 2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69" name="Rounded Rectangle 2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0" name="Rounded Rectangle 2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1" name="Rounded Rectangle 2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2" name="Rounded Rectangle 2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3" name="Rounded Rectangle 2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4" name="Rounded Rectangle 2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5" name="Rounded Rectangle 2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6" name="Rounded Rectangle 2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7" name="Rounded Rectangle 2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8" name="Rounded Rectangle 2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79" name="Rounded Rectangle 2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0" name="Rounded Rectangle 2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1" name="Rounded Rectangle 2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2" name="Rounded Rectangle 2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3" name="Rounded Rectangle 2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4" name="Rounded Rectangle 2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5" name="Rounded Rectangle 2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6" name="Rounded Rectangle 2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7" name="Rounded Rectangle 2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8" name="Rounded Rectangle 2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89" name="Rounded Rectangle 2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0" name="Rounded Rectangle 2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1" name="Rounded Rectangle 2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2" name="Rounded Rectangle 2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3" name="Rounded Rectangle 2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4" name="Rounded Rectangle 2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5" name="Rounded Rectangle 2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6" name="Rounded Rectangle 2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7" name="Rounded Rectangle 2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8" name="Rounded Rectangle 2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599" name="Rounded Rectangle 2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0" name="Rounded Rectangle 2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1" name="Rounded Rectangle 2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2" name="Rounded Rectangle 2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3" name="Rounded Rectangle 2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4" name="Rounded Rectangle 2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5" name="Rounded Rectangle 2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6" name="Rounded Rectangle 2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7" name="Rounded Rectangle 2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8" name="Rounded Rectangle 2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09" name="Rounded Rectangle 2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0" name="Rounded Rectangle 2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1" name="Rounded Rectangle 2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2" name="Rounded Rectangle 2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3" name="Rounded Rectangle 2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4" name="Rounded Rectangle 2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5" name="Rounded Rectangle 2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6" name="Rounded Rectangle 2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7" name="Rounded Rectangle 2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8" name="Rounded Rectangle 2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19" name="Rounded Rectangle 2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0" name="Rounded Rectangle 2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1" name="Rounded Rectangle 2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2" name="Rounded Rectangle 2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3" name="Rounded Rectangle 2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4" name="Rounded Rectangle 2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5" name="Rounded Rectangle 2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6" name="Rounded Rectangle 2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7" name="Rounded Rectangle 2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8" name="Rounded Rectangle 2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29" name="Rounded Rectangle 2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0" name="Rounded Rectangle 2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1" name="Rounded Rectangle 2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2" name="Rounded Rectangle 2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3" name="Rounded Rectangle 2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4" name="Rounded Rectangle 2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5" name="Rounded Rectangle 2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6" name="Rounded Rectangle 2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7" name="Rounded Rectangle 2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8" name="Rounded Rectangle 2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39" name="Rounded Rectangle 2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0" name="Rounded Rectangle 2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1" name="Rounded Rectangle 2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2" name="Rounded Rectangle 2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3" name="Rounded Rectangle 2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4" name="Rounded Rectangle 2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5" name="Rounded Rectangle 2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6" name="Rounded Rectangle 2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7" name="Rounded Rectangle 2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8" name="Rounded Rectangle 2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49" name="Rounded Rectangle 2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0" name="Rounded Rectangle 2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1" name="Rounded Rectangle 2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2" name="Rounded Rectangle 2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3" name="Rounded Rectangle 2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4" name="Rounded Rectangle 2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5" name="Rounded Rectangle 2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6" name="Rounded Rectangle 2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7" name="Rounded Rectangle 2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8" name="Rounded Rectangle 2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59" name="Rounded Rectangle 2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0" name="Rounded Rectangle 2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1" name="Rounded Rectangle 2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2" name="Rounded Rectangle 2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3" name="Rounded Rectangle 2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4" name="Rounded Rectangle 2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5" name="Rounded Rectangle 2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6" name="Rounded Rectangle 2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7" name="Rounded Rectangle 2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8" name="Rounded Rectangle 2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69" name="Rounded Rectangle 2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0" name="Rounded Rectangle 2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1" name="Rounded Rectangle 2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2" name="Rounded Rectangle 2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3" name="Rounded Rectangle 2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4" name="Rounded Rectangle 2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5" name="Rounded Rectangle 2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6" name="Rounded Rectangle 2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7" name="Rounded Rectangle 2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8" name="Rounded Rectangle 2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79" name="Rounded Rectangle 2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0" name="Rounded Rectangle 2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1" name="Rounded Rectangle 2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2" name="Rounded Rectangle 2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3" name="Rounded Rectangle 2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4" name="Rounded Rectangle 2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5" name="Rounded Rectangle 2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6" name="Rounded Rectangle 2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7" name="Rounded Rectangle 2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8" name="Rounded Rectangle 2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89" name="Rounded Rectangle 2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0" name="Rounded Rectangle 2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1" name="Rounded Rectangle 2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2" name="Rounded Rectangle 2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3" name="Rounded Rectangle 2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4" name="Rounded Rectangle 2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5" name="Rounded Rectangle 2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6" name="Rounded Rectangle 2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7" name="Rounded Rectangle 2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8" name="Rounded Rectangle 2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699" name="Rounded Rectangle 2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0" name="Rounded Rectangle 2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1" name="Rounded Rectangle 2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2" name="Rounded Rectangle 2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3" name="Rounded Rectangle 2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4" name="Rounded Rectangle 2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5" name="Rounded Rectangle 2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6" name="Rounded Rectangle 2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7" name="Rounded Rectangle 2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8" name="Rounded Rectangle 2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09" name="Rounded Rectangle 2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0" name="Rounded Rectangle 2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1" name="Rounded Rectangle 2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2" name="Rounded Rectangle 2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3" name="Rounded Rectangle 2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4" name="Rounded Rectangle 2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5" name="Rounded Rectangle 2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6" name="Rounded Rectangle 2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7" name="Rounded Rectangle 2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8" name="Rounded Rectangle 2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19" name="Rounded Rectangle 2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0" name="Rounded Rectangle 2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1" name="Rounded Rectangle 2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2" name="Rounded Rectangle 2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3" name="Rounded Rectangle 2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4" name="Rounded Rectangle 2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5" name="Rounded Rectangle 2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6" name="Rounded Rectangle 2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7" name="Rounded Rectangle 2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8" name="Rounded Rectangle 2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29" name="Rounded Rectangle 2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0" name="Rounded Rectangle 2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1" name="Rounded Rectangle 2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2" name="Rounded Rectangle 2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3" name="Rounded Rectangle 2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4" name="Rounded Rectangle 2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5" name="Rounded Rectangle 2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6" name="Rounded Rectangle 2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7" name="Rounded Rectangle 2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8" name="Rounded Rectangle 2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39" name="Rounded Rectangle 2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0" name="Rounded Rectangle 2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1" name="Rounded Rectangle 2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2" name="Rounded Rectangle 2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3" name="Rounded Rectangle 2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4" name="Rounded Rectangle 2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5" name="Rounded Rectangle 2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6" name="Rounded Rectangle 2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7" name="Rounded Rectangle 2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8" name="Rounded Rectangle 2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49" name="Rounded Rectangle 2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0" name="Rounded Rectangle 2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1" name="Rounded Rectangle 2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2" name="Rounded Rectangle 2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3" name="Rounded Rectangle 2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4" name="Rounded Rectangle 2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5" name="Rounded Rectangle 2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6" name="Rounded Rectangle 2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7" name="Rounded Rectangle 2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8" name="Rounded Rectangle 2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59" name="Rounded Rectangle 2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0" name="Rounded Rectangle 2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1" name="Rounded Rectangle 2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2" name="Rounded Rectangle 2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3" name="Rounded Rectangle 2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4" name="Rounded Rectangle 2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5" name="Rounded Rectangle 2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6" name="Rounded Rectangle 2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7" name="Rounded Rectangle 2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8" name="Rounded Rectangle 2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69" name="Rounded Rectangle 2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0" name="Rounded Rectangle 2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1" name="Rounded Rectangle 2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2" name="Rounded Rectangle 2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3" name="Rounded Rectangle 2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4" name="Rounded Rectangle 2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5" name="Rounded Rectangle 2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6" name="Rounded Rectangle 2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7" name="Rounded Rectangle 2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8" name="Rounded Rectangle 2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79" name="Rounded Rectangle 2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0" name="Rounded Rectangle 2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1" name="Rounded Rectangle 2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2" name="Rounded Rectangle 2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3" name="Rounded Rectangle 2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4" name="Rounded Rectangle 2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5" name="Rounded Rectangle 2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6" name="Rounded Rectangle 2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7" name="Rounded Rectangle 2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8" name="Rounded Rectangle 2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89" name="Rounded Rectangle 2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0" name="Rounded Rectangle 2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1" name="Rounded Rectangle 2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2" name="Rounded Rectangle 2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3" name="Rounded Rectangle 2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4" name="Rounded Rectangle 2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5" name="Rounded Rectangle 2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6" name="Rounded Rectangle 2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7" name="Rounded Rectangle 2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8" name="Rounded Rectangle 2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799" name="Rounded Rectangle 2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0" name="Rounded Rectangle 2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1" name="Rounded Rectangle 2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2" name="Rounded Rectangle 2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3" name="Rounded Rectangle 2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4" name="Rounded Rectangle 2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5" name="Rounded Rectangle 2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6" name="Rounded Rectangle 2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7" name="Rounded Rectangle 2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8" name="Rounded Rectangle 2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09" name="Rounded Rectangle 2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0" name="Rounded Rectangle 2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1" name="Rounded Rectangle 2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2" name="Rounded Rectangle 2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3" name="Rounded Rectangle 2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4" name="Rounded Rectangle 2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5" name="Rounded Rectangle 2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6" name="Rounded Rectangle 2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7" name="Rounded Rectangle 2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8" name="Rounded Rectangle 2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19" name="Rounded Rectangle 2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0" name="Rounded Rectangle 2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1" name="Rounded Rectangle 2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2" name="Rounded Rectangle 2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3" name="Rounded Rectangle 2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4" name="Rounded Rectangle 2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5" name="Rounded Rectangle 2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6" name="Rounded Rectangle 2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7" name="Rounded Rectangle 2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8" name="Rounded Rectangle 2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29" name="Rounded Rectangle 2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0" name="Rounded Rectangle 2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1" name="Rounded Rectangle 2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2" name="Rounded Rectangle 2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3" name="Rounded Rectangle 2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4" name="Rounded Rectangle 2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5" name="Rounded Rectangle 2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6" name="Rounded Rectangle 2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7" name="Rounded Rectangle 2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8" name="Rounded Rectangle 2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39" name="Rounded Rectangle 2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0" name="Rounded Rectangle 2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1" name="Rounded Rectangle 2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2" name="Rounded Rectangle 2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3" name="Rounded Rectangle 2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4" name="Rounded Rectangle 2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5" name="Rounded Rectangle 2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6" name="Rounded Rectangle 2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7" name="Rounded Rectangle 2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8" name="Rounded Rectangle 2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49" name="Rounded Rectangle 2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0" name="Rounded Rectangle 2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1" name="Rounded Rectangle 2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2" name="Rounded Rectangle 2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3" name="Rounded Rectangle 2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4" name="Rounded Rectangle 2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5" name="Rounded Rectangle 2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6" name="Rounded Rectangle 2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7" name="Rounded Rectangle 2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8" name="Rounded Rectangle 2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59" name="Rounded Rectangle 2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0" name="Rounded Rectangle 2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1" name="Rounded Rectangle 2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2" name="Rounded Rectangle 2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3" name="Rounded Rectangle 2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4" name="Rounded Rectangle 2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5" name="Rounded Rectangle 2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6" name="Rounded Rectangle 2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7" name="Rounded Rectangle 2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8" name="Rounded Rectangle 2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69" name="Rounded Rectangle 2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0" name="Rounded Rectangle 2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1" name="Rounded Rectangle 2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2" name="Rounded Rectangle 2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3" name="Rounded Rectangle 2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4" name="Rounded Rectangle 2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5" name="Rounded Rectangle 2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6" name="Rounded Rectangle 2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7" name="Rounded Rectangle 2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8" name="Rounded Rectangle 2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79" name="Rounded Rectangle 2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0" name="Rounded Rectangle 2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1" name="Rounded Rectangle 2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2" name="Rounded Rectangle 2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3" name="Rounded Rectangle 2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4" name="Rounded Rectangle 2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5" name="Rounded Rectangle 2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6" name="Rounded Rectangle 2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7" name="Rounded Rectangle 2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8" name="Rounded Rectangle 2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89" name="Rounded Rectangle 2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0" name="Rounded Rectangle 2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1" name="Rounded Rectangle 2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2" name="Rounded Rectangle 2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3" name="Rounded Rectangle 2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4" name="Rounded Rectangle 2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5" name="Rounded Rectangle 2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6" name="Rounded Rectangle 2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7" name="Rounded Rectangle 2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8" name="Rounded Rectangle 2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899" name="Rounded Rectangle 2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0" name="Rounded Rectangle 2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1" name="Rounded Rectangle 2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2" name="Rounded Rectangle 2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3" name="Rounded Rectangle 2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4" name="Rounded Rectangle 2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5" name="Rounded Rectangle 2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6" name="Rounded Rectangle 2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7" name="Rounded Rectangle 2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8" name="Rounded Rectangle 2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09" name="Rounded Rectangle 2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0" name="Rounded Rectangle 2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1" name="Rounded Rectangle 2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2" name="Rounded Rectangle 2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3" name="Rounded Rectangle 2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4" name="Rounded Rectangle 2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5" name="Rounded Rectangle 2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6" name="Rounded Rectangle 2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7" name="Rounded Rectangle 2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8" name="Rounded Rectangle 2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19" name="Rounded Rectangle 2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0" name="Rounded Rectangle 2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1" name="Rounded Rectangle 2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2" name="Rounded Rectangle 2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3" name="Rounded Rectangle 2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4" name="Rounded Rectangle 2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5" name="Rounded Rectangle 2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6" name="Rounded Rectangle 2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7" name="Rounded Rectangle 2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8" name="Rounded Rectangle 2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29" name="Rounded Rectangle 2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0" name="Rounded Rectangle 2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1" name="Rounded Rectangle 2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2" name="Rounded Rectangle 2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3" name="Rounded Rectangle 2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4" name="Rounded Rectangle 2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5" name="Rounded Rectangle 2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6" name="Rounded Rectangle 2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7" name="Rounded Rectangle 2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8" name="Rounded Rectangle 2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39" name="Rounded Rectangle 2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0" name="Rounded Rectangle 2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1" name="Rounded Rectangle 2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2" name="Rounded Rectangle 2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3" name="Rounded Rectangle 2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4" name="Rounded Rectangle 2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5" name="Rounded Rectangle 2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6" name="Rounded Rectangle 2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7" name="Rounded Rectangle 2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8" name="Rounded Rectangle 2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49" name="Rounded Rectangle 2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0" name="Rounded Rectangle 2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1" name="Rounded Rectangle 2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2" name="Rounded Rectangle 2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3" name="Rounded Rectangle 2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4" name="Rounded Rectangle 2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5" name="Rounded Rectangle 2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6" name="Rounded Rectangle 2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7" name="Rounded Rectangle 2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8" name="Rounded Rectangle 2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59" name="Rounded Rectangle 2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0" name="Rounded Rectangle 2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1" name="Rounded Rectangle 2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2" name="Rounded Rectangle 2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3" name="Rounded Rectangle 2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4" name="Rounded Rectangle 2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5" name="Rounded Rectangle 2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6" name="Rounded Rectangle 2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7" name="Rounded Rectangle 2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8" name="Rounded Rectangle 2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69" name="Rounded Rectangle 2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0" name="Rounded Rectangle 2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1" name="Rounded Rectangle 2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2" name="Rounded Rectangle 2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3" name="Rounded Rectangle 2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4" name="Rounded Rectangle 2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5" name="Rounded Rectangle 2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6" name="Rounded Rectangle 2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7" name="Rounded Rectangle 2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8" name="Rounded Rectangle 2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79" name="Rounded Rectangle 2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0" name="Rounded Rectangle 2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1" name="Rounded Rectangle 2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2" name="Rounded Rectangle 2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3" name="Rounded Rectangle 2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4" name="Rounded Rectangle 2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5" name="Rounded Rectangle 2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6" name="Rounded Rectangle 2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7" name="Rounded Rectangle 2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8" name="Rounded Rectangle 2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89" name="Rounded Rectangle 2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0" name="Rounded Rectangle 2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1" name="Rounded Rectangle 2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2" name="Rounded Rectangle 2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3" name="Rounded Rectangle 2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4" name="Rounded Rectangle 2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5" name="Rounded Rectangle 2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6" name="Rounded Rectangle 2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7" name="Rounded Rectangle 2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8" name="Rounded Rectangle 2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2999" name="Rounded Rectangle 2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0" name="Rounded Rectangle 2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1" name="Rounded Rectangle 3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2" name="Rounded Rectangle 3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3" name="Rounded Rectangle 3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4" name="Rounded Rectangle 3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5" name="Rounded Rectangle 3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6" name="Rounded Rectangle 3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7" name="Rounded Rectangle 3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8" name="Rounded Rectangle 3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09" name="Rounded Rectangle 3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0" name="Rounded Rectangle 3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1" name="Rounded Rectangle 3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2" name="Rounded Rectangle 3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3" name="Rounded Rectangle 3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4" name="Rounded Rectangle 3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5" name="Rounded Rectangle 3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6" name="Rounded Rectangle 3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7" name="Rounded Rectangle 3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8" name="Rounded Rectangle 3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19" name="Rounded Rectangle 3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0" name="Rounded Rectangle 3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1" name="Rounded Rectangle 3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2" name="Rounded Rectangle 3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3" name="Rounded Rectangle 3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4" name="Rounded Rectangle 3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5" name="Rounded Rectangle 3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6" name="Rounded Rectangle 3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7" name="Rounded Rectangle 3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8" name="Rounded Rectangle 3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29" name="Rounded Rectangle 3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0" name="Rounded Rectangle 3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1" name="Rounded Rectangle 3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2" name="Rounded Rectangle 3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3" name="Rounded Rectangle 3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4" name="Rounded Rectangle 3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5" name="Rounded Rectangle 3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6" name="Rounded Rectangle 3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7" name="Rounded Rectangle 3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8" name="Rounded Rectangle 3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39" name="Rounded Rectangle 3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0" name="Rounded Rectangle 3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1" name="Rounded Rectangle 3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2" name="Rounded Rectangle 3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3" name="Rounded Rectangle 3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4" name="Rounded Rectangle 3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5" name="Rounded Rectangle 3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6" name="Rounded Rectangle 3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7" name="Rounded Rectangle 3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8" name="Rounded Rectangle 3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49" name="Rounded Rectangle 3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0" name="Rounded Rectangle 3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1" name="Rounded Rectangle 3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2" name="Rounded Rectangle 3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3" name="Rounded Rectangle 3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4" name="Rounded Rectangle 3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5" name="Rounded Rectangle 3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6" name="Rounded Rectangle 3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7" name="Rounded Rectangle 3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8" name="Rounded Rectangle 3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59" name="Rounded Rectangle 3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0" name="Rounded Rectangle 3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1" name="Rounded Rectangle 3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2" name="Rounded Rectangle 3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3" name="Rounded Rectangle 3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4" name="Rounded Rectangle 3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5" name="Rounded Rectangle 3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6" name="Rounded Rectangle 3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7" name="Rounded Rectangle 3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8" name="Rounded Rectangle 3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69" name="Rounded Rectangle 3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0" name="Rounded Rectangle 3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1" name="Rounded Rectangle 3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2" name="Rounded Rectangle 3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3" name="Rounded Rectangle 3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4" name="Rounded Rectangle 3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5" name="Rounded Rectangle 3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6" name="Rounded Rectangle 3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7" name="Rounded Rectangle 3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8" name="Rounded Rectangle 3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79" name="Rounded Rectangle 3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0" name="Rounded Rectangle 3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1" name="Rounded Rectangle 3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2" name="Rounded Rectangle 3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3" name="Rounded Rectangle 3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4" name="Rounded Rectangle 3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5" name="Rounded Rectangle 3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6" name="Rounded Rectangle 3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7" name="Rounded Rectangle 3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8" name="Rounded Rectangle 3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89" name="Rounded Rectangle 3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0" name="Rounded Rectangle 3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1" name="Rounded Rectangle 3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2" name="Rounded Rectangle 3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3" name="Rounded Rectangle 3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4" name="Rounded Rectangle 3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5" name="Rounded Rectangle 3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6" name="Rounded Rectangle 3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7" name="Rounded Rectangle 3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8" name="Rounded Rectangle 3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099" name="Rounded Rectangle 3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0" name="Rounded Rectangle 3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1" name="Rounded Rectangle 3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2" name="Rounded Rectangle 3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3" name="Rounded Rectangle 3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4" name="Rounded Rectangle 3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5" name="Rounded Rectangle 3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6" name="Rounded Rectangle 3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7" name="Rounded Rectangle 3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8" name="Rounded Rectangle 3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09" name="Rounded Rectangle 3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0" name="Rounded Rectangle 3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1" name="Rounded Rectangle 3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2" name="Rounded Rectangle 3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3" name="Rounded Rectangle 3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4" name="Rounded Rectangle 3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5" name="Rounded Rectangle 3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6" name="Rounded Rectangle 3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7" name="Rounded Rectangle 3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8" name="Rounded Rectangle 3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19" name="Rounded Rectangle 3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0" name="Rounded Rectangle 3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1" name="Rounded Rectangle 3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2" name="Rounded Rectangle 3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3" name="Rounded Rectangle 3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4" name="Rounded Rectangle 3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5" name="Rounded Rectangle 3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6" name="Rounded Rectangle 3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7" name="Rounded Rectangle 3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8" name="Rounded Rectangle 3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29" name="Rounded Rectangle 3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0" name="Rounded Rectangle 3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1" name="Rounded Rectangle 3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2" name="Rounded Rectangle 3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3" name="Rounded Rectangle 3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4" name="Rounded Rectangle 3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5" name="Rounded Rectangle 3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6" name="Rounded Rectangle 3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7" name="Rounded Rectangle 3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8" name="Rounded Rectangle 3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39" name="Rounded Rectangle 3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0" name="Rounded Rectangle 3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1" name="Rounded Rectangle 3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2" name="Rounded Rectangle 3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3" name="Rounded Rectangle 3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4" name="Rounded Rectangle 3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5" name="Rounded Rectangle 3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6" name="Rounded Rectangle 3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7" name="Rounded Rectangle 3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8" name="Rounded Rectangle 3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49" name="Rounded Rectangle 3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0" name="Rounded Rectangle 3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1" name="Rounded Rectangle 3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2" name="Rounded Rectangle 3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3" name="Rounded Rectangle 3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4" name="Rounded Rectangle 3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5" name="Rounded Rectangle 3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6" name="Rounded Rectangle 3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7" name="Rounded Rectangle 3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8" name="Rounded Rectangle 3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59" name="Rounded Rectangle 3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0" name="Rounded Rectangle 3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1" name="Rounded Rectangle 3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2" name="Rounded Rectangle 3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3" name="Rounded Rectangle 3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4" name="Rounded Rectangle 3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5" name="Rounded Rectangle 3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6" name="Rounded Rectangle 3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7" name="Rounded Rectangle 3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8" name="Rounded Rectangle 3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69" name="Rounded Rectangle 3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0" name="Rounded Rectangle 3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1" name="Rounded Rectangle 3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2" name="Rounded Rectangle 3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3" name="Rounded Rectangle 3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4" name="Rounded Rectangle 3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5" name="Rounded Rectangle 3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6" name="Rounded Rectangle 3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7" name="Rounded Rectangle 3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8" name="Rounded Rectangle 3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79" name="Rounded Rectangle 3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0" name="Rounded Rectangle 3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1" name="Rounded Rectangle 3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2" name="Rounded Rectangle 3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3" name="Rounded Rectangle 3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4" name="Rounded Rectangle 3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5" name="Rounded Rectangle 3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6" name="Rounded Rectangle 3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7" name="Rounded Rectangle 3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8" name="Rounded Rectangle 3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89" name="Rounded Rectangle 3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0" name="Rounded Rectangle 3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1" name="Rounded Rectangle 3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2" name="Rounded Rectangle 3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3" name="Rounded Rectangle 3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4" name="Rounded Rectangle 3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5" name="Rounded Rectangle 3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6" name="Rounded Rectangle 3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7" name="Rounded Rectangle 3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8" name="Rounded Rectangle 3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199" name="Rounded Rectangle 3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0" name="Rounded Rectangle 3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1" name="Rounded Rectangle 3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2" name="Rounded Rectangle 3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3" name="Rounded Rectangle 3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4" name="Rounded Rectangle 3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5" name="Rounded Rectangle 3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6" name="Rounded Rectangle 3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7" name="Rounded Rectangle 3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8" name="Rounded Rectangle 3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09" name="Rounded Rectangle 3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0" name="Rounded Rectangle 3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1" name="Rounded Rectangle 3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2" name="Rounded Rectangle 3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3" name="Rounded Rectangle 3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4" name="Rounded Rectangle 3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5" name="Rounded Rectangle 3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6" name="Rounded Rectangle 3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7" name="Rounded Rectangle 3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8" name="Rounded Rectangle 3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19" name="Rounded Rectangle 3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0" name="Rounded Rectangle 3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1" name="Rounded Rectangle 3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2" name="Rounded Rectangle 3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3" name="Rounded Rectangle 3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4" name="Rounded Rectangle 3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5" name="Rounded Rectangle 3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6" name="Rounded Rectangle 3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7" name="Rounded Rectangle 3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8" name="Rounded Rectangle 3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29" name="Rounded Rectangle 3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0" name="Rounded Rectangle 3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1" name="Rounded Rectangle 3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2" name="Rounded Rectangle 3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3" name="Rounded Rectangle 3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4" name="Rounded Rectangle 3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5" name="Rounded Rectangle 3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6" name="Rounded Rectangle 3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7" name="Rounded Rectangle 3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8" name="Rounded Rectangle 3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39" name="Rounded Rectangle 3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0" name="Rounded Rectangle 3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1" name="Rounded Rectangle 3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2" name="Rounded Rectangle 3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3" name="Rounded Rectangle 3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4" name="Rounded Rectangle 3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5" name="Rounded Rectangle 3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6" name="Rounded Rectangle 3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7" name="Rounded Rectangle 3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8" name="Rounded Rectangle 3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49" name="Rounded Rectangle 3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0" name="Rounded Rectangle 3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1" name="Rounded Rectangle 3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2" name="Rounded Rectangle 3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3" name="Rounded Rectangle 3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4" name="Rounded Rectangle 3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5" name="Rounded Rectangle 3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6" name="Rounded Rectangle 3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7" name="Rounded Rectangle 3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8" name="Rounded Rectangle 3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59" name="Rounded Rectangle 3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0" name="Rounded Rectangle 3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1" name="Rounded Rectangle 3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2" name="Rounded Rectangle 3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3" name="Rounded Rectangle 3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4" name="Rounded Rectangle 3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5" name="Rounded Rectangle 3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6" name="Rounded Rectangle 3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7" name="Rounded Rectangle 3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8" name="Rounded Rectangle 3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69" name="Rounded Rectangle 3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0" name="Rounded Rectangle 3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1" name="Rounded Rectangle 3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2" name="Rounded Rectangle 3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3" name="Rounded Rectangle 3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4" name="Rounded Rectangle 3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5" name="Rounded Rectangle 3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6" name="Rounded Rectangle 3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7" name="Rounded Rectangle 3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8" name="Rounded Rectangle 3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79" name="Rounded Rectangle 3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0" name="Rounded Rectangle 3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1" name="Rounded Rectangle 3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2" name="Rounded Rectangle 3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3" name="Rounded Rectangle 3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4" name="Rounded Rectangle 3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5" name="Rounded Rectangle 3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6" name="Rounded Rectangle 3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7" name="Rounded Rectangle 3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8" name="Rounded Rectangle 3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89" name="Rounded Rectangle 3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0" name="Rounded Rectangle 3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1" name="Rounded Rectangle 3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2" name="Rounded Rectangle 3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3" name="Rounded Rectangle 3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4" name="Rounded Rectangle 3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5" name="Rounded Rectangle 3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6" name="Rounded Rectangle 3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7" name="Rounded Rectangle 3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8" name="Rounded Rectangle 3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299" name="Rounded Rectangle 3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0" name="Rounded Rectangle 3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1" name="Rounded Rectangle 3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2" name="Rounded Rectangle 3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3" name="Rounded Rectangle 3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4" name="Rounded Rectangle 3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5" name="Rounded Rectangle 3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6" name="Rounded Rectangle 3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7" name="Rounded Rectangle 3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8" name="Rounded Rectangle 3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09" name="Rounded Rectangle 3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0" name="Rounded Rectangle 3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1" name="Rounded Rectangle 3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2" name="Rounded Rectangle 3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3" name="Rounded Rectangle 3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4" name="Rounded Rectangle 3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5" name="Rounded Rectangle 3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6" name="Rounded Rectangle 3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7" name="Rounded Rectangle 3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8" name="Rounded Rectangle 3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19" name="Rounded Rectangle 3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0" name="Rounded Rectangle 3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1" name="Rounded Rectangle 3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2" name="Rounded Rectangle 3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3" name="Rounded Rectangle 3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4" name="Rounded Rectangle 3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5" name="Rounded Rectangle 3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6" name="Rounded Rectangle 3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7" name="Rounded Rectangle 3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8" name="Rounded Rectangle 3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29" name="Rounded Rectangle 3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0" name="Rounded Rectangle 3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1" name="Rounded Rectangle 3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2" name="Rounded Rectangle 3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3" name="Rounded Rectangle 3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4" name="Rounded Rectangle 3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5" name="Rounded Rectangle 3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6" name="Rounded Rectangle 3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7" name="Rounded Rectangle 3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8" name="Rounded Rectangle 3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39" name="Rounded Rectangle 3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0" name="Rounded Rectangle 3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1" name="Rounded Rectangle 3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2" name="Rounded Rectangle 3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3" name="Rounded Rectangle 3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4" name="Rounded Rectangle 3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5" name="Rounded Rectangle 3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6" name="Rounded Rectangle 3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7" name="Rounded Rectangle 3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8" name="Rounded Rectangle 3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49" name="Rounded Rectangle 3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0" name="Rounded Rectangle 3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1" name="Rounded Rectangle 3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2" name="Rounded Rectangle 3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3" name="Rounded Rectangle 3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4" name="Rounded Rectangle 3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5" name="Rounded Rectangle 3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6" name="Rounded Rectangle 3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7" name="Rounded Rectangle 3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8" name="Rounded Rectangle 3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59" name="Rounded Rectangle 3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0" name="Rounded Rectangle 3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1" name="Rounded Rectangle 3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2" name="Rounded Rectangle 3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3" name="Rounded Rectangle 3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4" name="Rounded Rectangle 3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5" name="Rounded Rectangle 3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6" name="Rounded Rectangle 3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7" name="Rounded Rectangle 3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8" name="Rounded Rectangle 3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69" name="Rounded Rectangle 3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0" name="Rounded Rectangle 3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1" name="Rounded Rectangle 3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2" name="Rounded Rectangle 3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3" name="Rounded Rectangle 3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4" name="Rounded Rectangle 3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5" name="Rounded Rectangle 3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6" name="Rounded Rectangle 3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7" name="Rounded Rectangle 3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8" name="Rounded Rectangle 3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79" name="Rounded Rectangle 3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0" name="Rounded Rectangle 3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1" name="Rounded Rectangle 3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2" name="Rounded Rectangle 3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3" name="Rounded Rectangle 3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4" name="Rounded Rectangle 3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5" name="Rounded Rectangle 3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6" name="Rounded Rectangle 3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7" name="Rounded Rectangle 3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8" name="Rounded Rectangle 3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89" name="Rounded Rectangle 3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0" name="Rounded Rectangle 3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1" name="Rounded Rectangle 3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2" name="Rounded Rectangle 3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3" name="Rounded Rectangle 3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4" name="Rounded Rectangle 3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5" name="Rounded Rectangle 3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6" name="Rounded Rectangle 3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7" name="Rounded Rectangle 3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8" name="Rounded Rectangle 3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399" name="Rounded Rectangle 3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0" name="Rounded Rectangle 3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1" name="Rounded Rectangle 3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2" name="Rounded Rectangle 3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3" name="Rounded Rectangle 3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4" name="Rounded Rectangle 3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5" name="Rounded Rectangle 3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6" name="Rounded Rectangle 3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7" name="Rounded Rectangle 3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8" name="Rounded Rectangle 3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09" name="Rounded Rectangle 3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0" name="Rounded Rectangle 3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1" name="Rounded Rectangle 3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2" name="Rounded Rectangle 3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3" name="Rounded Rectangle 3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4" name="Rounded Rectangle 3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5" name="Rounded Rectangle 3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6" name="Rounded Rectangle 3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7" name="Rounded Rectangle 3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8" name="Rounded Rectangle 3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19" name="Rounded Rectangle 3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0" name="Rounded Rectangle 3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1" name="Rounded Rectangle 3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2" name="Rounded Rectangle 3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3" name="Rounded Rectangle 3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4" name="Rounded Rectangle 3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5" name="Rounded Rectangle 3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6" name="Rounded Rectangle 3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7" name="Rounded Rectangle 3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8" name="Rounded Rectangle 3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29" name="Rounded Rectangle 3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0" name="Rounded Rectangle 3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1" name="Rounded Rectangle 3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2" name="Rounded Rectangle 3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3" name="Rounded Rectangle 3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4" name="Rounded Rectangle 3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5" name="Rounded Rectangle 3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6" name="Rounded Rectangle 3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7" name="Rounded Rectangle 3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8" name="Rounded Rectangle 3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39" name="Rounded Rectangle 3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0" name="Rounded Rectangle 3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1" name="Rounded Rectangle 3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2" name="Rounded Rectangle 3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3" name="Rounded Rectangle 3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4" name="Rounded Rectangle 3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5" name="Rounded Rectangle 3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6" name="Rounded Rectangle 3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7" name="Rounded Rectangle 3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8" name="Rounded Rectangle 3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49" name="Rounded Rectangle 3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0" name="Rounded Rectangle 3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1" name="Rounded Rectangle 3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2" name="Rounded Rectangle 3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3" name="Rounded Rectangle 3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4" name="Rounded Rectangle 3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5" name="Rounded Rectangle 3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6" name="Rounded Rectangle 3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7" name="Rounded Rectangle 3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8" name="Rounded Rectangle 3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59" name="Rounded Rectangle 3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0" name="Rounded Rectangle 3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1" name="Rounded Rectangle 3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2" name="Rounded Rectangle 3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3" name="Rounded Rectangle 3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4" name="Rounded Rectangle 3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5" name="Rounded Rectangle 3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6" name="Rounded Rectangle 3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7" name="Rounded Rectangle 3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8" name="Rounded Rectangle 3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69" name="Rounded Rectangle 3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0" name="Rounded Rectangle 3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1" name="Rounded Rectangle 3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2" name="Rounded Rectangle 3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3" name="Rounded Rectangle 3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4" name="Rounded Rectangle 3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5" name="Rounded Rectangle 3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6" name="Rounded Rectangle 3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7" name="Rounded Rectangle 3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8" name="Rounded Rectangle 3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79" name="Rounded Rectangle 3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0" name="Rounded Rectangle 3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1" name="Rounded Rectangle 3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2" name="Rounded Rectangle 3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3" name="Rounded Rectangle 3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4" name="Rounded Rectangle 3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5" name="Rounded Rectangle 3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6" name="Rounded Rectangle 3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7" name="Rounded Rectangle 3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8" name="Rounded Rectangle 3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89" name="Rounded Rectangle 3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0" name="Rounded Rectangle 3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1" name="Rounded Rectangle 3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2" name="Rounded Rectangle 3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3" name="Rounded Rectangle 3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4" name="Rounded Rectangle 3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5" name="Rounded Rectangle 3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6" name="Rounded Rectangle 3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7" name="Rounded Rectangle 3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8" name="Rounded Rectangle 3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499" name="Rounded Rectangle 3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0" name="Rounded Rectangle 3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1" name="Rounded Rectangle 3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2" name="Rounded Rectangle 3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3" name="Rounded Rectangle 3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4" name="Rounded Rectangle 3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5" name="Rounded Rectangle 3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6" name="Rounded Rectangle 3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7" name="Rounded Rectangle 3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8" name="Rounded Rectangle 3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09" name="Rounded Rectangle 3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0" name="Rounded Rectangle 3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1" name="Rounded Rectangle 3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2" name="Rounded Rectangle 3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3" name="Rounded Rectangle 3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4" name="Rounded Rectangle 3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5" name="Rounded Rectangle 3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6" name="Rounded Rectangle 3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7" name="Rounded Rectangle 3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8" name="Rounded Rectangle 3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19" name="Rounded Rectangle 3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0" name="Rounded Rectangle 3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1" name="Rounded Rectangle 3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2" name="Rounded Rectangle 3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3" name="Rounded Rectangle 3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4" name="Rounded Rectangle 3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5" name="Rounded Rectangle 3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6" name="Rounded Rectangle 3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7" name="Rounded Rectangle 3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8" name="Rounded Rectangle 3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29" name="Rounded Rectangle 3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0" name="Rounded Rectangle 3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1" name="Rounded Rectangle 3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2" name="Rounded Rectangle 3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3" name="Rounded Rectangle 3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4" name="Rounded Rectangle 3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5" name="Rounded Rectangle 3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6" name="Rounded Rectangle 3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7" name="Rounded Rectangle 3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8" name="Rounded Rectangle 3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39" name="Rounded Rectangle 3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0" name="Rounded Rectangle 3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1" name="Rounded Rectangle 3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2" name="Rounded Rectangle 3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3" name="Rounded Rectangle 3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4" name="Rounded Rectangle 3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5" name="Rounded Rectangle 3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6" name="Rounded Rectangle 3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7" name="Rounded Rectangle 3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8" name="Rounded Rectangle 3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49" name="Rounded Rectangle 3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0" name="Rounded Rectangle 3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1" name="Rounded Rectangle 3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2" name="Rounded Rectangle 3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3" name="Rounded Rectangle 3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4" name="Rounded Rectangle 3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5" name="Rounded Rectangle 3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6" name="Rounded Rectangle 3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7" name="Rounded Rectangle 3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8" name="Rounded Rectangle 3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59" name="Rounded Rectangle 3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0" name="Rounded Rectangle 3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1" name="Rounded Rectangle 3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2" name="Rounded Rectangle 3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3" name="Rounded Rectangle 3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4" name="Rounded Rectangle 3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5" name="Rounded Rectangle 3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6" name="Rounded Rectangle 3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7" name="Rounded Rectangle 3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8" name="Rounded Rectangle 3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69" name="Rounded Rectangle 3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0" name="Rounded Rectangle 3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1" name="Rounded Rectangle 3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2" name="Rounded Rectangle 3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3" name="Rounded Rectangle 3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4" name="Rounded Rectangle 3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5" name="Rounded Rectangle 3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6" name="Rounded Rectangle 3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7" name="Rounded Rectangle 3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8" name="Rounded Rectangle 3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79" name="Rounded Rectangle 3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0" name="Rounded Rectangle 3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1" name="Rounded Rectangle 3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2" name="Rounded Rectangle 3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3" name="Rounded Rectangle 3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4" name="Rounded Rectangle 3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5" name="Rounded Rectangle 3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6" name="Rounded Rectangle 3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7" name="Rounded Rectangle 3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8" name="Rounded Rectangle 3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89" name="Rounded Rectangle 3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0" name="Rounded Rectangle 3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1" name="Rounded Rectangle 3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2" name="Rounded Rectangle 3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3" name="Rounded Rectangle 3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4" name="Rounded Rectangle 3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5" name="Rounded Rectangle 3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6" name="Rounded Rectangle 3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7" name="Rounded Rectangle 3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8" name="Rounded Rectangle 3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599" name="Rounded Rectangle 3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0" name="Rounded Rectangle 3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1" name="Rounded Rectangle 3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2" name="Rounded Rectangle 3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3" name="Rounded Rectangle 3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4" name="Rounded Rectangle 3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5" name="Rounded Rectangle 3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6" name="Rounded Rectangle 3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7" name="Rounded Rectangle 3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8" name="Rounded Rectangle 3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09" name="Rounded Rectangle 3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0" name="Rounded Rectangle 3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1" name="Rounded Rectangle 3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2" name="Rounded Rectangle 3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3" name="Rounded Rectangle 3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4" name="Rounded Rectangle 3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5" name="Rounded Rectangle 3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6" name="Rounded Rectangle 3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7" name="Rounded Rectangle 3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8" name="Rounded Rectangle 3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19" name="Rounded Rectangle 3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0" name="Rounded Rectangle 3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1" name="Rounded Rectangle 3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2" name="Rounded Rectangle 3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3" name="Rounded Rectangle 3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4" name="Rounded Rectangle 3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5" name="Rounded Rectangle 3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6" name="Rounded Rectangle 3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7" name="Rounded Rectangle 3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8" name="Rounded Rectangle 3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29" name="Rounded Rectangle 3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0" name="Rounded Rectangle 3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1" name="Rounded Rectangle 3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2" name="Rounded Rectangle 3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3" name="Rounded Rectangle 3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4" name="Rounded Rectangle 3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5" name="Rounded Rectangle 3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6" name="Rounded Rectangle 3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7" name="Rounded Rectangle 3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8" name="Rounded Rectangle 3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39" name="Rounded Rectangle 3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0" name="Rounded Rectangle 3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1" name="Rounded Rectangle 3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2" name="Rounded Rectangle 3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3" name="Rounded Rectangle 3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4" name="Rounded Rectangle 3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5" name="Rounded Rectangle 3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6" name="Rounded Rectangle 3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7" name="Rounded Rectangle 3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8" name="Rounded Rectangle 3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49" name="Rounded Rectangle 3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0" name="Rounded Rectangle 3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1" name="Rounded Rectangle 3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2" name="Rounded Rectangle 3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3" name="Rounded Rectangle 3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4" name="Rounded Rectangle 3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5" name="Rounded Rectangle 3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6" name="Rounded Rectangle 3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7" name="Rounded Rectangle 3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8" name="Rounded Rectangle 3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59" name="Rounded Rectangle 3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0" name="Rounded Rectangle 3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1" name="Rounded Rectangle 3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2" name="Rounded Rectangle 3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3" name="Rounded Rectangle 3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4" name="Rounded Rectangle 3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5" name="Rounded Rectangle 3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6" name="Rounded Rectangle 3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7" name="Rounded Rectangle 3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8" name="Rounded Rectangle 3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69" name="Rounded Rectangle 3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0" name="Rounded Rectangle 3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1" name="Rounded Rectangle 3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2" name="Rounded Rectangle 3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3" name="Rounded Rectangle 3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4" name="Rounded Rectangle 3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5" name="Rounded Rectangle 3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6" name="Rounded Rectangle 3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7" name="Rounded Rectangle 3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8" name="Rounded Rectangle 3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79" name="Rounded Rectangle 3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0" name="Rounded Rectangle 3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1" name="Rounded Rectangle 3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2" name="Rounded Rectangle 3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3" name="Rounded Rectangle 3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4" name="Rounded Rectangle 3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5" name="Rounded Rectangle 3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6" name="Rounded Rectangle 3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7" name="Rounded Rectangle 3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8" name="Rounded Rectangle 3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89" name="Rounded Rectangle 3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0" name="Rounded Rectangle 3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1" name="Rounded Rectangle 3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2" name="Rounded Rectangle 3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3" name="Rounded Rectangle 3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4" name="Rounded Rectangle 3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5" name="Rounded Rectangle 3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6" name="Rounded Rectangle 3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7" name="Rounded Rectangle 3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8" name="Rounded Rectangle 3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699" name="Rounded Rectangle 3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0" name="Rounded Rectangle 3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1" name="Rounded Rectangle 3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2" name="Rounded Rectangle 3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3" name="Rounded Rectangle 3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4" name="Rounded Rectangle 3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5" name="Rounded Rectangle 3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6" name="Rounded Rectangle 3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7" name="Rounded Rectangle 3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8" name="Rounded Rectangle 3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09" name="Rounded Rectangle 3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0" name="Rounded Rectangle 3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1" name="Rounded Rectangle 3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2" name="Rounded Rectangle 3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3" name="Rounded Rectangle 3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4" name="Rounded Rectangle 3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5" name="Rounded Rectangle 3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6" name="Rounded Rectangle 3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7" name="Rounded Rectangle 3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8" name="Rounded Rectangle 3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19" name="Rounded Rectangle 3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0" name="Rounded Rectangle 3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1" name="Rounded Rectangle 3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2" name="Rounded Rectangle 3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3" name="Rounded Rectangle 3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4" name="Rounded Rectangle 3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5" name="Rounded Rectangle 3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6" name="Rounded Rectangle 3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7" name="Rounded Rectangle 3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8" name="Rounded Rectangle 3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29" name="Rounded Rectangle 3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0" name="Rounded Rectangle 3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1" name="Rounded Rectangle 3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2" name="Rounded Rectangle 3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3" name="Rounded Rectangle 3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4" name="Rounded Rectangle 3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5" name="Rounded Rectangle 3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6" name="Rounded Rectangle 3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7" name="Rounded Rectangle 3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8" name="Rounded Rectangle 3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39" name="Rounded Rectangle 3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0" name="Rounded Rectangle 3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1" name="Rounded Rectangle 3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2" name="Rounded Rectangle 3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3" name="Rounded Rectangle 3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4" name="Rounded Rectangle 3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5" name="Rounded Rectangle 3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6" name="Rounded Rectangle 3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7" name="Rounded Rectangle 3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8" name="Rounded Rectangle 3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49" name="Rounded Rectangle 3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0" name="Rounded Rectangle 3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1" name="Rounded Rectangle 3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2" name="Rounded Rectangle 3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3" name="Rounded Rectangle 3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4" name="Rounded Rectangle 3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5" name="Rounded Rectangle 3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6" name="Rounded Rectangle 3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7" name="Rounded Rectangle 3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8" name="Rounded Rectangle 3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59" name="Rounded Rectangle 3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0" name="Rounded Rectangle 3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1" name="Rounded Rectangle 3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2" name="Rounded Rectangle 3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3" name="Rounded Rectangle 3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4" name="Rounded Rectangle 3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5" name="Rounded Rectangle 3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6" name="Rounded Rectangle 3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7" name="Rounded Rectangle 3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8" name="Rounded Rectangle 3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69" name="Rounded Rectangle 3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0" name="Rounded Rectangle 3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1" name="Rounded Rectangle 3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2" name="Rounded Rectangle 3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3" name="Rounded Rectangle 3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4" name="Rounded Rectangle 3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5" name="Rounded Rectangle 3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6" name="Rounded Rectangle 3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7" name="Rounded Rectangle 3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8" name="Rounded Rectangle 3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79" name="Rounded Rectangle 3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0" name="Rounded Rectangle 3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1" name="Rounded Rectangle 3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2" name="Rounded Rectangle 3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3" name="Rounded Rectangle 3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4" name="Rounded Rectangle 3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5" name="Rounded Rectangle 3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6" name="Rounded Rectangle 3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7" name="Rounded Rectangle 3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8" name="Rounded Rectangle 3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89" name="Rounded Rectangle 3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0" name="Rounded Rectangle 3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1" name="Rounded Rectangle 3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2" name="Rounded Rectangle 3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3" name="Rounded Rectangle 3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4" name="Rounded Rectangle 3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5" name="Rounded Rectangle 3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6" name="Rounded Rectangle 3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7" name="Rounded Rectangle 3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8" name="Rounded Rectangle 3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799" name="Rounded Rectangle 3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0" name="Rounded Rectangle 3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1" name="Rounded Rectangle 3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2" name="Rounded Rectangle 3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3" name="Rounded Rectangle 3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4" name="Rounded Rectangle 3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5" name="Rounded Rectangle 3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6" name="Rounded Rectangle 3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7" name="Rounded Rectangle 3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8" name="Rounded Rectangle 3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09" name="Rounded Rectangle 3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0" name="Rounded Rectangle 3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1" name="Rounded Rectangle 3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2" name="Rounded Rectangle 3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3" name="Rounded Rectangle 3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4" name="Rounded Rectangle 3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5" name="Rounded Rectangle 3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6" name="Rounded Rectangle 3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7" name="Rounded Rectangle 3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8" name="Rounded Rectangle 3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19" name="Rounded Rectangle 3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0" name="Rounded Rectangle 3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1" name="Rounded Rectangle 3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2" name="Rounded Rectangle 3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3" name="Rounded Rectangle 3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4" name="Rounded Rectangle 3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5" name="Rounded Rectangle 3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6" name="Rounded Rectangle 3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7" name="Rounded Rectangle 3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8" name="Rounded Rectangle 3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29" name="Rounded Rectangle 3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0" name="Rounded Rectangle 3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1" name="Rounded Rectangle 3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2" name="Rounded Rectangle 3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3" name="Rounded Rectangle 3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4" name="Rounded Rectangle 3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5" name="Rounded Rectangle 3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6" name="Rounded Rectangle 3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7" name="Rounded Rectangle 3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8" name="Rounded Rectangle 3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39" name="Rounded Rectangle 3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0" name="Rounded Rectangle 3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1" name="Rounded Rectangle 3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2" name="Rounded Rectangle 3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3" name="Rounded Rectangle 3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4" name="Rounded Rectangle 3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5" name="Rounded Rectangle 3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6" name="Rounded Rectangle 3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7" name="Rounded Rectangle 3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8" name="Rounded Rectangle 3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49" name="Rounded Rectangle 3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0" name="Rounded Rectangle 3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1" name="Rounded Rectangle 3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2" name="Rounded Rectangle 3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3" name="Rounded Rectangle 3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4" name="Rounded Rectangle 3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5" name="Rounded Rectangle 3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6" name="Rounded Rectangle 3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7" name="Rounded Rectangle 3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8" name="Rounded Rectangle 3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59" name="Rounded Rectangle 3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0" name="Rounded Rectangle 3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1" name="Rounded Rectangle 3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2" name="Rounded Rectangle 3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3" name="Rounded Rectangle 3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4" name="Rounded Rectangle 3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5" name="Rounded Rectangle 3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6" name="Rounded Rectangle 3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7" name="Rounded Rectangle 3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8" name="Rounded Rectangle 3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69" name="Rounded Rectangle 3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0" name="Rounded Rectangle 3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1" name="Rounded Rectangle 3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2" name="Rounded Rectangle 3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3" name="Rounded Rectangle 3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4" name="Rounded Rectangle 3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5" name="Rounded Rectangle 3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6" name="Rounded Rectangle 3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7" name="Rounded Rectangle 3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8" name="Rounded Rectangle 3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79" name="Rounded Rectangle 3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0" name="Rounded Rectangle 3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1" name="Rounded Rectangle 3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2" name="Rounded Rectangle 3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3" name="Rounded Rectangle 3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4" name="Rounded Rectangle 3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5" name="Rounded Rectangle 3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6" name="Rounded Rectangle 3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7" name="Rounded Rectangle 3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8" name="Rounded Rectangle 3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89" name="Rounded Rectangle 3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0" name="Rounded Rectangle 3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1" name="Rounded Rectangle 3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2" name="Rounded Rectangle 3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3" name="Rounded Rectangle 3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4" name="Rounded Rectangle 3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5" name="Rounded Rectangle 3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6" name="Rounded Rectangle 3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7" name="Rounded Rectangle 3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8" name="Rounded Rectangle 3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899" name="Rounded Rectangle 3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0" name="Rounded Rectangle 3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1" name="Rounded Rectangle 3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2" name="Rounded Rectangle 3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3" name="Rounded Rectangle 3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4" name="Rounded Rectangle 3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5" name="Rounded Rectangle 3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6" name="Rounded Rectangle 3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7" name="Rounded Rectangle 3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8" name="Rounded Rectangle 3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09" name="Rounded Rectangle 3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0" name="Rounded Rectangle 3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1" name="Rounded Rectangle 3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2" name="Rounded Rectangle 3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3" name="Rounded Rectangle 3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4" name="Rounded Rectangle 3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5" name="Rounded Rectangle 3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6" name="Rounded Rectangle 3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7" name="Rounded Rectangle 3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8" name="Rounded Rectangle 3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19" name="Rounded Rectangle 3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0" name="Rounded Rectangle 3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1" name="Rounded Rectangle 3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2" name="Rounded Rectangle 3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3" name="Rounded Rectangle 3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4" name="Rounded Rectangle 3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5" name="Rounded Rectangle 3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6" name="Rounded Rectangle 3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7" name="Rounded Rectangle 3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8" name="Rounded Rectangle 3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29" name="Rounded Rectangle 3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0" name="Rounded Rectangle 3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1" name="Rounded Rectangle 3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2" name="Rounded Rectangle 3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3" name="Rounded Rectangle 3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4" name="Rounded Rectangle 3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5" name="Rounded Rectangle 3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6" name="Rounded Rectangle 3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7" name="Rounded Rectangle 3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8" name="Rounded Rectangle 3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39" name="Rounded Rectangle 3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0" name="Rounded Rectangle 3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1" name="Rounded Rectangle 3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2" name="Rounded Rectangle 3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3" name="Rounded Rectangle 3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4" name="Rounded Rectangle 3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5" name="Rounded Rectangle 3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6" name="Rounded Rectangle 3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7" name="Rounded Rectangle 3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8" name="Rounded Rectangle 3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49" name="Rounded Rectangle 3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0" name="Rounded Rectangle 3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1" name="Rounded Rectangle 3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2" name="Rounded Rectangle 3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3" name="Rounded Rectangle 3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4" name="Rounded Rectangle 3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5" name="Rounded Rectangle 3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6" name="Rounded Rectangle 3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7" name="Rounded Rectangle 3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8" name="Rounded Rectangle 3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59" name="Rounded Rectangle 3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0" name="Rounded Rectangle 3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1" name="Rounded Rectangle 3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2" name="Rounded Rectangle 3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3" name="Rounded Rectangle 3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4" name="Rounded Rectangle 3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5" name="Rounded Rectangle 3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6" name="Rounded Rectangle 3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7" name="Rounded Rectangle 3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8" name="Rounded Rectangle 3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69" name="Rounded Rectangle 3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0" name="Rounded Rectangle 3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1" name="Rounded Rectangle 3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2" name="Rounded Rectangle 3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3" name="Rounded Rectangle 3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4" name="Rounded Rectangle 3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5" name="Rounded Rectangle 3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6" name="Rounded Rectangle 3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7" name="Rounded Rectangle 3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8" name="Rounded Rectangle 3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79" name="Rounded Rectangle 3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0" name="Rounded Rectangle 3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1" name="Rounded Rectangle 3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2" name="Rounded Rectangle 3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3" name="Rounded Rectangle 3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4" name="Rounded Rectangle 3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5" name="Rounded Rectangle 3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6" name="Rounded Rectangle 3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7" name="Rounded Rectangle 3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8" name="Rounded Rectangle 3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89" name="Rounded Rectangle 3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0" name="Rounded Rectangle 3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1" name="Rounded Rectangle 3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2" name="Rounded Rectangle 3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3" name="Rounded Rectangle 3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4" name="Rounded Rectangle 3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5" name="Rounded Rectangle 3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6" name="Rounded Rectangle 3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7" name="Rounded Rectangle 3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8" name="Rounded Rectangle 3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3999" name="Rounded Rectangle 3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0" name="Rounded Rectangle 3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1" name="Rounded Rectangle 4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2" name="Rounded Rectangle 4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3" name="Rounded Rectangle 4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4" name="Rounded Rectangle 4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5" name="Rounded Rectangle 4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6" name="Rounded Rectangle 4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7" name="Rounded Rectangle 4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8" name="Rounded Rectangle 4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09" name="Rounded Rectangle 4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0" name="Rounded Rectangle 4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1" name="Rounded Rectangle 4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2" name="Rounded Rectangle 4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3" name="Rounded Rectangle 4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4" name="Rounded Rectangle 4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5" name="Rounded Rectangle 4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6" name="Rounded Rectangle 4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7" name="Rounded Rectangle 4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8" name="Rounded Rectangle 4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19" name="Rounded Rectangle 4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0" name="Rounded Rectangle 4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1" name="Rounded Rectangle 4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2" name="Rounded Rectangle 4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3" name="Rounded Rectangle 4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4" name="Rounded Rectangle 4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5" name="Rounded Rectangle 4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6" name="Rounded Rectangle 4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7" name="Rounded Rectangle 4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8" name="Rounded Rectangle 4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29" name="Rounded Rectangle 4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0" name="Rounded Rectangle 4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1" name="Rounded Rectangle 4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2" name="Rounded Rectangle 4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3" name="Rounded Rectangle 4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4" name="Rounded Rectangle 4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5" name="Rounded Rectangle 4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6" name="Rounded Rectangle 4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7" name="Rounded Rectangle 4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8" name="Rounded Rectangle 4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39" name="Rounded Rectangle 4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0" name="Rounded Rectangle 4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1" name="Rounded Rectangle 4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2" name="Rounded Rectangle 4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3" name="Rounded Rectangle 4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4" name="Rounded Rectangle 4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5" name="Rounded Rectangle 4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6" name="Rounded Rectangle 4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7" name="Rounded Rectangle 4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8" name="Rounded Rectangle 4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49" name="Rounded Rectangle 4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0" name="Rounded Rectangle 4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1" name="Rounded Rectangle 4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2" name="Rounded Rectangle 4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3" name="Rounded Rectangle 4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4" name="Rounded Rectangle 4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5" name="Rounded Rectangle 4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6" name="Rounded Rectangle 4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7" name="Rounded Rectangle 4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8" name="Rounded Rectangle 4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59" name="Rounded Rectangle 4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0" name="Rounded Rectangle 4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1" name="Rounded Rectangle 4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2" name="Rounded Rectangle 4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3" name="Rounded Rectangle 4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4" name="Rounded Rectangle 4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5" name="Rounded Rectangle 4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6" name="Rounded Rectangle 4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7" name="Rounded Rectangle 4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8" name="Rounded Rectangle 4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69" name="Rounded Rectangle 4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0" name="Rounded Rectangle 4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1" name="Rounded Rectangle 4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2" name="Rounded Rectangle 4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3" name="Rounded Rectangle 4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4" name="Rounded Rectangle 4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5" name="Rounded Rectangle 4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6" name="Rounded Rectangle 4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7" name="Rounded Rectangle 4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8" name="Rounded Rectangle 4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79" name="Rounded Rectangle 4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0" name="Rounded Rectangle 4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1" name="Rounded Rectangle 4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2" name="Rounded Rectangle 4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3" name="Rounded Rectangle 4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4" name="Rounded Rectangle 4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5" name="Rounded Rectangle 4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6" name="Rounded Rectangle 4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7" name="Rounded Rectangle 4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8" name="Rounded Rectangle 4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89" name="Rounded Rectangle 4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0" name="Rounded Rectangle 4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1" name="Rounded Rectangle 4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2" name="Rounded Rectangle 4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3" name="Rounded Rectangle 4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4" name="Rounded Rectangle 4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5" name="Rounded Rectangle 4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6" name="Rounded Rectangle 4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7" name="Rounded Rectangle 4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8" name="Rounded Rectangle 4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099" name="Rounded Rectangle 4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0" name="Rounded Rectangle 4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1" name="Rounded Rectangle 4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2" name="Rounded Rectangle 4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3" name="Rounded Rectangle 4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4" name="Rounded Rectangle 4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5" name="Rounded Rectangle 4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6" name="Rounded Rectangle 4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7" name="Rounded Rectangle 4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8" name="Rounded Rectangle 4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09" name="Rounded Rectangle 4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0" name="Rounded Rectangle 4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1" name="Rounded Rectangle 4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2" name="Rounded Rectangle 4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3" name="Rounded Rectangle 4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4" name="Rounded Rectangle 4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5" name="Rounded Rectangle 4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6" name="Rounded Rectangle 4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7" name="Rounded Rectangle 4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8" name="Rounded Rectangle 4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19" name="Rounded Rectangle 4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0" name="Rounded Rectangle 4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1" name="Rounded Rectangle 4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2" name="Rounded Rectangle 4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3" name="Rounded Rectangle 4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4" name="Rounded Rectangle 4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5" name="Rounded Rectangle 4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6" name="Rounded Rectangle 4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7" name="Rounded Rectangle 4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8" name="Rounded Rectangle 4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29" name="Rounded Rectangle 4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0" name="Rounded Rectangle 4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1" name="Rounded Rectangle 4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2" name="Rounded Rectangle 4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3" name="Rounded Rectangle 4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4" name="Rounded Rectangle 4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5" name="Rounded Rectangle 4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6" name="Rounded Rectangle 4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7" name="Rounded Rectangle 4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8" name="Rounded Rectangle 4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39" name="Rounded Rectangle 4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0" name="Rounded Rectangle 4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1" name="Rounded Rectangle 4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2" name="Rounded Rectangle 4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3" name="Rounded Rectangle 4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4" name="Rounded Rectangle 4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5" name="Rounded Rectangle 4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6" name="Rounded Rectangle 4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7" name="Rounded Rectangle 4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8" name="Rounded Rectangle 4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49" name="Rounded Rectangle 4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0" name="Rounded Rectangle 4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1" name="Rounded Rectangle 4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2" name="Rounded Rectangle 4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3" name="Rounded Rectangle 4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4" name="Rounded Rectangle 4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5" name="Rounded Rectangle 4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6" name="Rounded Rectangle 4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7" name="Rounded Rectangle 4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8" name="Rounded Rectangle 4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59" name="Rounded Rectangle 4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0" name="Rounded Rectangle 4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1" name="Rounded Rectangle 4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2" name="Rounded Rectangle 4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3" name="Rounded Rectangle 4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4" name="Rounded Rectangle 4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5" name="Rounded Rectangle 4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6" name="Rounded Rectangle 4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7" name="Rounded Rectangle 4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8" name="Rounded Rectangle 4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69" name="Rounded Rectangle 4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0" name="Rounded Rectangle 4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1" name="Rounded Rectangle 4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2" name="Rounded Rectangle 4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3" name="Rounded Rectangle 4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4" name="Rounded Rectangle 4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5" name="Rounded Rectangle 4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6" name="Rounded Rectangle 4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7" name="Rounded Rectangle 4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8" name="Rounded Rectangle 4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79" name="Rounded Rectangle 4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0" name="Rounded Rectangle 4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1" name="Rounded Rectangle 4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2" name="Rounded Rectangle 4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3" name="Rounded Rectangle 4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4" name="Rounded Rectangle 4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5" name="Rounded Rectangle 4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6" name="Rounded Rectangle 4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7" name="Rounded Rectangle 4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8" name="Rounded Rectangle 4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89" name="Rounded Rectangle 4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0" name="Rounded Rectangle 4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1" name="Rounded Rectangle 4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2" name="Rounded Rectangle 4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3" name="Rounded Rectangle 4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4" name="Rounded Rectangle 4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5" name="Rounded Rectangle 4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6" name="Rounded Rectangle 4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7" name="Rounded Rectangle 4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8" name="Rounded Rectangle 4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199" name="Rounded Rectangle 4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0" name="Rounded Rectangle 4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1" name="Rounded Rectangle 4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2" name="Rounded Rectangle 4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3" name="Rounded Rectangle 4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4" name="Rounded Rectangle 4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5" name="Rounded Rectangle 4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6" name="Rounded Rectangle 4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7" name="Rounded Rectangle 4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8" name="Rounded Rectangle 4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09" name="Rounded Rectangle 4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0" name="Rounded Rectangle 4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1" name="Rounded Rectangle 4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2" name="Rounded Rectangle 4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3" name="Rounded Rectangle 4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4" name="Rounded Rectangle 4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5" name="Rounded Rectangle 4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6" name="Rounded Rectangle 4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7" name="Rounded Rectangle 4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8" name="Rounded Rectangle 4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19" name="Rounded Rectangle 4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0" name="Rounded Rectangle 4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1" name="Rounded Rectangle 4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2" name="Rounded Rectangle 4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3" name="Rounded Rectangle 4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4" name="Rounded Rectangle 4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5" name="Rounded Rectangle 4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6" name="Rounded Rectangle 4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7" name="Rounded Rectangle 4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8" name="Rounded Rectangle 4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29" name="Rounded Rectangle 4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0" name="Rounded Rectangle 4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1" name="Rounded Rectangle 4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2" name="Rounded Rectangle 4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3" name="Rounded Rectangle 4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4" name="Rounded Rectangle 4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5" name="Rounded Rectangle 4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6" name="Rounded Rectangle 4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7" name="Rounded Rectangle 4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8" name="Rounded Rectangle 4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39" name="Rounded Rectangle 4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0" name="Rounded Rectangle 4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1" name="Rounded Rectangle 4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2" name="Rounded Rectangle 4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3" name="Rounded Rectangle 4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4" name="Rounded Rectangle 4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5" name="Rounded Rectangle 4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6" name="Rounded Rectangle 4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7" name="Rounded Rectangle 4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8" name="Rounded Rectangle 4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49" name="Rounded Rectangle 4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0" name="Rounded Rectangle 4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1" name="Rounded Rectangle 4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2" name="Rounded Rectangle 4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3" name="Rounded Rectangle 4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4" name="Rounded Rectangle 4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5" name="Rounded Rectangle 4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6" name="Rounded Rectangle 4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7" name="Rounded Rectangle 4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8" name="Rounded Rectangle 4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59" name="Rounded Rectangle 4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0" name="Rounded Rectangle 4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1" name="Rounded Rectangle 4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2" name="Rounded Rectangle 4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3" name="Rounded Rectangle 4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4" name="Rounded Rectangle 4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5" name="Rounded Rectangle 4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6" name="Rounded Rectangle 4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7" name="Rounded Rectangle 4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8" name="Rounded Rectangle 4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69" name="Rounded Rectangle 4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0" name="Rounded Rectangle 4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1" name="Rounded Rectangle 4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2" name="Rounded Rectangle 4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3" name="Rounded Rectangle 4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4" name="Rounded Rectangle 4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5" name="Rounded Rectangle 4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6" name="Rounded Rectangle 4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7" name="Rounded Rectangle 4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8" name="Rounded Rectangle 4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79" name="Rounded Rectangle 4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0" name="Rounded Rectangle 4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1" name="Rounded Rectangle 4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2" name="Rounded Rectangle 4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3" name="Rounded Rectangle 4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4" name="Rounded Rectangle 4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5" name="Rounded Rectangle 4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6" name="Rounded Rectangle 4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7" name="Rounded Rectangle 4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8" name="Rounded Rectangle 4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89" name="Rounded Rectangle 4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0" name="Rounded Rectangle 4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1" name="Rounded Rectangle 4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2" name="Rounded Rectangle 4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3" name="Rounded Rectangle 4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4" name="Rounded Rectangle 4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5" name="Rounded Rectangle 4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6" name="Rounded Rectangle 4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7" name="Rounded Rectangle 4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8" name="Rounded Rectangle 4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299" name="Rounded Rectangle 4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0" name="Rounded Rectangle 4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1" name="Rounded Rectangle 4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2" name="Rounded Rectangle 4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3" name="Rounded Rectangle 4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4" name="Rounded Rectangle 4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5" name="Rounded Rectangle 4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6" name="Rounded Rectangle 4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7" name="Rounded Rectangle 4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8" name="Rounded Rectangle 4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09" name="Rounded Rectangle 4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0" name="Rounded Rectangle 4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1" name="Rounded Rectangle 4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2" name="Rounded Rectangle 4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3" name="Rounded Rectangle 4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4" name="Rounded Rectangle 4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5" name="Rounded Rectangle 4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6" name="Rounded Rectangle 4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7" name="Rounded Rectangle 4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8" name="Rounded Rectangle 4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19" name="Rounded Rectangle 4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0" name="Rounded Rectangle 4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1" name="Rounded Rectangle 4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2" name="Rounded Rectangle 4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3" name="Rounded Rectangle 4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4" name="Rounded Rectangle 4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5" name="Rounded Rectangle 4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6" name="Rounded Rectangle 4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7" name="Rounded Rectangle 4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8" name="Rounded Rectangle 4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29" name="Rounded Rectangle 4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0" name="Rounded Rectangle 4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1" name="Rounded Rectangle 4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2" name="Rounded Rectangle 4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3" name="Rounded Rectangle 4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4" name="Rounded Rectangle 4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5" name="Rounded Rectangle 4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6" name="Rounded Rectangle 4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7" name="Rounded Rectangle 4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8" name="Rounded Rectangle 4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39" name="Rounded Rectangle 4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0" name="Rounded Rectangle 4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1" name="Rounded Rectangle 4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2" name="Rounded Rectangle 4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3" name="Rounded Rectangle 4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4" name="Rounded Rectangle 4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5" name="Rounded Rectangle 4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6" name="Rounded Rectangle 4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7" name="Rounded Rectangle 4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8" name="Rounded Rectangle 4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49" name="Rounded Rectangle 4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0" name="Rounded Rectangle 4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1" name="Rounded Rectangle 4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2" name="Rounded Rectangle 4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3" name="Rounded Rectangle 4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4" name="Rounded Rectangle 4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5" name="Rounded Rectangle 4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6" name="Rounded Rectangle 4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7" name="Rounded Rectangle 4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8" name="Rounded Rectangle 4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59" name="Rounded Rectangle 4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0" name="Rounded Rectangle 4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1" name="Rounded Rectangle 4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2" name="Rounded Rectangle 4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3" name="Rounded Rectangle 4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4" name="Rounded Rectangle 4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5" name="Rounded Rectangle 4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6" name="Rounded Rectangle 4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7" name="Rounded Rectangle 4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8" name="Rounded Rectangle 4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69" name="Rounded Rectangle 4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0" name="Rounded Rectangle 4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1" name="Rounded Rectangle 4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2" name="Rounded Rectangle 4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3" name="Rounded Rectangle 4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4" name="Rounded Rectangle 4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5" name="Rounded Rectangle 4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6" name="Rounded Rectangle 4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7" name="Rounded Rectangle 4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8" name="Rounded Rectangle 4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79" name="Rounded Rectangle 4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0" name="Rounded Rectangle 4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1" name="Rounded Rectangle 4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2" name="Rounded Rectangle 4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3" name="Rounded Rectangle 4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4" name="Rounded Rectangle 4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5" name="Rounded Rectangle 4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6" name="Rounded Rectangle 4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7" name="Rounded Rectangle 4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8" name="Rounded Rectangle 4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89" name="Rounded Rectangle 4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0" name="Rounded Rectangle 4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1" name="Rounded Rectangle 4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2" name="Rounded Rectangle 4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3" name="Rounded Rectangle 4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4" name="Rounded Rectangle 4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5" name="Rounded Rectangle 4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6" name="Rounded Rectangle 4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7" name="Rounded Rectangle 4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8" name="Rounded Rectangle 4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399" name="Rounded Rectangle 4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0" name="Rounded Rectangle 4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1" name="Rounded Rectangle 4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2" name="Rounded Rectangle 4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3" name="Rounded Rectangle 4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4" name="Rounded Rectangle 4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5" name="Rounded Rectangle 4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6" name="Rounded Rectangle 4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7" name="Rounded Rectangle 4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8" name="Rounded Rectangle 4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09" name="Rounded Rectangle 4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0" name="Rounded Rectangle 4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1" name="Rounded Rectangle 4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2" name="Rounded Rectangle 4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3" name="Rounded Rectangle 4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4" name="Rounded Rectangle 4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5" name="Rounded Rectangle 4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6" name="Rounded Rectangle 4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7" name="Rounded Rectangle 4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8" name="Rounded Rectangle 4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19" name="Rounded Rectangle 4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0" name="Rounded Rectangle 4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1" name="Rounded Rectangle 4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2" name="Rounded Rectangle 4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3" name="Rounded Rectangle 4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4" name="Rounded Rectangle 4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5" name="Rounded Rectangle 4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6" name="Rounded Rectangle 4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7" name="Rounded Rectangle 4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8" name="Rounded Rectangle 4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29" name="Rounded Rectangle 4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0" name="Rounded Rectangle 4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1" name="Rounded Rectangle 4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2" name="Rounded Rectangle 4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3" name="Rounded Rectangle 4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4" name="Rounded Rectangle 4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5" name="Rounded Rectangle 4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6" name="Rounded Rectangle 4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7" name="Rounded Rectangle 4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8" name="Rounded Rectangle 4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39" name="Rounded Rectangle 4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0" name="Rounded Rectangle 4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1" name="Rounded Rectangle 4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2" name="Rounded Rectangle 4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3" name="Rounded Rectangle 4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4" name="Rounded Rectangle 4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5" name="Rounded Rectangle 4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6" name="Rounded Rectangle 4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7" name="Rounded Rectangle 4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8" name="Rounded Rectangle 4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49" name="Rounded Rectangle 4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0" name="Rounded Rectangle 4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1" name="Rounded Rectangle 4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2" name="Rounded Rectangle 4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3" name="Rounded Rectangle 4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4" name="Rounded Rectangle 4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5" name="Rounded Rectangle 4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6" name="Rounded Rectangle 4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7" name="Rounded Rectangle 4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8" name="Rounded Rectangle 4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59" name="Rounded Rectangle 4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0" name="Rounded Rectangle 4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1" name="Rounded Rectangle 4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2" name="Rounded Rectangle 4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3" name="Rounded Rectangle 4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4" name="Rounded Rectangle 4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5" name="Rounded Rectangle 4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6" name="Rounded Rectangle 4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7" name="Rounded Rectangle 4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8" name="Rounded Rectangle 4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69" name="Rounded Rectangle 4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0" name="Rounded Rectangle 4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1" name="Rounded Rectangle 4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2" name="Rounded Rectangle 4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3" name="Rounded Rectangle 4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4" name="Rounded Rectangle 4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5" name="Rounded Rectangle 4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6" name="Rounded Rectangle 4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7" name="Rounded Rectangle 4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8" name="Rounded Rectangle 4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79" name="Rounded Rectangle 4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0" name="Rounded Rectangle 4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1" name="Rounded Rectangle 4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2" name="Rounded Rectangle 4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3" name="Rounded Rectangle 4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4" name="Rounded Rectangle 4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5" name="Rounded Rectangle 4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6" name="Rounded Rectangle 4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7" name="Rounded Rectangle 4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8" name="Rounded Rectangle 4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89" name="Rounded Rectangle 4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0" name="Rounded Rectangle 4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1" name="Rounded Rectangle 4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2" name="Rounded Rectangle 4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3" name="Rounded Rectangle 4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4" name="Rounded Rectangle 4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5" name="Rounded Rectangle 4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6" name="Rounded Rectangle 4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7" name="Rounded Rectangle 4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8" name="Rounded Rectangle 4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499" name="Rounded Rectangle 4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0" name="Rounded Rectangle 4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1" name="Rounded Rectangle 4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2" name="Rounded Rectangle 4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3" name="Rounded Rectangle 4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4" name="Rounded Rectangle 4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5" name="Rounded Rectangle 4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6" name="Rounded Rectangle 4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7" name="Rounded Rectangle 4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8" name="Rounded Rectangle 4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09" name="Rounded Rectangle 4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0" name="Rounded Rectangle 4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1" name="Rounded Rectangle 4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2" name="Rounded Rectangle 4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3" name="Rounded Rectangle 4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4" name="Rounded Rectangle 4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5" name="Rounded Rectangle 4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6" name="Rounded Rectangle 4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7" name="Rounded Rectangle 4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8" name="Rounded Rectangle 4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19" name="Rounded Rectangle 4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0" name="Rounded Rectangle 4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1" name="Rounded Rectangle 4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2" name="Rounded Rectangle 4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3" name="Rounded Rectangle 4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4" name="Rounded Rectangle 4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5" name="Rounded Rectangle 4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6" name="Rounded Rectangle 4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7" name="Rounded Rectangle 4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8" name="Rounded Rectangle 4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29" name="Rounded Rectangle 4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0" name="Rounded Rectangle 4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1" name="Rounded Rectangle 4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2" name="Rounded Rectangle 4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3" name="Rounded Rectangle 4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4" name="Rounded Rectangle 4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5" name="Rounded Rectangle 4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6" name="Rounded Rectangle 4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7" name="Rounded Rectangle 4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8" name="Rounded Rectangle 4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39" name="Rounded Rectangle 4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0" name="Rounded Rectangle 4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1" name="Rounded Rectangle 4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2" name="Rounded Rectangle 4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3" name="Rounded Rectangle 4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4" name="Rounded Rectangle 4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5" name="Rounded Rectangle 4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6" name="Rounded Rectangle 4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7" name="Rounded Rectangle 4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8" name="Rounded Rectangle 4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49" name="Rounded Rectangle 4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0" name="Rounded Rectangle 4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1" name="Rounded Rectangle 4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2" name="Rounded Rectangle 4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3" name="Rounded Rectangle 4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4" name="Rounded Rectangle 4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5" name="Rounded Rectangle 4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6" name="Rounded Rectangle 4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7" name="Rounded Rectangle 4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8" name="Rounded Rectangle 4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59" name="Rounded Rectangle 4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0" name="Rounded Rectangle 4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1" name="Rounded Rectangle 4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2" name="Rounded Rectangle 4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3" name="Rounded Rectangle 4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4" name="Rounded Rectangle 4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5" name="Rounded Rectangle 4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6" name="Rounded Rectangle 4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7" name="Rounded Rectangle 4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8" name="Rounded Rectangle 4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69" name="Rounded Rectangle 4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0" name="Rounded Rectangle 4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1" name="Rounded Rectangle 4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2" name="Rounded Rectangle 4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3" name="Rounded Rectangle 4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4" name="Rounded Rectangle 4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5" name="Rounded Rectangle 4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6" name="Rounded Rectangle 4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7" name="Rounded Rectangle 4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8" name="Rounded Rectangle 4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79" name="Rounded Rectangle 4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0" name="Rounded Rectangle 4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1" name="Rounded Rectangle 4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2" name="Rounded Rectangle 4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3" name="Rounded Rectangle 4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4" name="Rounded Rectangle 4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5" name="Rounded Rectangle 4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6" name="Rounded Rectangle 4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7" name="Rounded Rectangle 4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8" name="Rounded Rectangle 4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89" name="Rounded Rectangle 4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0" name="Rounded Rectangle 4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1" name="Rounded Rectangle 4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2" name="Rounded Rectangle 4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3" name="Rounded Rectangle 4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4" name="Rounded Rectangle 4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5" name="Rounded Rectangle 4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6" name="Rounded Rectangle 4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7" name="Rounded Rectangle 4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8" name="Rounded Rectangle 4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599" name="Rounded Rectangle 4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0" name="Rounded Rectangle 4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1" name="Rounded Rectangle 4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2" name="Rounded Rectangle 4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3" name="Rounded Rectangle 4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4" name="Rounded Rectangle 4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5" name="Rounded Rectangle 4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6" name="Rounded Rectangle 4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7" name="Rounded Rectangle 4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8" name="Rounded Rectangle 4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09" name="Rounded Rectangle 4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0" name="Rounded Rectangle 4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1" name="Rounded Rectangle 4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2" name="Rounded Rectangle 4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3" name="Rounded Rectangle 4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4" name="Rounded Rectangle 4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5" name="Rounded Rectangle 4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6" name="Rounded Rectangle 4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7" name="Rounded Rectangle 4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8" name="Rounded Rectangle 4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19" name="Rounded Rectangle 4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0" name="Rounded Rectangle 4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1" name="Rounded Rectangle 4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2" name="Rounded Rectangle 4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3" name="Rounded Rectangle 4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4" name="Rounded Rectangle 4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5" name="Rounded Rectangle 4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6" name="Rounded Rectangle 4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7" name="Rounded Rectangle 4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8" name="Rounded Rectangle 4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29" name="Rounded Rectangle 4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0" name="Rounded Rectangle 4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1" name="Rounded Rectangle 4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2" name="Rounded Rectangle 4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3" name="Rounded Rectangle 4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4" name="Rounded Rectangle 4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5" name="Rounded Rectangle 4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6" name="Rounded Rectangle 4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7" name="Rounded Rectangle 4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8" name="Rounded Rectangle 4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39" name="Rounded Rectangle 4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0" name="Rounded Rectangle 4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1" name="Rounded Rectangle 4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2" name="Rounded Rectangle 4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3" name="Rounded Rectangle 4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4" name="Rounded Rectangle 4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5" name="Rounded Rectangle 4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6" name="Rounded Rectangle 4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7" name="Rounded Rectangle 4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8" name="Rounded Rectangle 4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49" name="Rounded Rectangle 4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0" name="Rounded Rectangle 4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1" name="Rounded Rectangle 4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2" name="Rounded Rectangle 4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3" name="Rounded Rectangle 4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4" name="Rounded Rectangle 4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5" name="Rounded Rectangle 4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6" name="Rounded Rectangle 4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7" name="Rounded Rectangle 4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8" name="Rounded Rectangle 4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59" name="Rounded Rectangle 4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0" name="Rounded Rectangle 4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1" name="Rounded Rectangle 4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2" name="Rounded Rectangle 4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3" name="Rounded Rectangle 4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4" name="Rounded Rectangle 4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5" name="Rounded Rectangle 4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6" name="Rounded Rectangle 4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7" name="Rounded Rectangle 4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8" name="Rounded Rectangle 4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69" name="Rounded Rectangle 4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0" name="Rounded Rectangle 4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1" name="Rounded Rectangle 4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2" name="Rounded Rectangle 4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3" name="Rounded Rectangle 4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4" name="Rounded Rectangle 4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5" name="Rounded Rectangle 4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6" name="Rounded Rectangle 4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7" name="Rounded Rectangle 4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8" name="Rounded Rectangle 4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79" name="Rounded Rectangle 4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0" name="Rounded Rectangle 4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1" name="Rounded Rectangle 4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2" name="Rounded Rectangle 4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3" name="Rounded Rectangle 4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4" name="Rounded Rectangle 4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5" name="Rounded Rectangle 4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6" name="Rounded Rectangle 4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7" name="Rounded Rectangle 4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8" name="Rounded Rectangle 4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89" name="Rounded Rectangle 4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0" name="Rounded Rectangle 4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1" name="Rounded Rectangle 4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2" name="Rounded Rectangle 4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3" name="Rounded Rectangle 4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4" name="Rounded Rectangle 4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5" name="Rounded Rectangle 4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6" name="Rounded Rectangle 4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7" name="Rounded Rectangle 4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8" name="Rounded Rectangle 4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699" name="Rounded Rectangle 4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0" name="Rounded Rectangle 4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1" name="Rounded Rectangle 4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2" name="Rounded Rectangle 4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3" name="Rounded Rectangle 4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4" name="Rounded Rectangle 4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5" name="Rounded Rectangle 4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6" name="Rounded Rectangle 4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7" name="Rounded Rectangle 4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8" name="Rounded Rectangle 4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09" name="Rounded Rectangle 4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0" name="Rounded Rectangle 4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1" name="Rounded Rectangle 4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2" name="Rounded Rectangle 4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3" name="Rounded Rectangle 4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4" name="Rounded Rectangle 4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5" name="Rounded Rectangle 4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6" name="Rounded Rectangle 4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7" name="Rounded Rectangle 4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8" name="Rounded Rectangle 4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19" name="Rounded Rectangle 4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0" name="Rounded Rectangle 4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1" name="Rounded Rectangle 4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2" name="Rounded Rectangle 4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3" name="Rounded Rectangle 4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4" name="Rounded Rectangle 4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5" name="Rounded Rectangle 4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6" name="Rounded Rectangle 4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7" name="Rounded Rectangle 4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8" name="Rounded Rectangle 4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29" name="Rounded Rectangle 4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0" name="Rounded Rectangle 4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1" name="Rounded Rectangle 4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2" name="Rounded Rectangle 4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3" name="Rounded Rectangle 4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4" name="Rounded Rectangle 4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5" name="Rounded Rectangle 4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6" name="Rounded Rectangle 4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7" name="Rounded Rectangle 4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8" name="Rounded Rectangle 4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39" name="Rounded Rectangle 4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0" name="Rounded Rectangle 4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1" name="Rounded Rectangle 4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2" name="Rounded Rectangle 4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3" name="Rounded Rectangle 4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4" name="Rounded Rectangle 4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5" name="Rounded Rectangle 4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6" name="Rounded Rectangle 4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7" name="Rounded Rectangle 4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8" name="Rounded Rectangle 4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49" name="Rounded Rectangle 4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0" name="Rounded Rectangle 4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1" name="Rounded Rectangle 4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2" name="Rounded Rectangle 4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3" name="Rounded Rectangle 4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4" name="Rounded Rectangle 4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5" name="Rounded Rectangle 4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6" name="Rounded Rectangle 4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7" name="Rounded Rectangle 4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8" name="Rounded Rectangle 4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59" name="Rounded Rectangle 4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0" name="Rounded Rectangle 4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1" name="Rounded Rectangle 4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2" name="Rounded Rectangle 4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3" name="Rounded Rectangle 4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4" name="Rounded Rectangle 4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5" name="Rounded Rectangle 4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6" name="Rounded Rectangle 4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7" name="Rounded Rectangle 4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8" name="Rounded Rectangle 4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69" name="Rounded Rectangle 4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0" name="Rounded Rectangle 4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1" name="Rounded Rectangle 4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2" name="Rounded Rectangle 4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3" name="Rounded Rectangle 4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4" name="Rounded Rectangle 4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5" name="Rounded Rectangle 4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6" name="Rounded Rectangle 4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7" name="Rounded Rectangle 4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8" name="Rounded Rectangle 4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79" name="Rounded Rectangle 4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0" name="Rounded Rectangle 4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1" name="Rounded Rectangle 4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2" name="Rounded Rectangle 4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3" name="Rounded Rectangle 4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4" name="Rounded Rectangle 4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5" name="Rounded Rectangle 4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6" name="Rounded Rectangle 4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7" name="Rounded Rectangle 4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8" name="Rounded Rectangle 4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89" name="Rounded Rectangle 4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0" name="Rounded Rectangle 4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1" name="Rounded Rectangle 4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2" name="Rounded Rectangle 4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3" name="Rounded Rectangle 4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4" name="Rounded Rectangle 4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5" name="Rounded Rectangle 4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6" name="Rounded Rectangle 4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7" name="Rounded Rectangle 4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8" name="Rounded Rectangle 4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799" name="Rounded Rectangle 4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0" name="Rounded Rectangle 4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1" name="Rounded Rectangle 4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2" name="Rounded Rectangle 4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3" name="Rounded Rectangle 4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4" name="Rounded Rectangle 4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5" name="Rounded Rectangle 4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6" name="Rounded Rectangle 4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7" name="Rounded Rectangle 4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8" name="Rounded Rectangle 4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09" name="Rounded Rectangle 4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0" name="Rounded Rectangle 4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1" name="Rounded Rectangle 4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2" name="Rounded Rectangle 4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3" name="Rounded Rectangle 4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4" name="Rounded Rectangle 4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5" name="Rounded Rectangle 4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6" name="Rounded Rectangle 4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7" name="Rounded Rectangle 4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8" name="Rounded Rectangle 4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19" name="Rounded Rectangle 4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0" name="Rounded Rectangle 4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1" name="Rounded Rectangle 4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2" name="Rounded Rectangle 4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3" name="Rounded Rectangle 4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4" name="Rounded Rectangle 4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5" name="Rounded Rectangle 4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6" name="Rounded Rectangle 4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7" name="Rounded Rectangle 4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8" name="Rounded Rectangle 4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29" name="Rounded Rectangle 4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0" name="Rounded Rectangle 4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1" name="Rounded Rectangle 4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2" name="Rounded Rectangle 4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3" name="Rounded Rectangle 4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4" name="Rounded Rectangle 4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5" name="Rounded Rectangle 4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6" name="Rounded Rectangle 4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7" name="Rounded Rectangle 4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8" name="Rounded Rectangle 4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39" name="Rounded Rectangle 4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0" name="Rounded Rectangle 4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1" name="Rounded Rectangle 4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2" name="Rounded Rectangle 4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3" name="Rounded Rectangle 4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4" name="Rounded Rectangle 4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5" name="Rounded Rectangle 4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6" name="Rounded Rectangle 4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7" name="Rounded Rectangle 4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8" name="Rounded Rectangle 4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49" name="Rounded Rectangle 4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0" name="Rounded Rectangle 4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1" name="Rounded Rectangle 4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2" name="Rounded Rectangle 4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3" name="Rounded Rectangle 4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4" name="Rounded Rectangle 4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5" name="Rounded Rectangle 4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6" name="Rounded Rectangle 4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7" name="Rounded Rectangle 4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8" name="Rounded Rectangle 4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59" name="Rounded Rectangle 4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0" name="Rounded Rectangle 4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1" name="Rounded Rectangle 4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2" name="Rounded Rectangle 4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3" name="Rounded Rectangle 4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4" name="Rounded Rectangle 4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5" name="Rounded Rectangle 4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6" name="Rounded Rectangle 4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7" name="Rounded Rectangle 4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8" name="Rounded Rectangle 4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69" name="Rounded Rectangle 4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0" name="Rounded Rectangle 4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1" name="Rounded Rectangle 4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2" name="Rounded Rectangle 4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3" name="Rounded Rectangle 4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4" name="Rounded Rectangle 4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5" name="Rounded Rectangle 4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6" name="Rounded Rectangle 4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7" name="Rounded Rectangle 4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8" name="Rounded Rectangle 4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79" name="Rounded Rectangle 4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0" name="Rounded Rectangle 4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1" name="Rounded Rectangle 4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2" name="Rounded Rectangle 4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3" name="Rounded Rectangle 4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4" name="Rounded Rectangle 4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5" name="Rounded Rectangle 4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6" name="Rounded Rectangle 4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7" name="Rounded Rectangle 4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8" name="Rounded Rectangle 4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89" name="Rounded Rectangle 4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0" name="Rounded Rectangle 4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1" name="Rounded Rectangle 4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2" name="Rounded Rectangle 4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3" name="Rounded Rectangle 4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4" name="Rounded Rectangle 4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5" name="Rounded Rectangle 4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6" name="Rounded Rectangle 4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7" name="Rounded Rectangle 4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8" name="Rounded Rectangle 4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899" name="Rounded Rectangle 4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0" name="Rounded Rectangle 4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1" name="Rounded Rectangle 4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2" name="Rounded Rectangle 4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3" name="Rounded Rectangle 4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4" name="Rounded Rectangle 4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5" name="Rounded Rectangle 4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6" name="Rounded Rectangle 4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7" name="Rounded Rectangle 4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8" name="Rounded Rectangle 4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09" name="Rounded Rectangle 4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0" name="Rounded Rectangle 4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1" name="Rounded Rectangle 4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2" name="Rounded Rectangle 4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3" name="Rounded Rectangle 4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4" name="Rounded Rectangle 4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5" name="Rounded Rectangle 4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6" name="Rounded Rectangle 4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7" name="Rounded Rectangle 4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8" name="Rounded Rectangle 4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19" name="Rounded Rectangle 4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0" name="Rounded Rectangle 4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1" name="Rounded Rectangle 4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2" name="Rounded Rectangle 4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3" name="Rounded Rectangle 4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4" name="Rounded Rectangle 4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5" name="Rounded Rectangle 4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6" name="Rounded Rectangle 4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7" name="Rounded Rectangle 4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8" name="Rounded Rectangle 4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29" name="Rounded Rectangle 4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0" name="Rounded Rectangle 4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1" name="Rounded Rectangle 4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2" name="Rounded Rectangle 4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3" name="Rounded Rectangle 4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4" name="Rounded Rectangle 4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5" name="Rounded Rectangle 4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6" name="Rounded Rectangle 4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7" name="Rounded Rectangle 4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8" name="Rounded Rectangle 4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39" name="Rounded Rectangle 4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0" name="Rounded Rectangle 4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1" name="Rounded Rectangle 4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2" name="Rounded Rectangle 4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3" name="Rounded Rectangle 4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4" name="Rounded Rectangle 4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5" name="Rounded Rectangle 4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6" name="Rounded Rectangle 4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7" name="Rounded Rectangle 4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8" name="Rounded Rectangle 4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49" name="Rounded Rectangle 4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0" name="Rounded Rectangle 4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1" name="Rounded Rectangle 4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2" name="Rounded Rectangle 4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3" name="Rounded Rectangle 4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4" name="Rounded Rectangle 4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5" name="Rounded Rectangle 4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6" name="Rounded Rectangle 4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7" name="Rounded Rectangle 4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8" name="Rounded Rectangle 4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59" name="Rounded Rectangle 4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0" name="Rounded Rectangle 4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1" name="Rounded Rectangle 4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2" name="Rounded Rectangle 4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3" name="Rounded Rectangle 4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4" name="Rounded Rectangle 4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5" name="Rounded Rectangle 4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6" name="Rounded Rectangle 4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7" name="Rounded Rectangle 4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8" name="Rounded Rectangle 4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69" name="Rounded Rectangle 4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0" name="Rounded Rectangle 4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1" name="Rounded Rectangle 4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2" name="Rounded Rectangle 4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3" name="Rounded Rectangle 4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4" name="Rounded Rectangle 4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5" name="Rounded Rectangle 4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6" name="Rounded Rectangle 4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7" name="Rounded Rectangle 4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8" name="Rounded Rectangle 4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79" name="Rounded Rectangle 4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0" name="Rounded Rectangle 4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1" name="Rounded Rectangle 4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2" name="Rounded Rectangle 4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3" name="Rounded Rectangle 4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4" name="Rounded Rectangle 4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5" name="Rounded Rectangle 4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6" name="Rounded Rectangle 4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7" name="Rounded Rectangle 4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8" name="Rounded Rectangle 4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89" name="Rounded Rectangle 4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0" name="Rounded Rectangle 4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1" name="Rounded Rectangle 4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2" name="Rounded Rectangle 4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3" name="Rounded Rectangle 4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4" name="Rounded Rectangle 4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5" name="Rounded Rectangle 4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6" name="Rounded Rectangle 4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7" name="Rounded Rectangle 4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8" name="Rounded Rectangle 4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4999" name="Rounded Rectangle 4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0" name="Rounded Rectangle 4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1" name="Rounded Rectangle 5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2" name="Rounded Rectangle 5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3" name="Rounded Rectangle 5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4" name="Rounded Rectangle 5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5" name="Rounded Rectangle 5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6" name="Rounded Rectangle 5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7" name="Rounded Rectangle 5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8" name="Rounded Rectangle 5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09" name="Rounded Rectangle 5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0" name="Rounded Rectangle 5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1" name="Rounded Rectangle 5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2" name="Rounded Rectangle 5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3" name="Rounded Rectangle 5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4" name="Rounded Rectangle 5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5" name="Rounded Rectangle 5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6" name="Rounded Rectangle 5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7" name="Rounded Rectangle 5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8" name="Rounded Rectangle 5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19" name="Rounded Rectangle 5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0" name="Rounded Rectangle 5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1" name="Rounded Rectangle 5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2" name="Rounded Rectangle 5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3" name="Rounded Rectangle 5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4" name="Rounded Rectangle 5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5" name="Rounded Rectangle 5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6" name="Rounded Rectangle 5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7" name="Rounded Rectangle 5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8" name="Rounded Rectangle 5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29" name="Rounded Rectangle 5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0" name="Rounded Rectangle 5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1" name="Rounded Rectangle 5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2" name="Rounded Rectangle 5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3" name="Rounded Rectangle 5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4" name="Rounded Rectangle 5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5" name="Rounded Rectangle 5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6" name="Rounded Rectangle 5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7" name="Rounded Rectangle 5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8" name="Rounded Rectangle 5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39" name="Rounded Rectangle 5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0" name="Rounded Rectangle 5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1" name="Rounded Rectangle 5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2" name="Rounded Rectangle 5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3" name="Rounded Rectangle 5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4" name="Rounded Rectangle 5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5" name="Rounded Rectangle 5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6" name="Rounded Rectangle 5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7" name="Rounded Rectangle 5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8" name="Rounded Rectangle 5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49" name="Rounded Rectangle 5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0" name="Rounded Rectangle 5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1" name="Rounded Rectangle 5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2" name="Rounded Rectangle 5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3" name="Rounded Rectangle 5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4" name="Rounded Rectangle 5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5" name="Rounded Rectangle 5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6" name="Rounded Rectangle 5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7" name="Rounded Rectangle 5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8" name="Rounded Rectangle 5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59" name="Rounded Rectangle 5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0" name="Rounded Rectangle 5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1" name="Rounded Rectangle 5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2" name="Rounded Rectangle 5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3" name="Rounded Rectangle 5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4" name="Rounded Rectangle 5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5" name="Rounded Rectangle 5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6" name="Rounded Rectangle 5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7" name="Rounded Rectangle 5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8" name="Rounded Rectangle 5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69" name="Rounded Rectangle 5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0" name="Rounded Rectangle 5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1" name="Rounded Rectangle 5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2" name="Rounded Rectangle 5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3" name="Rounded Rectangle 5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4" name="Rounded Rectangle 5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5" name="Rounded Rectangle 5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6" name="Rounded Rectangle 5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7" name="Rounded Rectangle 5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8" name="Rounded Rectangle 5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79" name="Rounded Rectangle 5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0" name="Rounded Rectangle 5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1" name="Rounded Rectangle 5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2" name="Rounded Rectangle 5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3" name="Rounded Rectangle 5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4" name="Rounded Rectangle 5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5" name="Rounded Rectangle 5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6" name="Rounded Rectangle 5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7" name="Rounded Rectangle 5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8" name="Rounded Rectangle 5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89" name="Rounded Rectangle 5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0" name="Rounded Rectangle 5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1" name="Rounded Rectangle 5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2" name="Rounded Rectangle 5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3" name="Rounded Rectangle 5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4" name="Rounded Rectangle 5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5" name="Rounded Rectangle 5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6" name="Rounded Rectangle 5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7" name="Rounded Rectangle 5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8" name="Rounded Rectangle 5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099" name="Rounded Rectangle 5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0" name="Rounded Rectangle 5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1" name="Rounded Rectangle 5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2" name="Rounded Rectangle 5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3" name="Rounded Rectangle 5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4" name="Rounded Rectangle 5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5" name="Rounded Rectangle 5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6" name="Rounded Rectangle 5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7" name="Rounded Rectangle 5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8" name="Rounded Rectangle 5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09" name="Rounded Rectangle 5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0" name="Rounded Rectangle 5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1" name="Rounded Rectangle 5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2" name="Rounded Rectangle 5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3" name="Rounded Rectangle 5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4" name="Rounded Rectangle 5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5" name="Rounded Rectangle 5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6" name="Rounded Rectangle 5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7" name="Rounded Rectangle 5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8" name="Rounded Rectangle 5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19" name="Rounded Rectangle 5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0" name="Rounded Rectangle 5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1" name="Rounded Rectangle 5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2" name="Rounded Rectangle 5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3" name="Rounded Rectangle 5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4" name="Rounded Rectangle 5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5" name="Rounded Rectangle 5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6" name="Rounded Rectangle 5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7" name="Rounded Rectangle 5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8" name="Rounded Rectangle 5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29" name="Rounded Rectangle 5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0" name="Rounded Rectangle 5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1" name="Rounded Rectangle 5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2" name="Rounded Rectangle 5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3" name="Rounded Rectangle 5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4" name="Rounded Rectangle 5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5" name="Rounded Rectangle 5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6" name="Rounded Rectangle 5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7" name="Rounded Rectangle 5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8" name="Rounded Rectangle 5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39" name="Rounded Rectangle 5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0" name="Rounded Rectangle 5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1" name="Rounded Rectangle 5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2" name="Rounded Rectangle 5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3" name="Rounded Rectangle 5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4" name="Rounded Rectangle 5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5" name="Rounded Rectangle 5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6" name="Rounded Rectangle 5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7" name="Rounded Rectangle 5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8" name="Rounded Rectangle 5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49" name="Rounded Rectangle 5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0" name="Rounded Rectangle 5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1" name="Rounded Rectangle 5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2" name="Rounded Rectangle 5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3" name="Rounded Rectangle 5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4" name="Rounded Rectangle 5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5" name="Rounded Rectangle 5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6" name="Rounded Rectangle 5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7" name="Rounded Rectangle 5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8" name="Rounded Rectangle 5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59" name="Rounded Rectangle 5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0" name="Rounded Rectangle 5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1" name="Rounded Rectangle 5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2" name="Rounded Rectangle 5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3" name="Rounded Rectangle 5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4" name="Rounded Rectangle 5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5" name="Rounded Rectangle 5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6" name="Rounded Rectangle 5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7" name="Rounded Rectangle 5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8" name="Rounded Rectangle 5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69" name="Rounded Rectangle 5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0" name="Rounded Rectangle 5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1" name="Rounded Rectangle 5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2" name="Rounded Rectangle 5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3" name="Rounded Rectangle 5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4" name="Rounded Rectangle 5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5" name="Rounded Rectangle 5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6" name="Rounded Rectangle 5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7" name="Rounded Rectangle 5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8" name="Rounded Rectangle 5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79" name="Rounded Rectangle 5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0" name="Rounded Rectangle 5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1" name="Rounded Rectangle 5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2" name="Rounded Rectangle 5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3" name="Rounded Rectangle 5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4" name="Rounded Rectangle 5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5" name="Rounded Rectangle 5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6" name="Rounded Rectangle 5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7" name="Rounded Rectangle 5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8" name="Rounded Rectangle 5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89" name="Rounded Rectangle 5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0" name="Rounded Rectangle 5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1" name="Rounded Rectangle 5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2" name="Rounded Rectangle 5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3" name="Rounded Rectangle 5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4" name="Rounded Rectangle 5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5" name="Rounded Rectangle 5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6" name="Rounded Rectangle 5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7" name="Rounded Rectangle 5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8" name="Rounded Rectangle 5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199" name="Rounded Rectangle 5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0" name="Rounded Rectangle 5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1" name="Rounded Rectangle 5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2" name="Rounded Rectangle 5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3" name="Rounded Rectangle 5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4" name="Rounded Rectangle 5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5" name="Rounded Rectangle 5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6" name="Rounded Rectangle 5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7" name="Rounded Rectangle 5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8" name="Rounded Rectangle 5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09" name="Rounded Rectangle 5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0" name="Rounded Rectangle 5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1" name="Rounded Rectangle 5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2" name="Rounded Rectangle 5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3" name="Rounded Rectangle 5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4" name="Rounded Rectangle 5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5" name="Rounded Rectangle 5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6" name="Rounded Rectangle 5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7" name="Rounded Rectangle 5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8" name="Rounded Rectangle 5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19" name="Rounded Rectangle 5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0" name="Rounded Rectangle 5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1" name="Rounded Rectangle 5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2" name="Rounded Rectangle 5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3" name="Rounded Rectangle 5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4" name="Rounded Rectangle 5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5" name="Rounded Rectangle 5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6" name="Rounded Rectangle 5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7" name="Rounded Rectangle 5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8" name="Rounded Rectangle 5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29" name="Rounded Rectangle 5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0" name="Rounded Rectangle 5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1" name="Rounded Rectangle 5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2" name="Rounded Rectangle 5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3" name="Rounded Rectangle 5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4" name="Rounded Rectangle 5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5" name="Rounded Rectangle 5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6" name="Rounded Rectangle 5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7" name="Rounded Rectangle 5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8" name="Rounded Rectangle 5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39" name="Rounded Rectangle 5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0" name="Rounded Rectangle 5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1" name="Rounded Rectangle 5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2" name="Rounded Rectangle 5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3" name="Rounded Rectangle 5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4" name="Rounded Rectangle 5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5" name="Rounded Rectangle 5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6" name="Rounded Rectangle 5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7" name="Rounded Rectangle 5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8" name="Rounded Rectangle 5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49" name="Rounded Rectangle 5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0" name="Rounded Rectangle 5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1" name="Rounded Rectangle 5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2" name="Rounded Rectangle 5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3" name="Rounded Rectangle 5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4" name="Rounded Rectangle 5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5" name="Rounded Rectangle 5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6" name="Rounded Rectangle 5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7" name="Rounded Rectangle 5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8" name="Rounded Rectangle 5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59" name="Rounded Rectangle 5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0" name="Rounded Rectangle 5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1" name="Rounded Rectangle 5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2" name="Rounded Rectangle 5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3" name="Rounded Rectangle 5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4" name="Rounded Rectangle 5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5" name="Rounded Rectangle 5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6" name="Rounded Rectangle 5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7" name="Rounded Rectangle 5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8" name="Rounded Rectangle 5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69" name="Rounded Rectangle 5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0" name="Rounded Rectangle 5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1" name="Rounded Rectangle 5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2" name="Rounded Rectangle 5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3" name="Rounded Rectangle 5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4" name="Rounded Rectangle 5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5" name="Rounded Rectangle 5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6" name="Rounded Rectangle 5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7" name="Rounded Rectangle 5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8" name="Rounded Rectangle 5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79" name="Rounded Rectangle 5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0" name="Rounded Rectangle 5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1" name="Rounded Rectangle 5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2" name="Rounded Rectangle 5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3" name="Rounded Rectangle 5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4" name="Rounded Rectangle 5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5" name="Rounded Rectangle 5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6" name="Rounded Rectangle 5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7" name="Rounded Rectangle 5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8" name="Rounded Rectangle 5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89" name="Rounded Rectangle 5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0" name="Rounded Rectangle 5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1" name="Rounded Rectangle 5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2" name="Rounded Rectangle 5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3" name="Rounded Rectangle 5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4" name="Rounded Rectangle 5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5" name="Rounded Rectangle 5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6" name="Rounded Rectangle 5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7" name="Rounded Rectangle 5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8" name="Rounded Rectangle 5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299" name="Rounded Rectangle 5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0" name="Rounded Rectangle 5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1" name="Rounded Rectangle 5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2" name="Rounded Rectangle 5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3" name="Rounded Rectangle 5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4" name="Rounded Rectangle 5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5" name="Rounded Rectangle 5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6" name="Rounded Rectangle 5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7" name="Rounded Rectangle 5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8" name="Rounded Rectangle 5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09" name="Rounded Rectangle 5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0" name="Rounded Rectangle 5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1" name="Rounded Rectangle 5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2" name="Rounded Rectangle 5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3" name="Rounded Rectangle 5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4" name="Rounded Rectangle 5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5" name="Rounded Rectangle 5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6" name="Rounded Rectangle 5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7" name="Rounded Rectangle 5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8" name="Rounded Rectangle 5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19" name="Rounded Rectangle 5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0" name="Rounded Rectangle 5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1" name="Rounded Rectangle 5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2" name="Rounded Rectangle 5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3" name="Rounded Rectangle 5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4" name="Rounded Rectangle 5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5" name="Rounded Rectangle 5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6" name="Rounded Rectangle 5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7" name="Rounded Rectangle 5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8" name="Rounded Rectangle 5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29" name="Rounded Rectangle 5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0" name="Rounded Rectangle 5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1" name="Rounded Rectangle 5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2" name="Rounded Rectangle 5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3" name="Rounded Rectangle 5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4" name="Rounded Rectangle 5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5" name="Rounded Rectangle 5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6" name="Rounded Rectangle 5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7" name="Rounded Rectangle 5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8" name="Rounded Rectangle 5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39" name="Rounded Rectangle 5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0" name="Rounded Rectangle 5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1" name="Rounded Rectangle 5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2" name="Rounded Rectangle 5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3" name="Rounded Rectangle 5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4" name="Rounded Rectangle 5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5" name="Rounded Rectangle 5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6" name="Rounded Rectangle 5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7" name="Rounded Rectangle 5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8" name="Rounded Rectangle 5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49" name="Rounded Rectangle 5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0" name="Rounded Rectangle 5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1" name="Rounded Rectangle 5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2" name="Rounded Rectangle 5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3" name="Rounded Rectangle 5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4" name="Rounded Rectangle 5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5" name="Rounded Rectangle 5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6" name="Rounded Rectangle 5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7" name="Rounded Rectangle 5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8" name="Rounded Rectangle 5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59" name="Rounded Rectangle 5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0" name="Rounded Rectangle 5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1" name="Rounded Rectangle 5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2" name="Rounded Rectangle 5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3" name="Rounded Rectangle 5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4" name="Rounded Rectangle 5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5" name="Rounded Rectangle 5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6" name="Rounded Rectangle 5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7" name="Rounded Rectangle 5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8" name="Rounded Rectangle 5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69" name="Rounded Rectangle 5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0" name="Rounded Rectangle 5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1" name="Rounded Rectangle 5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2" name="Rounded Rectangle 5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3" name="Rounded Rectangle 5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4" name="Rounded Rectangle 5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5" name="Rounded Rectangle 5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6" name="Rounded Rectangle 5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7" name="Rounded Rectangle 5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8" name="Rounded Rectangle 5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79" name="Rounded Rectangle 5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0" name="Rounded Rectangle 5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1" name="Rounded Rectangle 5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2" name="Rounded Rectangle 5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3" name="Rounded Rectangle 5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4" name="Rounded Rectangle 5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5" name="Rounded Rectangle 5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6" name="Rounded Rectangle 5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7" name="Rounded Rectangle 5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8" name="Rounded Rectangle 5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89" name="Rounded Rectangle 5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0" name="Rounded Rectangle 5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1" name="Rounded Rectangle 5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2" name="Rounded Rectangle 5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3" name="Rounded Rectangle 5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4" name="Rounded Rectangle 5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5" name="Rounded Rectangle 5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6" name="Rounded Rectangle 5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7" name="Rounded Rectangle 5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8" name="Rounded Rectangle 5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399" name="Rounded Rectangle 5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0" name="Rounded Rectangle 5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1" name="Rounded Rectangle 5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2" name="Rounded Rectangle 5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3" name="Rounded Rectangle 5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4" name="Rounded Rectangle 5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5" name="Rounded Rectangle 5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6" name="Rounded Rectangle 5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7" name="Rounded Rectangle 5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8" name="Rounded Rectangle 5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09" name="Rounded Rectangle 5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0" name="Rounded Rectangle 5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1" name="Rounded Rectangle 5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2" name="Rounded Rectangle 5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3" name="Rounded Rectangle 5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4" name="Rounded Rectangle 5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5" name="Rounded Rectangle 5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6" name="Rounded Rectangle 5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7" name="Rounded Rectangle 5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8" name="Rounded Rectangle 5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19" name="Rounded Rectangle 5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0" name="Rounded Rectangle 5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1" name="Rounded Rectangle 5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2" name="Rounded Rectangle 5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3" name="Rounded Rectangle 5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4" name="Rounded Rectangle 5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5" name="Rounded Rectangle 5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6" name="Rounded Rectangle 5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7" name="Rounded Rectangle 5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8" name="Rounded Rectangle 5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29" name="Rounded Rectangle 5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0" name="Rounded Rectangle 5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1" name="Rounded Rectangle 5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2" name="Rounded Rectangle 5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3" name="Rounded Rectangle 5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4" name="Rounded Rectangle 5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5" name="Rounded Rectangle 5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6" name="Rounded Rectangle 5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7" name="Rounded Rectangle 5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8" name="Rounded Rectangle 5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39" name="Rounded Rectangle 5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0" name="Rounded Rectangle 5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1" name="Rounded Rectangle 5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2" name="Rounded Rectangle 5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3" name="Rounded Rectangle 5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4" name="Rounded Rectangle 5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5" name="Rounded Rectangle 5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6" name="Rounded Rectangle 5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7" name="Rounded Rectangle 5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8" name="Rounded Rectangle 5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49" name="Rounded Rectangle 5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0" name="Rounded Rectangle 5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1" name="Rounded Rectangle 5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2" name="Rounded Rectangle 5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3" name="Rounded Rectangle 5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4" name="Rounded Rectangle 5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5" name="Rounded Rectangle 5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6" name="Rounded Rectangle 5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7" name="Rounded Rectangle 5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8" name="Rounded Rectangle 5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59" name="Rounded Rectangle 5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0" name="Rounded Rectangle 5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1" name="Rounded Rectangle 5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2" name="Rounded Rectangle 5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3" name="Rounded Rectangle 5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4" name="Rounded Rectangle 5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5" name="Rounded Rectangle 5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6" name="Rounded Rectangle 5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7" name="Rounded Rectangle 5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8" name="Rounded Rectangle 5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69" name="Rounded Rectangle 5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0" name="Rounded Rectangle 5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1" name="Rounded Rectangle 5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2" name="Rounded Rectangle 5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3" name="Rounded Rectangle 5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4" name="Rounded Rectangle 5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5" name="Rounded Rectangle 5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6" name="Rounded Rectangle 5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7" name="Rounded Rectangle 5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8" name="Rounded Rectangle 5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79" name="Rounded Rectangle 5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0" name="Rounded Rectangle 5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1" name="Rounded Rectangle 5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2" name="Rounded Rectangle 5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3" name="Rounded Rectangle 5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4" name="Rounded Rectangle 5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5" name="Rounded Rectangle 5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6" name="Rounded Rectangle 5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7" name="Rounded Rectangle 5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8" name="Rounded Rectangle 5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89" name="Rounded Rectangle 5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0" name="Rounded Rectangle 5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1" name="Rounded Rectangle 5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2" name="Rounded Rectangle 5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3" name="Rounded Rectangle 5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4" name="Rounded Rectangle 5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5" name="Rounded Rectangle 5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6" name="Rounded Rectangle 5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7" name="Rounded Rectangle 5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8" name="Rounded Rectangle 5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499" name="Rounded Rectangle 5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0" name="Rounded Rectangle 5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1" name="Rounded Rectangle 5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2" name="Rounded Rectangle 5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3" name="Rounded Rectangle 5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4" name="Rounded Rectangle 5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5" name="Rounded Rectangle 5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6" name="Rounded Rectangle 5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7" name="Rounded Rectangle 5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8" name="Rounded Rectangle 5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09" name="Rounded Rectangle 5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0" name="Rounded Rectangle 5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1" name="Rounded Rectangle 5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2" name="Rounded Rectangle 5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3" name="Rounded Rectangle 5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4" name="Rounded Rectangle 5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5" name="Rounded Rectangle 5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6" name="Rounded Rectangle 5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7" name="Rounded Rectangle 5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8" name="Rounded Rectangle 5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19" name="Rounded Rectangle 5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0" name="Rounded Rectangle 5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1" name="Rounded Rectangle 5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2" name="Rounded Rectangle 5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3" name="Rounded Rectangle 5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4" name="Rounded Rectangle 5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5" name="Rounded Rectangle 5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6" name="Rounded Rectangle 5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7" name="Rounded Rectangle 5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8" name="Rounded Rectangle 5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29" name="Rounded Rectangle 5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0" name="Rounded Rectangle 5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1" name="Rounded Rectangle 5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2" name="Rounded Rectangle 5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3" name="Rounded Rectangle 5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4" name="Rounded Rectangle 5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5" name="Rounded Rectangle 5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6" name="Rounded Rectangle 5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7" name="Rounded Rectangle 5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8" name="Rounded Rectangle 5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39" name="Rounded Rectangle 5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0" name="Rounded Rectangle 5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1" name="Rounded Rectangle 5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2" name="Rounded Rectangle 5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3" name="Rounded Rectangle 5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4" name="Rounded Rectangle 5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5" name="Rounded Rectangle 5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6" name="Rounded Rectangle 5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7" name="Rounded Rectangle 5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8" name="Rounded Rectangle 5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49" name="Rounded Rectangle 5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0" name="Rounded Rectangle 5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1" name="Rounded Rectangle 5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2" name="Rounded Rectangle 5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3" name="Rounded Rectangle 5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4" name="Rounded Rectangle 5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5" name="Rounded Rectangle 5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6" name="Rounded Rectangle 5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7" name="Rounded Rectangle 5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8" name="Rounded Rectangle 5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59" name="Rounded Rectangle 5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0" name="Rounded Rectangle 5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1" name="Rounded Rectangle 5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2" name="Rounded Rectangle 5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3" name="Rounded Rectangle 5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4" name="Rounded Rectangle 5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5" name="Rounded Rectangle 5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6" name="Rounded Rectangle 5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7" name="Rounded Rectangle 5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8" name="Rounded Rectangle 5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69" name="Rounded Rectangle 5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0" name="Rounded Rectangle 5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1" name="Rounded Rectangle 5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2" name="Rounded Rectangle 5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3" name="Rounded Rectangle 5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4" name="Rounded Rectangle 5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5" name="Rounded Rectangle 5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6" name="Rounded Rectangle 5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7" name="Rounded Rectangle 5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8" name="Rounded Rectangle 5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79" name="Rounded Rectangle 5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0" name="Rounded Rectangle 5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1" name="Rounded Rectangle 5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2" name="Rounded Rectangle 5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3" name="Rounded Rectangle 5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4" name="Rounded Rectangle 5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5" name="Rounded Rectangle 5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6" name="Rounded Rectangle 5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7" name="Rounded Rectangle 5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8" name="Rounded Rectangle 5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89" name="Rounded Rectangle 5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0" name="Rounded Rectangle 5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1" name="Rounded Rectangle 5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2" name="Rounded Rectangle 5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3" name="Rounded Rectangle 5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4" name="Rounded Rectangle 5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5" name="Rounded Rectangle 5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6" name="Rounded Rectangle 5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7" name="Rounded Rectangle 5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8" name="Rounded Rectangle 5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599" name="Rounded Rectangle 5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0" name="Rounded Rectangle 5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1" name="Rounded Rectangle 5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2" name="Rounded Rectangle 5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3" name="Rounded Rectangle 5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4" name="Rounded Rectangle 5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5" name="Rounded Rectangle 5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6" name="Rounded Rectangle 5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7" name="Rounded Rectangle 5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8" name="Rounded Rectangle 5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09" name="Rounded Rectangle 5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0" name="Rounded Rectangle 5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1" name="Rounded Rectangle 5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2" name="Rounded Rectangle 5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3" name="Rounded Rectangle 5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4" name="Rounded Rectangle 5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5" name="Rounded Rectangle 5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6" name="Rounded Rectangle 5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7" name="Rounded Rectangle 5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8" name="Rounded Rectangle 5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19" name="Rounded Rectangle 5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0" name="Rounded Rectangle 5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1" name="Rounded Rectangle 5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2" name="Rounded Rectangle 5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3" name="Rounded Rectangle 5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4" name="Rounded Rectangle 5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5" name="Rounded Rectangle 5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6" name="Rounded Rectangle 5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7" name="Rounded Rectangle 5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8" name="Rounded Rectangle 5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29" name="Rounded Rectangle 5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0" name="Rounded Rectangle 5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1" name="Rounded Rectangle 5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2" name="Rounded Rectangle 5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3" name="Rounded Rectangle 5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4" name="Rounded Rectangle 5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5" name="Rounded Rectangle 5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6" name="Rounded Rectangle 5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7" name="Rounded Rectangle 5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8" name="Rounded Rectangle 5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39" name="Rounded Rectangle 5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0" name="Rounded Rectangle 5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1" name="Rounded Rectangle 5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2" name="Rounded Rectangle 5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3" name="Rounded Rectangle 5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4" name="Rounded Rectangle 5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5" name="Rounded Rectangle 5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6" name="Rounded Rectangle 5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7" name="Rounded Rectangle 5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8" name="Rounded Rectangle 5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49" name="Rounded Rectangle 5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0" name="Rounded Rectangle 5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1" name="Rounded Rectangle 5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2" name="Rounded Rectangle 5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3" name="Rounded Rectangle 5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4" name="Rounded Rectangle 5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5" name="Rounded Rectangle 5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6" name="Rounded Rectangle 5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7" name="Rounded Rectangle 5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8" name="Rounded Rectangle 5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59" name="Rounded Rectangle 5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0" name="Rounded Rectangle 5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1" name="Rounded Rectangle 5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2" name="Rounded Rectangle 5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3" name="Rounded Rectangle 5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4" name="Rounded Rectangle 5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5" name="Rounded Rectangle 5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6" name="Rounded Rectangle 5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7" name="Rounded Rectangle 5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8" name="Rounded Rectangle 5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69" name="Rounded Rectangle 5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0" name="Rounded Rectangle 5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1" name="Rounded Rectangle 5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2" name="Rounded Rectangle 5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3" name="Rounded Rectangle 5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4" name="Rounded Rectangle 5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5" name="Rounded Rectangle 5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6" name="Rounded Rectangle 5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7" name="Rounded Rectangle 5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8" name="Rounded Rectangle 5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79" name="Rounded Rectangle 5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0" name="Rounded Rectangle 5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1" name="Rounded Rectangle 5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2" name="Rounded Rectangle 5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3" name="Rounded Rectangle 5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4" name="Rounded Rectangle 5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5" name="Rounded Rectangle 5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6" name="Rounded Rectangle 5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7" name="Rounded Rectangle 5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8" name="Rounded Rectangle 5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89" name="Rounded Rectangle 5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0" name="Rounded Rectangle 5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1" name="Rounded Rectangle 5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2" name="Rounded Rectangle 5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3" name="Rounded Rectangle 5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4" name="Rounded Rectangle 5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5" name="Rounded Rectangle 5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6" name="Rounded Rectangle 5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7" name="Rounded Rectangle 5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8" name="Rounded Rectangle 5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699" name="Rounded Rectangle 5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0" name="Rounded Rectangle 5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1" name="Rounded Rectangle 5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2" name="Rounded Rectangle 5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3" name="Rounded Rectangle 5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4" name="Rounded Rectangle 5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5" name="Rounded Rectangle 5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6" name="Rounded Rectangle 5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7" name="Rounded Rectangle 5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8" name="Rounded Rectangle 5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09" name="Rounded Rectangle 5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0" name="Rounded Rectangle 5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1" name="Rounded Rectangle 5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2" name="Rounded Rectangle 5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3" name="Rounded Rectangle 5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4" name="Rounded Rectangle 5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5" name="Rounded Rectangle 5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6" name="Rounded Rectangle 5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7" name="Rounded Rectangle 5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8" name="Rounded Rectangle 5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19" name="Rounded Rectangle 5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0" name="Rounded Rectangle 5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1" name="Rounded Rectangle 5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2" name="Rounded Rectangle 5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3" name="Rounded Rectangle 5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4" name="Rounded Rectangle 5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5" name="Rounded Rectangle 5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6" name="Rounded Rectangle 5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7" name="Rounded Rectangle 5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8" name="Rounded Rectangle 5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29" name="Rounded Rectangle 5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0" name="Rounded Rectangle 5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1" name="Rounded Rectangle 5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2" name="Rounded Rectangle 5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3" name="Rounded Rectangle 5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4" name="Rounded Rectangle 5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5" name="Rounded Rectangle 5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6" name="Rounded Rectangle 5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7" name="Rounded Rectangle 5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8" name="Rounded Rectangle 5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39" name="Rounded Rectangle 5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0" name="Rounded Rectangle 5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1" name="Rounded Rectangle 5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2" name="Rounded Rectangle 5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3" name="Rounded Rectangle 5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4" name="Rounded Rectangle 5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5" name="Rounded Rectangle 5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6" name="Rounded Rectangle 5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7" name="Rounded Rectangle 5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8" name="Rounded Rectangle 5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49" name="Rounded Rectangle 5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0" name="Rounded Rectangle 5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1" name="Rounded Rectangle 5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2" name="Rounded Rectangle 5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3" name="Rounded Rectangle 5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4" name="Rounded Rectangle 5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5" name="Rounded Rectangle 5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6" name="Rounded Rectangle 5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7" name="Rounded Rectangle 5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8" name="Rounded Rectangle 5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59" name="Rounded Rectangle 5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0" name="Rounded Rectangle 5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1" name="Rounded Rectangle 5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2" name="Rounded Rectangle 5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3" name="Rounded Rectangle 5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4" name="Rounded Rectangle 5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5" name="Rounded Rectangle 5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6" name="Rounded Rectangle 5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7" name="Rounded Rectangle 5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8" name="Rounded Rectangle 5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69" name="Rounded Rectangle 5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0" name="Rounded Rectangle 5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1" name="Rounded Rectangle 5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2" name="Rounded Rectangle 5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3" name="Rounded Rectangle 5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4" name="Rounded Rectangle 5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5" name="Rounded Rectangle 5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6" name="Rounded Rectangle 5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7" name="Rounded Rectangle 5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8" name="Rounded Rectangle 5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79" name="Rounded Rectangle 5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0" name="Rounded Rectangle 5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1" name="Rounded Rectangle 5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2" name="Rounded Rectangle 5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3" name="Rounded Rectangle 5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4" name="Rounded Rectangle 5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5" name="Rounded Rectangle 5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6" name="Rounded Rectangle 5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7" name="Rounded Rectangle 5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8" name="Rounded Rectangle 5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89" name="Rounded Rectangle 5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0" name="Rounded Rectangle 5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1" name="Rounded Rectangle 5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2" name="Rounded Rectangle 5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3" name="Rounded Rectangle 5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4" name="Rounded Rectangle 5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5" name="Rounded Rectangle 5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6" name="Rounded Rectangle 5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7" name="Rounded Rectangle 5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8" name="Rounded Rectangle 5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799" name="Rounded Rectangle 5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0" name="Rounded Rectangle 5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1" name="Rounded Rectangle 5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2" name="Rounded Rectangle 5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3" name="Rounded Rectangle 5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4" name="Rounded Rectangle 5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5" name="Rounded Rectangle 5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6" name="Rounded Rectangle 5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7" name="Rounded Rectangle 5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8" name="Rounded Rectangle 5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09" name="Rounded Rectangle 5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0" name="Rounded Rectangle 5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1" name="Rounded Rectangle 5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2" name="Rounded Rectangle 5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3" name="Rounded Rectangle 5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4" name="Rounded Rectangle 5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5" name="Rounded Rectangle 5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6" name="Rounded Rectangle 5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7" name="Rounded Rectangle 5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8" name="Rounded Rectangle 5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19" name="Rounded Rectangle 5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0" name="Rounded Rectangle 5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1" name="Rounded Rectangle 5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2" name="Rounded Rectangle 5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3" name="Rounded Rectangle 5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4" name="Rounded Rectangle 5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5" name="Rounded Rectangle 5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6" name="Rounded Rectangle 5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7" name="Rounded Rectangle 5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8" name="Rounded Rectangle 5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29" name="Rounded Rectangle 5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0" name="Rounded Rectangle 5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1" name="Rounded Rectangle 5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2" name="Rounded Rectangle 5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3" name="Rounded Rectangle 5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4" name="Rounded Rectangle 5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5" name="Rounded Rectangle 5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6" name="Rounded Rectangle 5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7" name="Rounded Rectangle 5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8" name="Rounded Rectangle 5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39" name="Rounded Rectangle 5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0" name="Rounded Rectangle 5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1" name="Rounded Rectangle 5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2" name="Rounded Rectangle 5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3" name="Rounded Rectangle 5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4" name="Rounded Rectangle 5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5" name="Rounded Rectangle 5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6" name="Rounded Rectangle 5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7" name="Rounded Rectangle 5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8" name="Rounded Rectangle 5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49" name="Rounded Rectangle 5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0" name="Rounded Rectangle 5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1" name="Rounded Rectangle 5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2" name="Rounded Rectangle 5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3" name="Rounded Rectangle 5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4" name="Rounded Rectangle 5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5" name="Rounded Rectangle 5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6" name="Rounded Rectangle 5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7" name="Rounded Rectangle 5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8" name="Rounded Rectangle 5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59" name="Rounded Rectangle 5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0" name="Rounded Rectangle 5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1" name="Rounded Rectangle 5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2" name="Rounded Rectangle 5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3" name="Rounded Rectangle 5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4" name="Rounded Rectangle 5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5" name="Rounded Rectangle 5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6" name="Rounded Rectangle 5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7" name="Rounded Rectangle 5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8" name="Rounded Rectangle 5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69" name="Rounded Rectangle 5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0" name="Rounded Rectangle 5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1" name="Rounded Rectangle 5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2" name="Rounded Rectangle 5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3" name="Rounded Rectangle 5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4" name="Rounded Rectangle 5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5" name="Rounded Rectangle 5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6" name="Rounded Rectangle 5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7" name="Rounded Rectangle 5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8" name="Rounded Rectangle 5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79" name="Rounded Rectangle 5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0" name="Rounded Rectangle 5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1" name="Rounded Rectangle 5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2" name="Rounded Rectangle 5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3" name="Rounded Rectangle 5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4" name="Rounded Rectangle 5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5" name="Rounded Rectangle 5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6" name="Rounded Rectangle 5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7" name="Rounded Rectangle 5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8" name="Rounded Rectangle 5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89" name="Rounded Rectangle 5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0" name="Rounded Rectangle 5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1" name="Rounded Rectangle 5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2" name="Rounded Rectangle 5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3" name="Rounded Rectangle 5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4" name="Rounded Rectangle 5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5" name="Rounded Rectangle 5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6" name="Rounded Rectangle 5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7" name="Rounded Rectangle 5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8" name="Rounded Rectangle 5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899" name="Rounded Rectangle 5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0" name="Rounded Rectangle 5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1" name="Rounded Rectangle 5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2" name="Rounded Rectangle 5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3" name="Rounded Rectangle 5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4" name="Rounded Rectangle 5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5" name="Rounded Rectangle 5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6" name="Rounded Rectangle 5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7" name="Rounded Rectangle 5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8" name="Rounded Rectangle 5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09" name="Rounded Rectangle 5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0" name="Rounded Rectangle 5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1" name="Rounded Rectangle 5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2" name="Rounded Rectangle 5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3" name="Rounded Rectangle 5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4" name="Rounded Rectangle 5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5" name="Rounded Rectangle 5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6" name="Rounded Rectangle 5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7" name="Rounded Rectangle 5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8" name="Rounded Rectangle 5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19" name="Rounded Rectangle 5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0" name="Rounded Rectangle 5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1" name="Rounded Rectangle 5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2" name="Rounded Rectangle 5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3" name="Rounded Rectangle 5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4" name="Rounded Rectangle 5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5" name="Rounded Rectangle 5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6" name="Rounded Rectangle 5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7" name="Rounded Rectangle 5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8" name="Rounded Rectangle 5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29" name="Rounded Rectangle 5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0" name="Rounded Rectangle 5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1" name="Rounded Rectangle 5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2" name="Rounded Rectangle 5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3" name="Rounded Rectangle 5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4" name="Rounded Rectangle 5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5" name="Rounded Rectangle 5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6" name="Rounded Rectangle 5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7" name="Rounded Rectangle 5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8" name="Rounded Rectangle 5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39" name="Rounded Rectangle 5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0" name="Rounded Rectangle 5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1" name="Rounded Rectangle 5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2" name="Rounded Rectangle 5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3" name="Rounded Rectangle 5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4" name="Rounded Rectangle 5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5" name="Rounded Rectangle 5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6" name="Rounded Rectangle 5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7" name="Rounded Rectangle 5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8" name="Rounded Rectangle 5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49" name="Rounded Rectangle 5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0" name="Rounded Rectangle 5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1" name="Rounded Rectangle 5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2" name="Rounded Rectangle 5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3" name="Rounded Rectangle 5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4" name="Rounded Rectangle 5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5" name="Rounded Rectangle 5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6" name="Rounded Rectangle 5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7" name="Rounded Rectangle 5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8" name="Rounded Rectangle 5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59" name="Rounded Rectangle 5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0" name="Rounded Rectangle 5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1" name="Rounded Rectangle 5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2" name="Rounded Rectangle 5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3" name="Rounded Rectangle 5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4" name="Rounded Rectangle 5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5" name="Rounded Rectangle 5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6" name="Rounded Rectangle 5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7" name="Rounded Rectangle 5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8" name="Rounded Rectangle 5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69" name="Rounded Rectangle 5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0" name="Rounded Rectangle 5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1" name="Rounded Rectangle 5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2" name="Rounded Rectangle 5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3" name="Rounded Rectangle 5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4" name="Rounded Rectangle 5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5" name="Rounded Rectangle 5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6" name="Rounded Rectangle 5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7" name="Rounded Rectangle 5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8" name="Rounded Rectangle 5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79" name="Rounded Rectangle 5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0" name="Rounded Rectangle 5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1" name="Rounded Rectangle 5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2" name="Rounded Rectangle 5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3" name="Rounded Rectangle 5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4" name="Rounded Rectangle 5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5" name="Rounded Rectangle 5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6" name="Rounded Rectangle 5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7" name="Rounded Rectangle 5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8" name="Rounded Rectangle 5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89" name="Rounded Rectangle 5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0" name="Rounded Rectangle 5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1" name="Rounded Rectangle 5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2" name="Rounded Rectangle 5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3" name="Rounded Rectangle 5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4" name="Rounded Rectangle 5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5" name="Rounded Rectangle 5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6" name="Rounded Rectangle 5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7" name="Rounded Rectangle 5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8" name="Rounded Rectangle 5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5999" name="Rounded Rectangle 5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0" name="Rounded Rectangle 5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1" name="Rounded Rectangle 6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2" name="Rounded Rectangle 6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3" name="Rounded Rectangle 6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4" name="Rounded Rectangle 6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5" name="Rounded Rectangle 6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6" name="Rounded Rectangle 6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7" name="Rounded Rectangle 6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8" name="Rounded Rectangle 6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09" name="Rounded Rectangle 6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0" name="Rounded Rectangle 6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1" name="Rounded Rectangle 6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2" name="Rounded Rectangle 6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3" name="Rounded Rectangle 6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4" name="Rounded Rectangle 6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5" name="Rounded Rectangle 6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6" name="Rounded Rectangle 6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7" name="Rounded Rectangle 6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8" name="Rounded Rectangle 6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19" name="Rounded Rectangle 6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0" name="Rounded Rectangle 6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1" name="Rounded Rectangle 6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2" name="Rounded Rectangle 6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3" name="Rounded Rectangle 6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4" name="Rounded Rectangle 6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5" name="Rounded Rectangle 6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6" name="Rounded Rectangle 6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7" name="Rounded Rectangle 6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8" name="Rounded Rectangle 6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29" name="Rounded Rectangle 6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0" name="Rounded Rectangle 6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1" name="Rounded Rectangle 6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2" name="Rounded Rectangle 6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3" name="Rounded Rectangle 6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4" name="Rounded Rectangle 6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5" name="Rounded Rectangle 6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6" name="Rounded Rectangle 6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7" name="Rounded Rectangle 6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8" name="Rounded Rectangle 6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39" name="Rounded Rectangle 6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0" name="Rounded Rectangle 6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1" name="Rounded Rectangle 6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2" name="Rounded Rectangle 6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3" name="Rounded Rectangle 6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4" name="Rounded Rectangle 6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5" name="Rounded Rectangle 6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6" name="Rounded Rectangle 6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7" name="Rounded Rectangle 6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8" name="Rounded Rectangle 6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49" name="Rounded Rectangle 6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0" name="Rounded Rectangle 6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1" name="Rounded Rectangle 6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2" name="Rounded Rectangle 6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3" name="Rounded Rectangle 6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4" name="Rounded Rectangle 6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5" name="Rounded Rectangle 6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6" name="Rounded Rectangle 6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7" name="Rounded Rectangle 6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8" name="Rounded Rectangle 6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59" name="Rounded Rectangle 6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0" name="Rounded Rectangle 6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1" name="Rounded Rectangle 6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2" name="Rounded Rectangle 6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3" name="Rounded Rectangle 6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4" name="Rounded Rectangle 6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5" name="Rounded Rectangle 6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6" name="Rounded Rectangle 6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7" name="Rounded Rectangle 6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8" name="Rounded Rectangle 6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69" name="Rounded Rectangle 6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0" name="Rounded Rectangle 6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1" name="Rounded Rectangle 6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2" name="Rounded Rectangle 6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3" name="Rounded Rectangle 6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4" name="Rounded Rectangle 6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5" name="Rounded Rectangle 6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6" name="Rounded Rectangle 6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7" name="Rounded Rectangle 6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8" name="Rounded Rectangle 6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79" name="Rounded Rectangle 6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0" name="Rounded Rectangle 6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1" name="Rounded Rectangle 6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2" name="Rounded Rectangle 6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3" name="Rounded Rectangle 6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4" name="Rounded Rectangle 6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5" name="Rounded Rectangle 6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6" name="Rounded Rectangle 6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7" name="Rounded Rectangle 6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8" name="Rounded Rectangle 6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89" name="Rounded Rectangle 6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0" name="Rounded Rectangle 6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1" name="Rounded Rectangle 6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2" name="Rounded Rectangle 6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3" name="Rounded Rectangle 6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4" name="Rounded Rectangle 6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5" name="Rounded Rectangle 6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6" name="Rounded Rectangle 6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7" name="Rounded Rectangle 6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8" name="Rounded Rectangle 6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099" name="Rounded Rectangle 6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0" name="Rounded Rectangle 6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1" name="Rounded Rectangle 6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2" name="Rounded Rectangle 6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3" name="Rounded Rectangle 6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4" name="Rounded Rectangle 6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5" name="Rounded Rectangle 6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6" name="Rounded Rectangle 6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7" name="Rounded Rectangle 6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8" name="Rounded Rectangle 6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09" name="Rounded Rectangle 6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0" name="Rounded Rectangle 6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1" name="Rounded Rectangle 6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2" name="Rounded Rectangle 6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3" name="Rounded Rectangle 6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4" name="Rounded Rectangle 6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5" name="Rounded Rectangle 6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6" name="Rounded Rectangle 6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7" name="Rounded Rectangle 6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8" name="Rounded Rectangle 6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19" name="Rounded Rectangle 6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0" name="Rounded Rectangle 6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1" name="Rounded Rectangle 6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2" name="Rounded Rectangle 6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3" name="Rounded Rectangle 6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4" name="Rounded Rectangle 6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5" name="Rounded Rectangle 6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6" name="Rounded Rectangle 6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7" name="Rounded Rectangle 6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8" name="Rounded Rectangle 6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29" name="Rounded Rectangle 6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0" name="Rounded Rectangle 6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1" name="Rounded Rectangle 6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2" name="Rounded Rectangle 6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3" name="Rounded Rectangle 6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4" name="Rounded Rectangle 6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5" name="Rounded Rectangle 6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6" name="Rounded Rectangle 6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7" name="Rounded Rectangle 6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8" name="Rounded Rectangle 6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39" name="Rounded Rectangle 6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0" name="Rounded Rectangle 6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1" name="Rounded Rectangle 6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2" name="Rounded Rectangle 6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3" name="Rounded Rectangle 6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4" name="Rounded Rectangle 6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5" name="Rounded Rectangle 6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6" name="Rounded Rectangle 6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7" name="Rounded Rectangle 6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8" name="Rounded Rectangle 6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49" name="Rounded Rectangle 6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0" name="Rounded Rectangle 6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1" name="Rounded Rectangle 6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2" name="Rounded Rectangle 6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3" name="Rounded Rectangle 6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4" name="Rounded Rectangle 6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5" name="Rounded Rectangle 6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6" name="Rounded Rectangle 6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7" name="Rounded Rectangle 6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8" name="Rounded Rectangle 6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59" name="Rounded Rectangle 6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0" name="Rounded Rectangle 6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1" name="Rounded Rectangle 6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2" name="Rounded Rectangle 6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3" name="Rounded Rectangle 6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4" name="Rounded Rectangle 6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5" name="Rounded Rectangle 6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6" name="Rounded Rectangle 6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7" name="Rounded Rectangle 6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8" name="Rounded Rectangle 6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69" name="Rounded Rectangle 6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0" name="Rounded Rectangle 6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1" name="Rounded Rectangle 6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2" name="Rounded Rectangle 6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3" name="Rounded Rectangle 6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4" name="Rounded Rectangle 6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5" name="Rounded Rectangle 6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6" name="Rounded Rectangle 6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7" name="Rounded Rectangle 6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8" name="Rounded Rectangle 6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79" name="Rounded Rectangle 6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0" name="Rounded Rectangle 6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1" name="Rounded Rectangle 6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2" name="Rounded Rectangle 6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3" name="Rounded Rectangle 6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4" name="Rounded Rectangle 6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5" name="Rounded Rectangle 6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6" name="Rounded Rectangle 6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7" name="Rounded Rectangle 6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8" name="Rounded Rectangle 6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89" name="Rounded Rectangle 6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0" name="Rounded Rectangle 6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1" name="Rounded Rectangle 6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2" name="Rounded Rectangle 6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3" name="Rounded Rectangle 6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4" name="Rounded Rectangle 6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5" name="Rounded Rectangle 6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6" name="Rounded Rectangle 6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7" name="Rounded Rectangle 6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8" name="Rounded Rectangle 6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199" name="Rounded Rectangle 6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0" name="Rounded Rectangle 6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1" name="Rounded Rectangle 6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2" name="Rounded Rectangle 6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3" name="Rounded Rectangle 6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4" name="Rounded Rectangle 6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5" name="Rounded Rectangle 6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6" name="Rounded Rectangle 6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7" name="Rounded Rectangle 6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8" name="Rounded Rectangle 6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09" name="Rounded Rectangle 6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0" name="Rounded Rectangle 6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1" name="Rounded Rectangle 6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2" name="Rounded Rectangle 6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3" name="Rounded Rectangle 6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4" name="Rounded Rectangle 6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5" name="Rounded Rectangle 6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6" name="Rounded Rectangle 6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7" name="Rounded Rectangle 6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8" name="Rounded Rectangle 6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19" name="Rounded Rectangle 6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0" name="Rounded Rectangle 6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1" name="Rounded Rectangle 6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2" name="Rounded Rectangle 6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3" name="Rounded Rectangle 6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4" name="Rounded Rectangle 6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5" name="Rounded Rectangle 6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6" name="Rounded Rectangle 6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7" name="Rounded Rectangle 6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8" name="Rounded Rectangle 6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29" name="Rounded Rectangle 6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0" name="Rounded Rectangle 6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1" name="Rounded Rectangle 6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2" name="Rounded Rectangle 6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3" name="Rounded Rectangle 6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4" name="Rounded Rectangle 6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5" name="Rounded Rectangle 6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6" name="Rounded Rectangle 6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7" name="Rounded Rectangle 6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8" name="Rounded Rectangle 6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39" name="Rounded Rectangle 6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0" name="Rounded Rectangle 6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1" name="Rounded Rectangle 6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2" name="Rounded Rectangle 6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3" name="Rounded Rectangle 6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4" name="Rounded Rectangle 6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5" name="Rounded Rectangle 6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6" name="Rounded Rectangle 6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7" name="Rounded Rectangle 6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8" name="Rounded Rectangle 6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49" name="Rounded Rectangle 6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0" name="Rounded Rectangle 6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1" name="Rounded Rectangle 6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2" name="Rounded Rectangle 6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3" name="Rounded Rectangle 6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4" name="Rounded Rectangle 6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5" name="Rounded Rectangle 6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6" name="Rounded Rectangle 6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7" name="Rounded Rectangle 6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8" name="Rounded Rectangle 6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59" name="Rounded Rectangle 6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0" name="Rounded Rectangle 6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1" name="Rounded Rectangle 6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2" name="Rounded Rectangle 6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3" name="Rounded Rectangle 6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4" name="Rounded Rectangle 6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5" name="Rounded Rectangle 6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6" name="Rounded Rectangle 6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7" name="Rounded Rectangle 6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8" name="Rounded Rectangle 6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69" name="Rounded Rectangle 6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0" name="Rounded Rectangle 6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1" name="Rounded Rectangle 6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2" name="Rounded Rectangle 6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3" name="Rounded Rectangle 6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4" name="Rounded Rectangle 6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5" name="Rounded Rectangle 6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6" name="Rounded Rectangle 6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7" name="Rounded Rectangle 6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8" name="Rounded Rectangle 6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79" name="Rounded Rectangle 6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0" name="Rounded Rectangle 6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1" name="Rounded Rectangle 6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2" name="Rounded Rectangle 6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3" name="Rounded Rectangle 6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4" name="Rounded Rectangle 6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5" name="Rounded Rectangle 6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6" name="Rounded Rectangle 6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7" name="Rounded Rectangle 6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8" name="Rounded Rectangle 6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89" name="Rounded Rectangle 6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0" name="Rounded Rectangle 6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1" name="Rounded Rectangle 6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2" name="Rounded Rectangle 6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3" name="Rounded Rectangle 6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4" name="Rounded Rectangle 6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5" name="Rounded Rectangle 6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6" name="Rounded Rectangle 6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7" name="Rounded Rectangle 6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8" name="Rounded Rectangle 6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299" name="Rounded Rectangle 6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0" name="Rounded Rectangle 6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1" name="Rounded Rectangle 6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2" name="Rounded Rectangle 6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3" name="Rounded Rectangle 6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4" name="Rounded Rectangle 6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5" name="Rounded Rectangle 6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6" name="Rounded Rectangle 6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7" name="Rounded Rectangle 6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8" name="Rounded Rectangle 6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09" name="Rounded Rectangle 6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0" name="Rounded Rectangle 6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1" name="Rounded Rectangle 6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2" name="Rounded Rectangle 6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3" name="Rounded Rectangle 6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4" name="Rounded Rectangle 6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5" name="Rounded Rectangle 6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6" name="Rounded Rectangle 6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7" name="Rounded Rectangle 6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8" name="Rounded Rectangle 6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19" name="Rounded Rectangle 6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0" name="Rounded Rectangle 6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1" name="Rounded Rectangle 6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2" name="Rounded Rectangle 6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3" name="Rounded Rectangle 6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4" name="Rounded Rectangle 6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5" name="Rounded Rectangle 6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6" name="Rounded Rectangle 6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7" name="Rounded Rectangle 6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8" name="Rounded Rectangle 6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29" name="Rounded Rectangle 6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0" name="Rounded Rectangle 6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1" name="Rounded Rectangle 6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2" name="Rounded Rectangle 6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3" name="Rounded Rectangle 6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4" name="Rounded Rectangle 6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5" name="Rounded Rectangle 6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6" name="Rounded Rectangle 6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7" name="Rounded Rectangle 6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8" name="Rounded Rectangle 6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39" name="Rounded Rectangle 6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0" name="Rounded Rectangle 6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1" name="Rounded Rectangle 6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2" name="Rounded Rectangle 6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3" name="Rounded Rectangle 6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4" name="Rounded Rectangle 6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5" name="Rounded Rectangle 6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6" name="Rounded Rectangle 6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7" name="Rounded Rectangle 6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8" name="Rounded Rectangle 6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49" name="Rounded Rectangle 6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0" name="Rounded Rectangle 6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1" name="Rounded Rectangle 6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2" name="Rounded Rectangle 6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3" name="Rounded Rectangle 6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4" name="Rounded Rectangle 6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5" name="Rounded Rectangle 6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6" name="Rounded Rectangle 6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7" name="Rounded Rectangle 6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8" name="Rounded Rectangle 6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59" name="Rounded Rectangle 6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0" name="Rounded Rectangle 6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1" name="Rounded Rectangle 6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2" name="Rounded Rectangle 6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3" name="Rounded Rectangle 6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4" name="Rounded Rectangle 6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5" name="Rounded Rectangle 6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6" name="Rounded Rectangle 6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7" name="Rounded Rectangle 6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8" name="Rounded Rectangle 6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69" name="Rounded Rectangle 6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0" name="Rounded Rectangle 6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1" name="Rounded Rectangle 6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2" name="Rounded Rectangle 6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3" name="Rounded Rectangle 6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4" name="Rounded Rectangle 6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5" name="Rounded Rectangle 6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6" name="Rounded Rectangle 6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7" name="Rounded Rectangle 6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8" name="Rounded Rectangle 6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79" name="Rounded Rectangle 6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0" name="Rounded Rectangle 6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1" name="Rounded Rectangle 6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2" name="Rounded Rectangle 6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3" name="Rounded Rectangle 6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4" name="Rounded Rectangle 6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5" name="Rounded Rectangle 6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6" name="Rounded Rectangle 6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7" name="Rounded Rectangle 6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8" name="Rounded Rectangle 6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89" name="Rounded Rectangle 6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0" name="Rounded Rectangle 6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1" name="Rounded Rectangle 6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2" name="Rounded Rectangle 6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3" name="Rounded Rectangle 6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4" name="Rounded Rectangle 6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5" name="Rounded Rectangle 6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6" name="Rounded Rectangle 6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7" name="Rounded Rectangle 6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8" name="Rounded Rectangle 6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399" name="Rounded Rectangle 6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0" name="Rounded Rectangle 6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1" name="Rounded Rectangle 6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2" name="Rounded Rectangle 6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3" name="Rounded Rectangle 6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4" name="Rounded Rectangle 6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5" name="Rounded Rectangle 6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6" name="Rounded Rectangle 6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7" name="Rounded Rectangle 6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8" name="Rounded Rectangle 6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09" name="Rounded Rectangle 6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0" name="Rounded Rectangle 6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1" name="Rounded Rectangle 6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2" name="Rounded Rectangle 6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3" name="Rounded Rectangle 6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4" name="Rounded Rectangle 6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5" name="Rounded Rectangle 6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6" name="Rounded Rectangle 6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7" name="Rounded Rectangle 6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8" name="Rounded Rectangle 6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19" name="Rounded Rectangle 6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0" name="Rounded Rectangle 6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1" name="Rounded Rectangle 6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2" name="Rounded Rectangle 6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3" name="Rounded Rectangle 6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4" name="Rounded Rectangle 6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5" name="Rounded Rectangle 6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6" name="Rounded Rectangle 6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7" name="Rounded Rectangle 6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8" name="Rounded Rectangle 6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29" name="Rounded Rectangle 6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0" name="Rounded Rectangle 6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1" name="Rounded Rectangle 6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2" name="Rounded Rectangle 6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3" name="Rounded Rectangle 6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4" name="Rounded Rectangle 6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5" name="Rounded Rectangle 6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6" name="Rounded Rectangle 6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7" name="Rounded Rectangle 6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8" name="Rounded Rectangle 6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39" name="Rounded Rectangle 6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0" name="Rounded Rectangle 6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1" name="Rounded Rectangle 6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2" name="Rounded Rectangle 6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3" name="Rounded Rectangle 6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4" name="Rounded Rectangle 6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5" name="Rounded Rectangle 6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6" name="Rounded Rectangle 6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7" name="Rounded Rectangle 6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8" name="Rounded Rectangle 6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49" name="Rounded Rectangle 6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0" name="Rounded Rectangle 6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1" name="Rounded Rectangle 6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2" name="Rounded Rectangle 6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3" name="Rounded Rectangle 6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4" name="Rounded Rectangle 6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5" name="Rounded Rectangle 6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6" name="Rounded Rectangle 6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7" name="Rounded Rectangle 6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8" name="Rounded Rectangle 6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59" name="Rounded Rectangle 6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0" name="Rounded Rectangle 6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1" name="Rounded Rectangle 6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2" name="Rounded Rectangle 6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3" name="Rounded Rectangle 6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4" name="Rounded Rectangle 6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5" name="Rounded Rectangle 6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6" name="Rounded Rectangle 6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7" name="Rounded Rectangle 6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8" name="Rounded Rectangle 6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69" name="Rounded Rectangle 6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0" name="Rounded Rectangle 6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1" name="Rounded Rectangle 6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2" name="Rounded Rectangle 6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3" name="Rounded Rectangle 6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4" name="Rounded Rectangle 6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5" name="Rounded Rectangle 6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6" name="Rounded Rectangle 6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7" name="Rounded Rectangle 6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8" name="Rounded Rectangle 6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79" name="Rounded Rectangle 6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0" name="Rounded Rectangle 6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1" name="Rounded Rectangle 6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2" name="Rounded Rectangle 6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3" name="Rounded Rectangle 6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4" name="Rounded Rectangle 6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5" name="Rounded Rectangle 6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6" name="Rounded Rectangle 6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7" name="Rounded Rectangle 6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8" name="Rounded Rectangle 6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89" name="Rounded Rectangle 6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0" name="Rounded Rectangle 6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1" name="Rounded Rectangle 6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2" name="Rounded Rectangle 6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3" name="Rounded Rectangle 6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4" name="Rounded Rectangle 6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5" name="Rounded Rectangle 6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6" name="Rounded Rectangle 6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7" name="Rounded Rectangle 6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8" name="Rounded Rectangle 6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499" name="Rounded Rectangle 6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0" name="Rounded Rectangle 6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1" name="Rounded Rectangle 6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2" name="Rounded Rectangle 6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3" name="Rounded Rectangle 6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4" name="Rounded Rectangle 6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5" name="Rounded Rectangle 6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6" name="Rounded Rectangle 6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7" name="Rounded Rectangle 6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8" name="Rounded Rectangle 6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09" name="Rounded Rectangle 6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0" name="Rounded Rectangle 6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1" name="Rounded Rectangle 6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2" name="Rounded Rectangle 6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3" name="Rounded Rectangle 6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4" name="Rounded Rectangle 6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5" name="Rounded Rectangle 6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6" name="Rounded Rectangle 6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7" name="Rounded Rectangle 6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8" name="Rounded Rectangle 6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19" name="Rounded Rectangle 6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0" name="Rounded Rectangle 6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1" name="Rounded Rectangle 6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2" name="Rounded Rectangle 6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3" name="Rounded Rectangle 6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4" name="Rounded Rectangle 6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5" name="Rounded Rectangle 6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6" name="Rounded Rectangle 6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7" name="Rounded Rectangle 6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8" name="Rounded Rectangle 6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29" name="Rounded Rectangle 6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0" name="Rounded Rectangle 6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1" name="Rounded Rectangle 6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2" name="Rounded Rectangle 6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3" name="Rounded Rectangle 6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4" name="Rounded Rectangle 6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5" name="Rounded Rectangle 6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6" name="Rounded Rectangle 6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7" name="Rounded Rectangle 6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8" name="Rounded Rectangle 6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39" name="Rounded Rectangle 6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0" name="Rounded Rectangle 6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1" name="Rounded Rectangle 6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2" name="Rounded Rectangle 6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3" name="Rounded Rectangle 6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4" name="Rounded Rectangle 6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5" name="Rounded Rectangle 6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6" name="Rounded Rectangle 6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7" name="Rounded Rectangle 6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8" name="Rounded Rectangle 6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49" name="Rounded Rectangle 6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0" name="Rounded Rectangle 6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1" name="Rounded Rectangle 6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2" name="Rounded Rectangle 6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3" name="Rounded Rectangle 6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4" name="Rounded Rectangle 6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5" name="Rounded Rectangle 6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6" name="Rounded Rectangle 6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7" name="Rounded Rectangle 6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8" name="Rounded Rectangle 6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59" name="Rounded Rectangle 6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0" name="Rounded Rectangle 6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1" name="Rounded Rectangle 6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2" name="Rounded Rectangle 6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3" name="Rounded Rectangle 6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4" name="Rounded Rectangle 6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5" name="Rounded Rectangle 6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6" name="Rounded Rectangle 6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7" name="Rounded Rectangle 6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8" name="Rounded Rectangle 6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69" name="Rounded Rectangle 6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0" name="Rounded Rectangle 6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1" name="Rounded Rectangle 6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2" name="Rounded Rectangle 6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3" name="Rounded Rectangle 6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4" name="Rounded Rectangle 6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5" name="Rounded Rectangle 6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6" name="Rounded Rectangle 6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7" name="Rounded Rectangle 6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8" name="Rounded Rectangle 6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79" name="Rounded Rectangle 6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0" name="Rounded Rectangle 6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1" name="Rounded Rectangle 6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2" name="Rounded Rectangle 6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3" name="Rounded Rectangle 6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4" name="Rounded Rectangle 6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5" name="Rounded Rectangle 6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6" name="Rounded Rectangle 6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7" name="Rounded Rectangle 6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8" name="Rounded Rectangle 6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89" name="Rounded Rectangle 6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0" name="Rounded Rectangle 6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1" name="Rounded Rectangle 6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2" name="Rounded Rectangle 6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3" name="Rounded Rectangle 6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4" name="Rounded Rectangle 6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5" name="Rounded Rectangle 6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6" name="Rounded Rectangle 6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7" name="Rounded Rectangle 6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8" name="Rounded Rectangle 6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599" name="Rounded Rectangle 6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0" name="Rounded Rectangle 6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1" name="Rounded Rectangle 6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2" name="Rounded Rectangle 6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3" name="Rounded Rectangle 6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4" name="Rounded Rectangle 6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5" name="Rounded Rectangle 6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6" name="Rounded Rectangle 6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7" name="Rounded Rectangle 6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8" name="Rounded Rectangle 6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09" name="Rounded Rectangle 6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0" name="Rounded Rectangle 6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1" name="Rounded Rectangle 6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2" name="Rounded Rectangle 6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3" name="Rounded Rectangle 6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4" name="Rounded Rectangle 6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5" name="Rounded Rectangle 6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6" name="Rounded Rectangle 6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7" name="Rounded Rectangle 6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8" name="Rounded Rectangle 6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19" name="Rounded Rectangle 6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0" name="Rounded Rectangle 6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1" name="Rounded Rectangle 6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2" name="Rounded Rectangle 6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3" name="Rounded Rectangle 6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4" name="Rounded Rectangle 6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5" name="Rounded Rectangle 6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6" name="Rounded Rectangle 6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7" name="Rounded Rectangle 6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8" name="Rounded Rectangle 6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29" name="Rounded Rectangle 6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0" name="Rounded Rectangle 6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1" name="Rounded Rectangle 6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2" name="Rounded Rectangle 6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3" name="Rounded Rectangle 6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4" name="Rounded Rectangle 6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5" name="Rounded Rectangle 6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6" name="Rounded Rectangle 6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7" name="Rounded Rectangle 6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8" name="Rounded Rectangle 6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39" name="Rounded Rectangle 6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0" name="Rounded Rectangle 6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1" name="Rounded Rectangle 6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2" name="Rounded Rectangle 6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3" name="Rounded Rectangle 6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4" name="Rounded Rectangle 6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5" name="Rounded Rectangle 6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6" name="Rounded Rectangle 6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7" name="Rounded Rectangle 6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8" name="Rounded Rectangle 6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49" name="Rounded Rectangle 6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0" name="Rounded Rectangle 6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1" name="Rounded Rectangle 6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2" name="Rounded Rectangle 6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3" name="Rounded Rectangle 6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4" name="Rounded Rectangle 6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5" name="Rounded Rectangle 6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6" name="Rounded Rectangle 6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7" name="Rounded Rectangle 6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8" name="Rounded Rectangle 6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59" name="Rounded Rectangle 6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0" name="Rounded Rectangle 6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1" name="Rounded Rectangle 6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2" name="Rounded Rectangle 6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3" name="Rounded Rectangle 6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4" name="Rounded Rectangle 6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5" name="Rounded Rectangle 6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6" name="Rounded Rectangle 6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7" name="Rounded Rectangle 6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8" name="Rounded Rectangle 6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69" name="Rounded Rectangle 6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0" name="Rounded Rectangle 6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1" name="Rounded Rectangle 6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2" name="Rounded Rectangle 6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3" name="Rounded Rectangle 6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4" name="Rounded Rectangle 6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5" name="Rounded Rectangle 6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6" name="Rounded Rectangle 6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7" name="Rounded Rectangle 6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8" name="Rounded Rectangle 6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79" name="Rounded Rectangle 6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0" name="Rounded Rectangle 6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1" name="Rounded Rectangle 6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2" name="Rounded Rectangle 6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3" name="Rounded Rectangle 6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4" name="Rounded Rectangle 6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5" name="Rounded Rectangle 6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6" name="Rounded Rectangle 6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7" name="Rounded Rectangle 6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8" name="Rounded Rectangle 6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89" name="Rounded Rectangle 6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0" name="Rounded Rectangle 6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1" name="Rounded Rectangle 6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2" name="Rounded Rectangle 6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3" name="Rounded Rectangle 6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4" name="Rounded Rectangle 6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5" name="Rounded Rectangle 6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6" name="Rounded Rectangle 6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7" name="Rounded Rectangle 6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8" name="Rounded Rectangle 6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699" name="Rounded Rectangle 6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0" name="Rounded Rectangle 6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1" name="Rounded Rectangle 6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2" name="Rounded Rectangle 6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3" name="Rounded Rectangle 6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4" name="Rounded Rectangle 6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5" name="Rounded Rectangle 6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6" name="Rounded Rectangle 6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7" name="Rounded Rectangle 6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8" name="Rounded Rectangle 6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09" name="Rounded Rectangle 6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0" name="Rounded Rectangle 6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1" name="Rounded Rectangle 6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2" name="Rounded Rectangle 6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3" name="Rounded Rectangle 6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4" name="Rounded Rectangle 6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5" name="Rounded Rectangle 6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6" name="Rounded Rectangle 6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7" name="Rounded Rectangle 6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8" name="Rounded Rectangle 6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19" name="Rounded Rectangle 6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0" name="Rounded Rectangle 6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1" name="Rounded Rectangle 6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2" name="Rounded Rectangle 6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3" name="Rounded Rectangle 6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4" name="Rounded Rectangle 6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5" name="Rounded Rectangle 6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6" name="Rounded Rectangle 6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7" name="Rounded Rectangle 6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8" name="Rounded Rectangle 6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29" name="Rounded Rectangle 6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0" name="Rounded Rectangle 6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1" name="Rounded Rectangle 6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2" name="Rounded Rectangle 6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3" name="Rounded Rectangle 6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4" name="Rounded Rectangle 6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5" name="Rounded Rectangle 6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6" name="Rounded Rectangle 6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7" name="Rounded Rectangle 6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8" name="Rounded Rectangle 6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39" name="Rounded Rectangle 6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0" name="Rounded Rectangle 6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1" name="Rounded Rectangle 6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2" name="Rounded Rectangle 6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3" name="Rounded Rectangle 6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4" name="Rounded Rectangle 6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5" name="Rounded Rectangle 6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6" name="Rounded Rectangle 6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7" name="Rounded Rectangle 6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8" name="Rounded Rectangle 6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49" name="Rounded Rectangle 6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0" name="Rounded Rectangle 6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1" name="Rounded Rectangle 6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2" name="Rounded Rectangle 6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3" name="Rounded Rectangle 6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4" name="Rounded Rectangle 6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5" name="Rounded Rectangle 6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6" name="Rounded Rectangle 6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7" name="Rounded Rectangle 6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8" name="Rounded Rectangle 6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59" name="Rounded Rectangle 6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0" name="Rounded Rectangle 6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1" name="Rounded Rectangle 6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2" name="Rounded Rectangle 6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3" name="Rounded Rectangle 6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4" name="Rounded Rectangle 6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5" name="Rounded Rectangle 6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6" name="Rounded Rectangle 6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7" name="Rounded Rectangle 6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8" name="Rounded Rectangle 6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69" name="Rounded Rectangle 6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0" name="Rounded Rectangle 6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1" name="Rounded Rectangle 6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2" name="Rounded Rectangle 6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3" name="Rounded Rectangle 6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4" name="Rounded Rectangle 6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5" name="Rounded Rectangle 6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6" name="Rounded Rectangle 6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7" name="Rounded Rectangle 6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8" name="Rounded Rectangle 6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79" name="Rounded Rectangle 6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0" name="Rounded Rectangle 6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1" name="Rounded Rectangle 6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2" name="Rounded Rectangle 6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3" name="Rounded Rectangle 6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4" name="Rounded Rectangle 6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5" name="Rounded Rectangle 6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6" name="Rounded Rectangle 6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7" name="Rounded Rectangle 6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8" name="Rounded Rectangle 6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89" name="Rounded Rectangle 6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0" name="Rounded Rectangle 6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1" name="Rounded Rectangle 6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2" name="Rounded Rectangle 6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3" name="Rounded Rectangle 6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4" name="Rounded Rectangle 6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5" name="Rounded Rectangle 6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6" name="Rounded Rectangle 6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7" name="Rounded Rectangle 6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8" name="Rounded Rectangle 6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799" name="Rounded Rectangle 6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0" name="Rounded Rectangle 6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1" name="Rounded Rectangle 6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2" name="Rounded Rectangle 6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3" name="Rounded Rectangle 6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4" name="Rounded Rectangle 6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5" name="Rounded Rectangle 6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6" name="Rounded Rectangle 6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7" name="Rounded Rectangle 6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8" name="Rounded Rectangle 6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09" name="Rounded Rectangle 6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0" name="Rounded Rectangle 6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1" name="Rounded Rectangle 6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2" name="Rounded Rectangle 6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3" name="Rounded Rectangle 6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4" name="Rounded Rectangle 6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5" name="Rounded Rectangle 6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6" name="Rounded Rectangle 6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7" name="Rounded Rectangle 6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8" name="Rounded Rectangle 6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19" name="Rounded Rectangle 6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0" name="Rounded Rectangle 6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1" name="Rounded Rectangle 6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2" name="Rounded Rectangle 6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3" name="Rounded Rectangle 6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4" name="Rounded Rectangle 6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5" name="Rounded Rectangle 6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6" name="Rounded Rectangle 6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7" name="Rounded Rectangle 6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8" name="Rounded Rectangle 6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29" name="Rounded Rectangle 6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0" name="Rounded Rectangle 6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1" name="Rounded Rectangle 6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2" name="Rounded Rectangle 6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3" name="Rounded Rectangle 6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4" name="Rounded Rectangle 6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5" name="Rounded Rectangle 6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6" name="Rounded Rectangle 6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7" name="Rounded Rectangle 6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8" name="Rounded Rectangle 6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39" name="Rounded Rectangle 6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0" name="Rounded Rectangle 6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1" name="Rounded Rectangle 6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2" name="Rounded Rectangle 6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3" name="Rounded Rectangle 6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4" name="Rounded Rectangle 6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5" name="Rounded Rectangle 6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6" name="Rounded Rectangle 6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7" name="Rounded Rectangle 6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8" name="Rounded Rectangle 6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49" name="Rounded Rectangle 6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0" name="Rounded Rectangle 6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1" name="Rounded Rectangle 6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2" name="Rounded Rectangle 6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3" name="Rounded Rectangle 6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4" name="Rounded Rectangle 6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5" name="Rounded Rectangle 6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6" name="Rounded Rectangle 6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7" name="Rounded Rectangle 6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8" name="Rounded Rectangle 6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59" name="Rounded Rectangle 6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0" name="Rounded Rectangle 6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1" name="Rounded Rectangle 6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2" name="Rounded Rectangle 6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3" name="Rounded Rectangle 6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4" name="Rounded Rectangle 6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5" name="Rounded Rectangle 6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6" name="Rounded Rectangle 6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7" name="Rounded Rectangle 6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8" name="Rounded Rectangle 6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69" name="Rounded Rectangle 6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0" name="Rounded Rectangle 6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1" name="Rounded Rectangle 6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2" name="Rounded Rectangle 6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3" name="Rounded Rectangle 6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4" name="Rounded Rectangle 6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5" name="Rounded Rectangle 6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6" name="Rounded Rectangle 6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7" name="Rounded Rectangle 6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8" name="Rounded Rectangle 6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79" name="Rounded Rectangle 6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0" name="Rounded Rectangle 6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1" name="Rounded Rectangle 6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2" name="Rounded Rectangle 6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3" name="Rounded Rectangle 6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4" name="Rounded Rectangle 6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5" name="Rounded Rectangle 6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6" name="Rounded Rectangle 6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7" name="Rounded Rectangle 6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8" name="Rounded Rectangle 6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89" name="Rounded Rectangle 6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0" name="Rounded Rectangle 6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1" name="Rounded Rectangle 6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2" name="Rounded Rectangle 6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3" name="Rounded Rectangle 6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4" name="Rounded Rectangle 6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5" name="Rounded Rectangle 6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6" name="Rounded Rectangle 6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7" name="Rounded Rectangle 6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8" name="Rounded Rectangle 6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899" name="Rounded Rectangle 6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0" name="Rounded Rectangle 6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1" name="Rounded Rectangle 6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2" name="Rounded Rectangle 6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3" name="Rounded Rectangle 6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4" name="Rounded Rectangle 6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5" name="Rounded Rectangle 6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6" name="Rounded Rectangle 6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7" name="Rounded Rectangle 6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8" name="Rounded Rectangle 6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09" name="Rounded Rectangle 6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0" name="Rounded Rectangle 6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1" name="Rounded Rectangle 6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2" name="Rounded Rectangle 6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3" name="Rounded Rectangle 6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4" name="Rounded Rectangle 6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5" name="Rounded Rectangle 6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6" name="Rounded Rectangle 6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7" name="Rounded Rectangle 6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8" name="Rounded Rectangle 6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19" name="Rounded Rectangle 6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0" name="Rounded Rectangle 6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1" name="Rounded Rectangle 6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2" name="Rounded Rectangle 6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3" name="Rounded Rectangle 6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4" name="Rounded Rectangle 6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5" name="Rounded Rectangle 6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6" name="Rounded Rectangle 6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7" name="Rounded Rectangle 6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8" name="Rounded Rectangle 6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29" name="Rounded Rectangle 6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0" name="Rounded Rectangle 6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1" name="Rounded Rectangle 6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2" name="Rounded Rectangle 6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3" name="Rounded Rectangle 6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4" name="Rounded Rectangle 6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5" name="Rounded Rectangle 6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6" name="Rounded Rectangle 6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7" name="Rounded Rectangle 6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8" name="Rounded Rectangle 6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39" name="Rounded Rectangle 6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0" name="Rounded Rectangle 6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1" name="Rounded Rectangle 6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2" name="Rounded Rectangle 6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3" name="Rounded Rectangle 6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4" name="Rounded Rectangle 6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5" name="Rounded Rectangle 6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6" name="Rounded Rectangle 6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7" name="Rounded Rectangle 6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8" name="Rounded Rectangle 6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49" name="Rounded Rectangle 6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0" name="Rounded Rectangle 6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1" name="Rounded Rectangle 6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2" name="Rounded Rectangle 6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3" name="Rounded Rectangle 6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4" name="Rounded Rectangle 6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5" name="Rounded Rectangle 6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6" name="Rounded Rectangle 6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7" name="Rounded Rectangle 6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8" name="Rounded Rectangle 6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59" name="Rounded Rectangle 6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0" name="Rounded Rectangle 6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1" name="Rounded Rectangle 6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2" name="Rounded Rectangle 6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3" name="Rounded Rectangle 6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4" name="Rounded Rectangle 6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5" name="Rounded Rectangle 6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6" name="Rounded Rectangle 6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7" name="Rounded Rectangle 6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8" name="Rounded Rectangle 6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69" name="Rounded Rectangle 6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0" name="Rounded Rectangle 6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1" name="Rounded Rectangle 6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2" name="Rounded Rectangle 6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3" name="Rounded Rectangle 6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4" name="Rounded Rectangle 6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5" name="Rounded Rectangle 6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6" name="Rounded Rectangle 6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7" name="Rounded Rectangle 6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8" name="Rounded Rectangle 6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79" name="Rounded Rectangle 6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0" name="Rounded Rectangle 6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1" name="Rounded Rectangle 6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2" name="Rounded Rectangle 6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3" name="Rounded Rectangle 6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4" name="Rounded Rectangle 6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5" name="Rounded Rectangle 6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6" name="Rounded Rectangle 6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7" name="Rounded Rectangle 6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8" name="Rounded Rectangle 6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89" name="Rounded Rectangle 6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0" name="Rounded Rectangle 6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1" name="Rounded Rectangle 6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2" name="Rounded Rectangle 6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3" name="Rounded Rectangle 6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4" name="Rounded Rectangle 6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5" name="Rounded Rectangle 6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6" name="Rounded Rectangle 6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7" name="Rounded Rectangle 6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8" name="Rounded Rectangle 6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6999" name="Rounded Rectangle 6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0" name="Rounded Rectangle 6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1" name="Rounded Rectangle 7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2" name="Rounded Rectangle 7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3" name="Rounded Rectangle 7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4" name="Rounded Rectangle 7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5" name="Rounded Rectangle 7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6" name="Rounded Rectangle 7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7" name="Rounded Rectangle 7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8" name="Rounded Rectangle 7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09" name="Rounded Rectangle 7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0" name="Rounded Rectangle 7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1" name="Rounded Rectangle 7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2" name="Rounded Rectangle 7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3" name="Rounded Rectangle 7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4" name="Rounded Rectangle 7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5" name="Rounded Rectangle 7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6" name="Rounded Rectangle 7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7" name="Rounded Rectangle 7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8" name="Rounded Rectangle 7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19" name="Rounded Rectangle 7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0" name="Rounded Rectangle 7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1" name="Rounded Rectangle 7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2" name="Rounded Rectangle 7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3" name="Rounded Rectangle 7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4" name="Rounded Rectangle 7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5" name="Rounded Rectangle 7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6" name="Rounded Rectangle 7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7" name="Rounded Rectangle 7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8" name="Rounded Rectangle 7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29" name="Rounded Rectangle 7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0" name="Rounded Rectangle 7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1" name="Rounded Rectangle 7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2" name="Rounded Rectangle 7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3" name="Rounded Rectangle 7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4" name="Rounded Rectangle 7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5" name="Rounded Rectangle 7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6" name="Rounded Rectangle 7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7" name="Rounded Rectangle 7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8" name="Rounded Rectangle 7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39" name="Rounded Rectangle 7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0" name="Rounded Rectangle 7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1" name="Rounded Rectangle 7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2" name="Rounded Rectangle 7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3" name="Rounded Rectangle 7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4" name="Rounded Rectangle 7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5" name="Rounded Rectangle 7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6" name="Rounded Rectangle 7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7" name="Rounded Rectangle 7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8" name="Rounded Rectangle 7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49" name="Rounded Rectangle 7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0" name="Rounded Rectangle 7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1" name="Rounded Rectangle 7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2" name="Rounded Rectangle 7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3" name="Rounded Rectangle 7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4" name="Rounded Rectangle 7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5" name="Rounded Rectangle 7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6" name="Rounded Rectangle 7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7" name="Rounded Rectangle 7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8" name="Rounded Rectangle 7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59" name="Rounded Rectangle 7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0" name="Rounded Rectangle 7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1" name="Rounded Rectangle 7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2" name="Rounded Rectangle 7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3" name="Rounded Rectangle 7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4" name="Rounded Rectangle 7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5" name="Rounded Rectangle 7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6" name="Rounded Rectangle 7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7" name="Rounded Rectangle 7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8" name="Rounded Rectangle 7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69" name="Rounded Rectangle 7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0" name="Rounded Rectangle 7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1" name="Rounded Rectangle 7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2" name="Rounded Rectangle 7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3" name="Rounded Rectangle 7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4" name="Rounded Rectangle 7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5" name="Rounded Rectangle 7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6" name="Rounded Rectangle 7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7" name="Rounded Rectangle 7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8" name="Rounded Rectangle 7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79" name="Rounded Rectangle 7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0" name="Rounded Rectangle 7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1" name="Rounded Rectangle 7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2" name="Rounded Rectangle 7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3" name="Rounded Rectangle 7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4" name="Rounded Rectangle 7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5" name="Rounded Rectangle 7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6" name="Rounded Rectangle 7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7" name="Rounded Rectangle 7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8" name="Rounded Rectangle 7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89" name="Rounded Rectangle 7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0" name="Rounded Rectangle 7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1" name="Rounded Rectangle 7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2" name="Rounded Rectangle 7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3" name="Rounded Rectangle 7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4" name="Rounded Rectangle 7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5" name="Rounded Rectangle 7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6" name="Rounded Rectangle 7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7" name="Rounded Rectangle 7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8" name="Rounded Rectangle 7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099" name="Rounded Rectangle 7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0" name="Rounded Rectangle 7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1" name="Rounded Rectangle 7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2" name="Rounded Rectangle 7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3" name="Rounded Rectangle 7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4" name="Rounded Rectangle 7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5" name="Rounded Rectangle 7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6" name="Rounded Rectangle 7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7" name="Rounded Rectangle 7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8" name="Rounded Rectangle 7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09" name="Rounded Rectangle 7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0" name="Rounded Rectangle 7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1" name="Rounded Rectangle 7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2" name="Rounded Rectangle 7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3" name="Rounded Rectangle 7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4" name="Rounded Rectangle 7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5" name="Rounded Rectangle 7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6" name="Rounded Rectangle 7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7" name="Rounded Rectangle 7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8" name="Rounded Rectangle 7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19" name="Rounded Rectangle 7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0" name="Rounded Rectangle 7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1" name="Rounded Rectangle 7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2" name="Rounded Rectangle 7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3" name="Rounded Rectangle 7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4" name="Rounded Rectangle 7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5" name="Rounded Rectangle 7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6" name="Rounded Rectangle 7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7" name="Rounded Rectangle 7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8" name="Rounded Rectangle 7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29" name="Rounded Rectangle 7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0" name="Rounded Rectangle 7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1" name="Rounded Rectangle 7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2" name="Rounded Rectangle 7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3" name="Rounded Rectangle 7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4" name="Rounded Rectangle 7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5" name="Rounded Rectangle 7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6" name="Rounded Rectangle 7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7" name="Rounded Rectangle 7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8" name="Rounded Rectangle 7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39" name="Rounded Rectangle 7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0" name="Rounded Rectangle 7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1" name="Rounded Rectangle 7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2" name="Rounded Rectangle 7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3" name="Rounded Rectangle 7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4" name="Rounded Rectangle 7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5" name="Rounded Rectangle 7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6" name="Rounded Rectangle 7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7" name="Rounded Rectangle 7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8" name="Rounded Rectangle 7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49" name="Rounded Rectangle 7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0" name="Rounded Rectangle 7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1" name="Rounded Rectangle 7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2" name="Rounded Rectangle 7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3" name="Rounded Rectangle 7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4" name="Rounded Rectangle 7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5" name="Rounded Rectangle 7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6" name="Rounded Rectangle 7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7" name="Rounded Rectangle 7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8" name="Rounded Rectangle 7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59" name="Rounded Rectangle 7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0" name="Rounded Rectangle 7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1" name="Rounded Rectangle 7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2" name="Rounded Rectangle 7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3" name="Rounded Rectangle 7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4" name="Rounded Rectangle 7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5" name="Rounded Rectangle 7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6" name="Rounded Rectangle 7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7" name="Rounded Rectangle 7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8" name="Rounded Rectangle 7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69" name="Rounded Rectangle 7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0" name="Rounded Rectangle 7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1" name="Rounded Rectangle 7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2" name="Rounded Rectangle 7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3" name="Rounded Rectangle 7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4" name="Rounded Rectangle 7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5" name="Rounded Rectangle 7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6" name="Rounded Rectangle 7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7" name="Rounded Rectangle 7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8" name="Rounded Rectangle 7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79" name="Rounded Rectangle 7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0" name="Rounded Rectangle 7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1" name="Rounded Rectangle 7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2" name="Rounded Rectangle 7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3" name="Rounded Rectangle 7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4" name="Rounded Rectangle 7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5" name="Rounded Rectangle 7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6" name="Rounded Rectangle 7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7" name="Rounded Rectangle 7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8" name="Rounded Rectangle 7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89" name="Rounded Rectangle 7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0" name="Rounded Rectangle 7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1" name="Rounded Rectangle 7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2" name="Rounded Rectangle 7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3" name="Rounded Rectangle 7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4" name="Rounded Rectangle 7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5" name="Rounded Rectangle 7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6" name="Rounded Rectangle 7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7" name="Rounded Rectangle 7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8" name="Rounded Rectangle 7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199" name="Rounded Rectangle 7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0" name="Rounded Rectangle 7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1" name="Rounded Rectangle 7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2" name="Rounded Rectangle 7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3" name="Rounded Rectangle 7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4" name="Rounded Rectangle 7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5" name="Rounded Rectangle 7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6" name="Rounded Rectangle 7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7" name="Rounded Rectangle 7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8" name="Rounded Rectangle 7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09" name="Rounded Rectangle 7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0" name="Rounded Rectangle 7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1" name="Rounded Rectangle 7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2" name="Rounded Rectangle 7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3" name="Rounded Rectangle 7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4" name="Rounded Rectangle 7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5" name="Rounded Rectangle 7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6" name="Rounded Rectangle 7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7" name="Rounded Rectangle 7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8" name="Rounded Rectangle 7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19" name="Rounded Rectangle 7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0" name="Rounded Rectangle 7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1" name="Rounded Rectangle 7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2" name="Rounded Rectangle 7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3" name="Rounded Rectangle 7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4" name="Rounded Rectangle 7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5" name="Rounded Rectangle 7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6" name="Rounded Rectangle 7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7" name="Rounded Rectangle 7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8" name="Rounded Rectangle 7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29" name="Rounded Rectangle 7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0" name="Rounded Rectangle 7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1" name="Rounded Rectangle 7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2" name="Rounded Rectangle 7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3" name="Rounded Rectangle 7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4" name="Rounded Rectangle 7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5" name="Rounded Rectangle 7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6" name="Rounded Rectangle 7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7" name="Rounded Rectangle 7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8" name="Rounded Rectangle 7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39" name="Rounded Rectangle 7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0" name="Rounded Rectangle 7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1" name="Rounded Rectangle 7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2" name="Rounded Rectangle 7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3" name="Rounded Rectangle 7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4" name="Rounded Rectangle 7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5" name="Rounded Rectangle 7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6" name="Rounded Rectangle 7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7" name="Rounded Rectangle 7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8" name="Rounded Rectangle 7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49" name="Rounded Rectangle 7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0" name="Rounded Rectangle 7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1" name="Rounded Rectangle 7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2" name="Rounded Rectangle 7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3" name="Rounded Rectangle 7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4" name="Rounded Rectangle 7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5" name="Rounded Rectangle 7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6" name="Rounded Rectangle 7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7" name="Rounded Rectangle 7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8" name="Rounded Rectangle 7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59" name="Rounded Rectangle 7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0" name="Rounded Rectangle 7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1" name="Rounded Rectangle 7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2" name="Rounded Rectangle 7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3" name="Rounded Rectangle 7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4" name="Rounded Rectangle 7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5" name="Rounded Rectangle 7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6" name="Rounded Rectangle 7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7" name="Rounded Rectangle 7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8" name="Rounded Rectangle 7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69" name="Rounded Rectangle 7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0" name="Rounded Rectangle 7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1" name="Rounded Rectangle 7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2" name="Rounded Rectangle 7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3" name="Rounded Rectangle 7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4" name="Rounded Rectangle 7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5" name="Rounded Rectangle 7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6" name="Rounded Rectangle 7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7" name="Rounded Rectangle 7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8" name="Rounded Rectangle 7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79" name="Rounded Rectangle 7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0" name="Rounded Rectangle 7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1" name="Rounded Rectangle 7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2" name="Rounded Rectangle 7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3" name="Rounded Rectangle 7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4" name="Rounded Rectangle 7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5" name="Rounded Rectangle 7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6" name="Rounded Rectangle 7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7" name="Rounded Rectangle 7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8" name="Rounded Rectangle 7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89" name="Rounded Rectangle 7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0" name="Rounded Rectangle 7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1" name="Rounded Rectangle 7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2" name="Rounded Rectangle 7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3" name="Rounded Rectangle 7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4" name="Rounded Rectangle 7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5" name="Rounded Rectangle 7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6" name="Rounded Rectangle 7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7" name="Rounded Rectangle 7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8" name="Rounded Rectangle 7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299" name="Rounded Rectangle 7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0" name="Rounded Rectangle 7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1" name="Rounded Rectangle 7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2" name="Rounded Rectangle 7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3" name="Rounded Rectangle 7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4" name="Rounded Rectangle 7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5" name="Rounded Rectangle 7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6" name="Rounded Rectangle 7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7" name="Rounded Rectangle 7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8" name="Rounded Rectangle 7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09" name="Rounded Rectangle 7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0" name="Rounded Rectangle 7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1" name="Rounded Rectangle 7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2" name="Rounded Rectangle 7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3" name="Rounded Rectangle 7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4" name="Rounded Rectangle 7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5" name="Rounded Rectangle 7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6" name="Rounded Rectangle 7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7" name="Rounded Rectangle 7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8" name="Rounded Rectangle 7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19" name="Rounded Rectangle 7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0" name="Rounded Rectangle 7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1" name="Rounded Rectangle 7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2" name="Rounded Rectangle 7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3" name="Rounded Rectangle 7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4" name="Rounded Rectangle 7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5" name="Rounded Rectangle 7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6" name="Rounded Rectangle 7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7" name="Rounded Rectangle 7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8" name="Rounded Rectangle 7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29" name="Rounded Rectangle 7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0" name="Rounded Rectangle 7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1" name="Rounded Rectangle 7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2" name="Rounded Rectangle 7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3" name="Rounded Rectangle 7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4" name="Rounded Rectangle 7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5" name="Rounded Rectangle 7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6" name="Rounded Rectangle 7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7" name="Rounded Rectangle 7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8" name="Rounded Rectangle 7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39" name="Rounded Rectangle 7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0" name="Rounded Rectangle 7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1" name="Rounded Rectangle 7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2" name="Rounded Rectangle 7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3" name="Rounded Rectangle 7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4" name="Rounded Rectangle 7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5" name="Rounded Rectangle 7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6" name="Rounded Rectangle 7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7" name="Rounded Rectangle 7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8" name="Rounded Rectangle 7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49" name="Rounded Rectangle 7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0" name="Rounded Rectangle 7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1" name="Rounded Rectangle 7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2" name="Rounded Rectangle 7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3" name="Rounded Rectangle 7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4" name="Rounded Rectangle 7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5" name="Rounded Rectangle 7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6" name="Rounded Rectangle 7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7" name="Rounded Rectangle 7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8" name="Rounded Rectangle 7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59" name="Rounded Rectangle 7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0" name="Rounded Rectangle 7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1" name="Rounded Rectangle 7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2" name="Rounded Rectangle 7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3" name="Rounded Rectangle 7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4" name="Rounded Rectangle 7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5" name="Rounded Rectangle 7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6" name="Rounded Rectangle 7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7" name="Rounded Rectangle 7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8" name="Rounded Rectangle 7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69" name="Rounded Rectangle 7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0" name="Rounded Rectangle 7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1" name="Rounded Rectangle 7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2" name="Rounded Rectangle 7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3" name="Rounded Rectangle 7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4" name="Rounded Rectangle 7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5" name="Rounded Rectangle 7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6" name="Rounded Rectangle 7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7" name="Rounded Rectangle 7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8" name="Rounded Rectangle 7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79" name="Rounded Rectangle 7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0" name="Rounded Rectangle 7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1" name="Rounded Rectangle 7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2" name="Rounded Rectangle 7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3" name="Rounded Rectangle 7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4" name="Rounded Rectangle 7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5" name="Rounded Rectangle 7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6" name="Rounded Rectangle 7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7" name="Rounded Rectangle 7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8" name="Rounded Rectangle 7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89" name="Rounded Rectangle 7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0" name="Rounded Rectangle 7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1" name="Rounded Rectangle 7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2" name="Rounded Rectangle 7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3" name="Rounded Rectangle 7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4" name="Rounded Rectangle 7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5" name="Rounded Rectangle 7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6" name="Rounded Rectangle 7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7" name="Rounded Rectangle 7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8" name="Rounded Rectangle 7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399" name="Rounded Rectangle 7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0" name="Rounded Rectangle 7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1" name="Rounded Rectangle 7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2" name="Rounded Rectangle 7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3" name="Rounded Rectangle 7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4" name="Rounded Rectangle 7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5" name="Rounded Rectangle 7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6" name="Rounded Rectangle 7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7" name="Rounded Rectangle 7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8" name="Rounded Rectangle 7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09" name="Rounded Rectangle 7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0" name="Rounded Rectangle 7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1" name="Rounded Rectangle 7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2" name="Rounded Rectangle 7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3" name="Rounded Rectangle 7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4" name="Rounded Rectangle 7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5" name="Rounded Rectangle 7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6" name="Rounded Rectangle 7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7" name="Rounded Rectangle 7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8" name="Rounded Rectangle 7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19" name="Rounded Rectangle 7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0" name="Rounded Rectangle 7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1" name="Rounded Rectangle 7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2" name="Rounded Rectangle 7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3" name="Rounded Rectangle 7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4" name="Rounded Rectangle 7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5" name="Rounded Rectangle 7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6" name="Rounded Rectangle 7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7" name="Rounded Rectangle 7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8" name="Rounded Rectangle 7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29" name="Rounded Rectangle 7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0" name="Rounded Rectangle 7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1" name="Rounded Rectangle 7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2" name="Rounded Rectangle 7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3" name="Rounded Rectangle 7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4" name="Rounded Rectangle 7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5" name="Rounded Rectangle 7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6" name="Rounded Rectangle 7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7" name="Rounded Rectangle 7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8" name="Rounded Rectangle 7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39" name="Rounded Rectangle 7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0" name="Rounded Rectangle 7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1" name="Rounded Rectangle 7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2" name="Rounded Rectangle 7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3" name="Rounded Rectangle 7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4" name="Rounded Rectangle 7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5" name="Rounded Rectangle 7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6" name="Rounded Rectangle 7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7" name="Rounded Rectangle 7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8" name="Rounded Rectangle 7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49" name="Rounded Rectangle 7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0" name="Rounded Rectangle 7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1" name="Rounded Rectangle 7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2" name="Rounded Rectangle 7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3" name="Rounded Rectangle 7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4" name="Rounded Rectangle 7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5" name="Rounded Rectangle 7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6" name="Rounded Rectangle 7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7" name="Rounded Rectangle 7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8" name="Rounded Rectangle 7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59" name="Rounded Rectangle 7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0" name="Rounded Rectangle 7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1" name="Rounded Rectangle 7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2" name="Rounded Rectangle 7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3" name="Rounded Rectangle 7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4" name="Rounded Rectangle 7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5" name="Rounded Rectangle 7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6" name="Rounded Rectangle 7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7" name="Rounded Rectangle 7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8" name="Rounded Rectangle 7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69" name="Rounded Rectangle 7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0" name="Rounded Rectangle 7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1" name="Rounded Rectangle 7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2" name="Rounded Rectangle 7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3" name="Rounded Rectangle 7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4" name="Rounded Rectangle 7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5" name="Rounded Rectangle 7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6" name="Rounded Rectangle 7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7" name="Rounded Rectangle 7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8" name="Rounded Rectangle 7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79" name="Rounded Rectangle 7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0" name="Rounded Rectangle 7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1" name="Rounded Rectangle 7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2" name="Rounded Rectangle 7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3" name="Rounded Rectangle 7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4" name="Rounded Rectangle 7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5" name="Rounded Rectangle 7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6" name="Rounded Rectangle 7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7" name="Rounded Rectangle 7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8" name="Rounded Rectangle 7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89" name="Rounded Rectangle 7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0" name="Rounded Rectangle 7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1" name="Rounded Rectangle 7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2" name="Rounded Rectangle 7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3" name="Rounded Rectangle 7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4" name="Rounded Rectangle 7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5" name="Rounded Rectangle 7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6" name="Rounded Rectangle 7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7" name="Rounded Rectangle 7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8" name="Rounded Rectangle 7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499" name="Rounded Rectangle 7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0" name="Rounded Rectangle 7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1" name="Rounded Rectangle 7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2" name="Rounded Rectangle 7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3" name="Rounded Rectangle 7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4" name="Rounded Rectangle 7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5" name="Rounded Rectangle 7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6" name="Rounded Rectangle 7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7" name="Rounded Rectangle 7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8" name="Rounded Rectangle 7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09" name="Rounded Rectangle 7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0" name="Rounded Rectangle 7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1" name="Rounded Rectangle 7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2" name="Rounded Rectangle 7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3" name="Rounded Rectangle 7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4" name="Rounded Rectangle 7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5" name="Rounded Rectangle 7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6" name="Rounded Rectangle 7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7" name="Rounded Rectangle 7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8" name="Rounded Rectangle 7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19" name="Rounded Rectangle 7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0" name="Rounded Rectangle 7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1" name="Rounded Rectangle 7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2" name="Rounded Rectangle 7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3" name="Rounded Rectangle 7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4" name="Rounded Rectangle 7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5" name="Rounded Rectangle 7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6" name="Rounded Rectangle 7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7" name="Rounded Rectangle 7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8" name="Rounded Rectangle 7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29" name="Rounded Rectangle 7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0" name="Rounded Rectangle 7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1" name="Rounded Rectangle 7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2" name="Rounded Rectangle 7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3" name="Rounded Rectangle 7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4" name="Rounded Rectangle 7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5" name="Rounded Rectangle 7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6" name="Rounded Rectangle 7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7" name="Rounded Rectangle 7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8" name="Rounded Rectangle 7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39" name="Rounded Rectangle 7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0" name="Rounded Rectangle 7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1" name="Rounded Rectangle 7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2" name="Rounded Rectangle 7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3" name="Rounded Rectangle 7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4" name="Rounded Rectangle 7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5" name="Rounded Rectangle 7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6" name="Rounded Rectangle 7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7" name="Rounded Rectangle 7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8" name="Rounded Rectangle 7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49" name="Rounded Rectangle 7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0" name="Rounded Rectangle 7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1" name="Rounded Rectangle 7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2" name="Rounded Rectangle 7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3" name="Rounded Rectangle 7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4" name="Rounded Rectangle 7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5" name="Rounded Rectangle 7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6" name="Rounded Rectangle 7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7" name="Rounded Rectangle 7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8" name="Rounded Rectangle 7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59" name="Rounded Rectangle 7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0" name="Rounded Rectangle 7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1" name="Rounded Rectangle 7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2" name="Rounded Rectangle 7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3" name="Rounded Rectangle 7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4" name="Rounded Rectangle 7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5" name="Rounded Rectangle 7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6" name="Rounded Rectangle 7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7" name="Rounded Rectangle 7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8" name="Rounded Rectangle 7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69" name="Rounded Rectangle 7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0" name="Rounded Rectangle 7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1" name="Rounded Rectangle 7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2" name="Rounded Rectangle 7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3" name="Rounded Rectangle 7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4" name="Rounded Rectangle 7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5" name="Rounded Rectangle 7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6" name="Rounded Rectangle 7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7" name="Rounded Rectangle 7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8" name="Rounded Rectangle 7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79" name="Rounded Rectangle 7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0" name="Rounded Rectangle 7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1" name="Rounded Rectangle 7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2" name="Rounded Rectangle 7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3" name="Rounded Rectangle 7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4" name="Rounded Rectangle 7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5" name="Rounded Rectangle 7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6" name="Rounded Rectangle 7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7" name="Rounded Rectangle 7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8" name="Rounded Rectangle 7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89" name="Rounded Rectangle 7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0" name="Rounded Rectangle 7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1" name="Rounded Rectangle 7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2" name="Rounded Rectangle 7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3" name="Rounded Rectangle 7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4" name="Rounded Rectangle 7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5" name="Rounded Rectangle 7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6" name="Rounded Rectangle 7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7" name="Rounded Rectangle 7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8" name="Rounded Rectangle 7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599" name="Rounded Rectangle 7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0" name="Rounded Rectangle 7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1" name="Rounded Rectangle 7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2" name="Rounded Rectangle 7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3" name="Rounded Rectangle 7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4" name="Rounded Rectangle 7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5" name="Rounded Rectangle 7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6" name="Rounded Rectangle 7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7" name="Rounded Rectangle 7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8" name="Rounded Rectangle 7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09" name="Rounded Rectangle 7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0" name="Rounded Rectangle 7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1" name="Rounded Rectangle 7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2" name="Rounded Rectangle 7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3" name="Rounded Rectangle 7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4" name="Rounded Rectangle 7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5" name="Rounded Rectangle 7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6" name="Rounded Rectangle 7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7" name="Rounded Rectangle 7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8" name="Rounded Rectangle 7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19" name="Rounded Rectangle 7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0" name="Rounded Rectangle 7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1" name="Rounded Rectangle 7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2" name="Rounded Rectangle 7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3" name="Rounded Rectangle 7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4" name="Rounded Rectangle 7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5" name="Rounded Rectangle 7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6" name="Rounded Rectangle 7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7" name="Rounded Rectangle 7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8" name="Rounded Rectangle 7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29" name="Rounded Rectangle 7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0" name="Rounded Rectangle 7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1" name="Rounded Rectangle 7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2" name="Rounded Rectangle 7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3" name="Rounded Rectangle 7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4" name="Rounded Rectangle 7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5" name="Rounded Rectangle 7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6" name="Rounded Rectangle 7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7" name="Rounded Rectangle 7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8" name="Rounded Rectangle 7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39" name="Rounded Rectangle 7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0" name="Rounded Rectangle 7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1" name="Rounded Rectangle 7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2" name="Rounded Rectangle 7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3" name="Rounded Rectangle 7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4" name="Rounded Rectangle 7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5" name="Rounded Rectangle 7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6" name="Rounded Rectangle 7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7" name="Rounded Rectangle 7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8" name="Rounded Rectangle 7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49" name="Rounded Rectangle 7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0" name="Rounded Rectangle 7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1" name="Rounded Rectangle 7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2" name="Rounded Rectangle 7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3" name="Rounded Rectangle 7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4" name="Rounded Rectangle 7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5" name="Rounded Rectangle 7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6" name="Rounded Rectangle 7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7" name="Rounded Rectangle 7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8" name="Rounded Rectangle 7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59" name="Rounded Rectangle 7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0" name="Rounded Rectangle 7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1" name="Rounded Rectangle 7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2" name="Rounded Rectangle 7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3" name="Rounded Rectangle 7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4" name="Rounded Rectangle 7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5" name="Rounded Rectangle 7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6" name="Rounded Rectangle 7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7" name="Rounded Rectangle 7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8" name="Rounded Rectangle 7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69" name="Rounded Rectangle 7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0" name="Rounded Rectangle 7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1" name="Rounded Rectangle 7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2" name="Rounded Rectangle 7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3" name="Rounded Rectangle 7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4" name="Rounded Rectangle 7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5" name="Rounded Rectangle 7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6" name="Rounded Rectangle 7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7" name="Rounded Rectangle 7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8" name="Rounded Rectangle 7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79" name="Rounded Rectangle 7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0" name="Rounded Rectangle 7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1" name="Rounded Rectangle 7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2" name="Rounded Rectangle 7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3" name="Rounded Rectangle 7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4" name="Rounded Rectangle 7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5" name="Rounded Rectangle 7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6" name="Rounded Rectangle 7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7" name="Rounded Rectangle 7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8" name="Rounded Rectangle 7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89" name="Rounded Rectangle 7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0" name="Rounded Rectangle 7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1" name="Rounded Rectangle 7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2" name="Rounded Rectangle 7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3" name="Rounded Rectangle 7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4" name="Rounded Rectangle 7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5" name="Rounded Rectangle 7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6" name="Rounded Rectangle 7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7" name="Rounded Rectangle 7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8" name="Rounded Rectangle 7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699" name="Rounded Rectangle 7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0" name="Rounded Rectangle 7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1" name="Rounded Rectangle 7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2" name="Rounded Rectangle 7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3" name="Rounded Rectangle 7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4" name="Rounded Rectangle 7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5" name="Rounded Rectangle 7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6" name="Rounded Rectangle 7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7" name="Rounded Rectangle 7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8" name="Rounded Rectangle 7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09" name="Rounded Rectangle 7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0" name="Rounded Rectangle 7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1" name="Rounded Rectangle 7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2" name="Rounded Rectangle 7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3" name="Rounded Rectangle 7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4" name="Rounded Rectangle 7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5" name="Rounded Rectangle 7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6" name="Rounded Rectangle 7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7" name="Rounded Rectangle 7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8" name="Rounded Rectangle 7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19" name="Rounded Rectangle 7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0" name="Rounded Rectangle 7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1" name="Rounded Rectangle 7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2" name="Rounded Rectangle 7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3" name="Rounded Rectangle 7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4" name="Rounded Rectangle 7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5" name="Rounded Rectangle 7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6" name="Rounded Rectangle 7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7" name="Rounded Rectangle 7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8" name="Rounded Rectangle 7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29" name="Rounded Rectangle 7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0" name="Rounded Rectangle 7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1" name="Rounded Rectangle 7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2" name="Rounded Rectangle 7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3" name="Rounded Rectangle 7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4" name="Rounded Rectangle 7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5" name="Rounded Rectangle 7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6" name="Rounded Rectangle 7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7" name="Rounded Rectangle 7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8" name="Rounded Rectangle 7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39" name="Rounded Rectangle 7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0" name="Rounded Rectangle 7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1" name="Rounded Rectangle 7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2" name="Rounded Rectangle 7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3" name="Rounded Rectangle 7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4" name="Rounded Rectangle 7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5" name="Rounded Rectangle 7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6" name="Rounded Rectangle 7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7" name="Rounded Rectangle 7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8" name="Rounded Rectangle 7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49" name="Rounded Rectangle 7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0" name="Rounded Rectangle 7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1" name="Rounded Rectangle 7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2" name="Rounded Rectangle 7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3" name="Rounded Rectangle 7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4" name="Rounded Rectangle 7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5" name="Rounded Rectangle 7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6" name="Rounded Rectangle 7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7" name="Rounded Rectangle 7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8" name="Rounded Rectangle 7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59" name="Rounded Rectangle 7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0" name="Rounded Rectangle 7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1" name="Rounded Rectangle 7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2" name="Rounded Rectangle 7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3" name="Rounded Rectangle 7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4" name="Rounded Rectangle 7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5" name="Rounded Rectangle 7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6" name="Rounded Rectangle 7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7" name="Rounded Rectangle 7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8" name="Rounded Rectangle 7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69" name="Rounded Rectangle 7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0" name="Rounded Rectangle 7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1" name="Rounded Rectangle 7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2" name="Rounded Rectangle 7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3" name="Rounded Rectangle 7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4" name="Rounded Rectangle 7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5" name="Rounded Rectangle 7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6" name="Rounded Rectangle 7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7" name="Rounded Rectangle 7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8" name="Rounded Rectangle 7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79" name="Rounded Rectangle 7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0" name="Rounded Rectangle 7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1" name="Rounded Rectangle 7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2" name="Rounded Rectangle 7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3" name="Rounded Rectangle 7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4" name="Rounded Rectangle 7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5" name="Rounded Rectangle 7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6" name="Rounded Rectangle 7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7" name="Rounded Rectangle 7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8" name="Rounded Rectangle 7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89" name="Rounded Rectangle 7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0" name="Rounded Rectangle 7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1" name="Rounded Rectangle 7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2" name="Rounded Rectangle 7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3" name="Rounded Rectangle 7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4" name="Rounded Rectangle 7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5" name="Rounded Rectangle 7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6" name="Rounded Rectangle 7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7" name="Rounded Rectangle 7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8" name="Rounded Rectangle 7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799" name="Rounded Rectangle 7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0" name="Rounded Rectangle 7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1" name="Rounded Rectangle 7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2" name="Rounded Rectangle 7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3" name="Rounded Rectangle 7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4" name="Rounded Rectangle 7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5" name="Rounded Rectangle 7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6" name="Rounded Rectangle 7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7" name="Rounded Rectangle 7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8" name="Rounded Rectangle 7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09" name="Rounded Rectangle 7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0" name="Rounded Rectangle 7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1" name="Rounded Rectangle 7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2" name="Rounded Rectangle 7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3" name="Rounded Rectangle 7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4" name="Rounded Rectangle 7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5" name="Rounded Rectangle 7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6" name="Rounded Rectangle 7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7" name="Rounded Rectangle 7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8" name="Rounded Rectangle 7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19" name="Rounded Rectangle 7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0" name="Rounded Rectangle 7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1" name="Rounded Rectangle 7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2" name="Rounded Rectangle 7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3" name="Rounded Rectangle 7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4" name="Rounded Rectangle 7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5" name="Rounded Rectangle 7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6" name="Rounded Rectangle 7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7" name="Rounded Rectangle 7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8" name="Rounded Rectangle 7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29" name="Rounded Rectangle 7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0" name="Rounded Rectangle 7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1" name="Rounded Rectangle 7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2" name="Rounded Rectangle 7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3" name="Rounded Rectangle 7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4" name="Rounded Rectangle 7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5" name="Rounded Rectangle 7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6" name="Rounded Rectangle 7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7" name="Rounded Rectangle 7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8" name="Rounded Rectangle 7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39" name="Rounded Rectangle 7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0" name="Rounded Rectangle 7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1" name="Rounded Rectangle 7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2" name="Rounded Rectangle 7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3" name="Rounded Rectangle 7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4" name="Rounded Rectangle 7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5" name="Rounded Rectangle 7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6" name="Rounded Rectangle 7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7" name="Rounded Rectangle 7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8" name="Rounded Rectangle 7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49" name="Rounded Rectangle 7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0" name="Rounded Rectangle 7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1" name="Rounded Rectangle 7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2" name="Rounded Rectangle 7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3" name="Rounded Rectangle 7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4" name="Rounded Rectangle 7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5" name="Rounded Rectangle 7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6" name="Rounded Rectangle 7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7" name="Rounded Rectangle 7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8" name="Rounded Rectangle 7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59" name="Rounded Rectangle 7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0" name="Rounded Rectangle 7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1" name="Rounded Rectangle 7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2" name="Rounded Rectangle 7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3" name="Rounded Rectangle 7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4" name="Rounded Rectangle 7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5" name="Rounded Rectangle 7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6" name="Rounded Rectangle 7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7" name="Rounded Rectangle 7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8" name="Rounded Rectangle 7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69" name="Rounded Rectangle 7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0" name="Rounded Rectangle 7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1" name="Rounded Rectangle 7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2" name="Rounded Rectangle 7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3" name="Rounded Rectangle 7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4" name="Rounded Rectangle 7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5" name="Rounded Rectangle 7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6" name="Rounded Rectangle 7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7" name="Rounded Rectangle 7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8" name="Rounded Rectangle 7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79" name="Rounded Rectangle 7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0" name="Rounded Rectangle 7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1" name="Rounded Rectangle 7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2" name="Rounded Rectangle 7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3" name="Rounded Rectangle 7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4" name="Rounded Rectangle 7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5" name="Rounded Rectangle 7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6" name="Rounded Rectangle 7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7" name="Rounded Rectangle 7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8" name="Rounded Rectangle 7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89" name="Rounded Rectangle 7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0" name="Rounded Rectangle 7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1" name="Rounded Rectangle 7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2" name="Rounded Rectangle 7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3" name="Rounded Rectangle 7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4" name="Rounded Rectangle 7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5" name="Rounded Rectangle 7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6" name="Rounded Rectangle 7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7" name="Rounded Rectangle 7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8" name="Rounded Rectangle 7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899" name="Rounded Rectangle 7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0" name="Rounded Rectangle 7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1" name="Rounded Rectangle 7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2" name="Rounded Rectangle 7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3" name="Rounded Rectangle 7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4" name="Rounded Rectangle 7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5" name="Rounded Rectangle 7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6" name="Rounded Rectangle 7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7" name="Rounded Rectangle 7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8" name="Rounded Rectangle 7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09" name="Rounded Rectangle 7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0" name="Rounded Rectangle 7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1" name="Rounded Rectangle 7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2" name="Rounded Rectangle 7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3" name="Rounded Rectangle 7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4" name="Rounded Rectangle 7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5" name="Rounded Rectangle 7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6" name="Rounded Rectangle 7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7" name="Rounded Rectangle 7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8" name="Rounded Rectangle 7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19" name="Rounded Rectangle 7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0" name="Rounded Rectangle 7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1" name="Rounded Rectangle 7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2" name="Rounded Rectangle 7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3" name="Rounded Rectangle 7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4" name="Rounded Rectangle 7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5" name="Rounded Rectangle 7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6" name="Rounded Rectangle 7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7" name="Rounded Rectangle 7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8" name="Rounded Rectangle 7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29" name="Rounded Rectangle 7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0" name="Rounded Rectangle 7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1" name="Rounded Rectangle 7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2" name="Rounded Rectangle 7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3" name="Rounded Rectangle 7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4" name="Rounded Rectangle 7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5" name="Rounded Rectangle 7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6" name="Rounded Rectangle 7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7" name="Rounded Rectangle 7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8" name="Rounded Rectangle 7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39" name="Rounded Rectangle 7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0" name="Rounded Rectangle 7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1" name="Rounded Rectangle 7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2" name="Rounded Rectangle 7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3" name="Rounded Rectangle 7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4" name="Rounded Rectangle 7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5" name="Rounded Rectangle 7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6" name="Rounded Rectangle 7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7" name="Rounded Rectangle 7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8" name="Rounded Rectangle 7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49" name="Rounded Rectangle 7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0" name="Rounded Rectangle 7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1" name="Rounded Rectangle 7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2" name="Rounded Rectangle 7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3" name="Rounded Rectangle 7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4" name="Rounded Rectangle 7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5" name="Rounded Rectangle 7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6" name="Rounded Rectangle 7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7" name="Rounded Rectangle 7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8" name="Rounded Rectangle 7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59" name="Rounded Rectangle 7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0" name="Rounded Rectangle 7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1" name="Rounded Rectangle 7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2" name="Rounded Rectangle 7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3" name="Rounded Rectangle 7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4" name="Rounded Rectangle 7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5" name="Rounded Rectangle 7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6" name="Rounded Rectangle 7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7" name="Rounded Rectangle 7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8" name="Rounded Rectangle 7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69" name="Rounded Rectangle 7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0" name="Rounded Rectangle 7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1" name="Rounded Rectangle 7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2" name="Rounded Rectangle 7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3" name="Rounded Rectangle 7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4" name="Rounded Rectangle 7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5" name="Rounded Rectangle 7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6" name="Rounded Rectangle 7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7" name="Rounded Rectangle 7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8" name="Rounded Rectangle 7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79" name="Rounded Rectangle 7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0" name="Rounded Rectangle 7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1" name="Rounded Rectangle 7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2" name="Rounded Rectangle 7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3" name="Rounded Rectangle 7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4" name="Rounded Rectangle 7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5" name="Rounded Rectangle 7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6" name="Rounded Rectangle 7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7" name="Rounded Rectangle 7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8" name="Rounded Rectangle 7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89" name="Rounded Rectangle 7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0" name="Rounded Rectangle 7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1" name="Rounded Rectangle 7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2" name="Rounded Rectangle 7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3" name="Rounded Rectangle 7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4" name="Rounded Rectangle 7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5" name="Rounded Rectangle 7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6" name="Rounded Rectangle 7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7" name="Rounded Rectangle 7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8" name="Rounded Rectangle 7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7999" name="Rounded Rectangle 7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0" name="Rounded Rectangle 7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1" name="Rounded Rectangle 8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2" name="Rounded Rectangle 8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3" name="Rounded Rectangle 8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4" name="Rounded Rectangle 8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5" name="Rounded Rectangle 8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6" name="Rounded Rectangle 8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7" name="Rounded Rectangle 8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8" name="Rounded Rectangle 8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09" name="Rounded Rectangle 8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0" name="Rounded Rectangle 8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1" name="Rounded Rectangle 8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2" name="Rounded Rectangle 8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3" name="Rounded Rectangle 8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4" name="Rounded Rectangle 8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5" name="Rounded Rectangle 8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6" name="Rounded Rectangle 8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7" name="Rounded Rectangle 8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8" name="Rounded Rectangle 8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19" name="Rounded Rectangle 8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0" name="Rounded Rectangle 8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1" name="Rounded Rectangle 8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2" name="Rounded Rectangle 8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3" name="Rounded Rectangle 8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4" name="Rounded Rectangle 8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5" name="Rounded Rectangle 8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6" name="Rounded Rectangle 8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7" name="Rounded Rectangle 8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8" name="Rounded Rectangle 8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29" name="Rounded Rectangle 8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0" name="Rounded Rectangle 8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1" name="Rounded Rectangle 8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2" name="Rounded Rectangle 8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3" name="Rounded Rectangle 8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4" name="Rounded Rectangle 8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5" name="Rounded Rectangle 8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6" name="Rounded Rectangle 8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7" name="Rounded Rectangle 8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8" name="Rounded Rectangle 8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39" name="Rounded Rectangle 8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0" name="Rounded Rectangle 8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1" name="Rounded Rectangle 8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2" name="Rounded Rectangle 8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3" name="Rounded Rectangle 8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4" name="Rounded Rectangle 8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5" name="Rounded Rectangle 8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6" name="Rounded Rectangle 8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7" name="Rounded Rectangle 8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8" name="Rounded Rectangle 8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49" name="Rounded Rectangle 8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0" name="Rounded Rectangle 8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1" name="Rounded Rectangle 8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2" name="Rounded Rectangle 8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3" name="Rounded Rectangle 8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4" name="Rounded Rectangle 8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5" name="Rounded Rectangle 8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6" name="Rounded Rectangle 8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7" name="Rounded Rectangle 8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8" name="Rounded Rectangle 8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59" name="Rounded Rectangle 8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0" name="Rounded Rectangle 8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1" name="Rounded Rectangle 8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2" name="Rounded Rectangle 8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3" name="Rounded Rectangle 8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4" name="Rounded Rectangle 8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5" name="Rounded Rectangle 8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6" name="Rounded Rectangle 8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7" name="Rounded Rectangle 8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8" name="Rounded Rectangle 8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69" name="Rounded Rectangle 8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0" name="Rounded Rectangle 8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1" name="Rounded Rectangle 8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2" name="Rounded Rectangle 8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3" name="Rounded Rectangle 8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4" name="Rounded Rectangle 8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5" name="Rounded Rectangle 8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6" name="Rounded Rectangle 8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7" name="Rounded Rectangle 8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8" name="Rounded Rectangle 8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79" name="Rounded Rectangle 8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0" name="Rounded Rectangle 8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1" name="Rounded Rectangle 8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2" name="Rounded Rectangle 8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3" name="Rounded Rectangle 8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4" name="Rounded Rectangle 8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5" name="Rounded Rectangle 8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6" name="Rounded Rectangle 8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7" name="Rounded Rectangle 8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8" name="Rounded Rectangle 8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89" name="Rounded Rectangle 8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0" name="Rounded Rectangle 8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1" name="Rounded Rectangle 8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2" name="Rounded Rectangle 8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3" name="Rounded Rectangle 8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4" name="Rounded Rectangle 8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5" name="Rounded Rectangle 8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6" name="Rounded Rectangle 8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7" name="Rounded Rectangle 8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8" name="Rounded Rectangle 8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099" name="Rounded Rectangle 8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0" name="Rounded Rectangle 8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1" name="Rounded Rectangle 8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2" name="Rounded Rectangle 8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3" name="Rounded Rectangle 8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4" name="Rounded Rectangle 8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5" name="Rounded Rectangle 8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6" name="Rounded Rectangle 8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7" name="Rounded Rectangle 8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8" name="Rounded Rectangle 8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09" name="Rounded Rectangle 8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0" name="Rounded Rectangle 8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1" name="Rounded Rectangle 8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2" name="Rounded Rectangle 8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3" name="Rounded Rectangle 8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4" name="Rounded Rectangle 8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5" name="Rounded Rectangle 8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6" name="Rounded Rectangle 8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7" name="Rounded Rectangle 8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8" name="Rounded Rectangle 8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19" name="Rounded Rectangle 8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0" name="Rounded Rectangle 8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1" name="Rounded Rectangle 8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2" name="Rounded Rectangle 8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3" name="Rounded Rectangle 8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4" name="Rounded Rectangle 8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5" name="Rounded Rectangle 8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6" name="Rounded Rectangle 8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7" name="Rounded Rectangle 8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8" name="Rounded Rectangle 8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29" name="Rounded Rectangle 8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0" name="Rounded Rectangle 8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1" name="Rounded Rectangle 8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2" name="Rounded Rectangle 8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3" name="Rounded Rectangle 8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4" name="Rounded Rectangle 8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5" name="Rounded Rectangle 8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6" name="Rounded Rectangle 8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7" name="Rounded Rectangle 8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8" name="Rounded Rectangle 8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39" name="Rounded Rectangle 8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0" name="Rounded Rectangle 8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1" name="Rounded Rectangle 8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2" name="Rounded Rectangle 8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3" name="Rounded Rectangle 8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4" name="Rounded Rectangle 8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5" name="Rounded Rectangle 8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6" name="Rounded Rectangle 8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7" name="Rounded Rectangle 8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8" name="Rounded Rectangle 8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49" name="Rounded Rectangle 8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0" name="Rounded Rectangle 8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1" name="Rounded Rectangle 8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2" name="Rounded Rectangle 8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3" name="Rounded Rectangle 8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4" name="Rounded Rectangle 8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5" name="Rounded Rectangle 8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6" name="Rounded Rectangle 8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7" name="Rounded Rectangle 8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8" name="Rounded Rectangle 8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59" name="Rounded Rectangle 8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0" name="Rounded Rectangle 8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1" name="Rounded Rectangle 8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2" name="Rounded Rectangle 8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3" name="Rounded Rectangle 8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4" name="Rounded Rectangle 8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5" name="Rounded Rectangle 8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6" name="Rounded Rectangle 8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7" name="Rounded Rectangle 8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8" name="Rounded Rectangle 8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69" name="Rounded Rectangle 8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0" name="Rounded Rectangle 8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1" name="Rounded Rectangle 8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2" name="Rounded Rectangle 8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3" name="Rounded Rectangle 8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4" name="Rounded Rectangle 8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5" name="Rounded Rectangle 8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6" name="Rounded Rectangle 8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7" name="Rounded Rectangle 8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8" name="Rounded Rectangle 8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79" name="Rounded Rectangle 8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0" name="Rounded Rectangle 8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1" name="Rounded Rectangle 8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2" name="Rounded Rectangle 8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3" name="Rounded Rectangle 8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4" name="Rounded Rectangle 8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5" name="Rounded Rectangle 8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6" name="Rounded Rectangle 8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7" name="Rounded Rectangle 8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8" name="Rounded Rectangle 8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89" name="Rounded Rectangle 8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0" name="Rounded Rectangle 8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1" name="Rounded Rectangle 8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2" name="Rounded Rectangle 8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3" name="Rounded Rectangle 8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4" name="Rounded Rectangle 8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5" name="Rounded Rectangle 8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6" name="Rounded Rectangle 8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7" name="Rounded Rectangle 8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8" name="Rounded Rectangle 8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199" name="Rounded Rectangle 8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0" name="Rounded Rectangle 8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1" name="Rounded Rectangle 8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2" name="Rounded Rectangle 8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3" name="Rounded Rectangle 8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4" name="Rounded Rectangle 8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5" name="Rounded Rectangle 8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6" name="Rounded Rectangle 8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7" name="Rounded Rectangle 8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8" name="Rounded Rectangle 8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09" name="Rounded Rectangle 8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0" name="Rounded Rectangle 8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1" name="Rounded Rectangle 8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2" name="Rounded Rectangle 8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3" name="Rounded Rectangle 8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4" name="Rounded Rectangle 8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5" name="Rounded Rectangle 8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6" name="Rounded Rectangle 8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7" name="Rounded Rectangle 8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8" name="Rounded Rectangle 8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19" name="Rounded Rectangle 8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0" name="Rounded Rectangle 8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1" name="Rounded Rectangle 8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2" name="Rounded Rectangle 8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3" name="Rounded Rectangle 8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4" name="Rounded Rectangle 8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5" name="Rounded Rectangle 8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6" name="Rounded Rectangle 8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7" name="Rounded Rectangle 8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8" name="Rounded Rectangle 8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29" name="Rounded Rectangle 8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0" name="Rounded Rectangle 8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1" name="Rounded Rectangle 8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2" name="Rounded Rectangle 8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3" name="Rounded Rectangle 8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4" name="Rounded Rectangle 8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5" name="Rounded Rectangle 8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6" name="Rounded Rectangle 8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7" name="Rounded Rectangle 8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8" name="Rounded Rectangle 8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39" name="Rounded Rectangle 8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0" name="Rounded Rectangle 8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1" name="Rounded Rectangle 8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2" name="Rounded Rectangle 8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3" name="Rounded Rectangle 8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4" name="Rounded Rectangle 8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5" name="Rounded Rectangle 8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6" name="Rounded Rectangle 8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7" name="Rounded Rectangle 8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8" name="Rounded Rectangle 8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49" name="Rounded Rectangle 8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0" name="Rounded Rectangle 8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1" name="Rounded Rectangle 8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2" name="Rounded Rectangle 8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3" name="Rounded Rectangle 8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4" name="Rounded Rectangle 8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5" name="Rounded Rectangle 8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6" name="Rounded Rectangle 8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7" name="Rounded Rectangle 8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8" name="Rounded Rectangle 8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59" name="Rounded Rectangle 8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0" name="Rounded Rectangle 8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1" name="Rounded Rectangle 8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2" name="Rounded Rectangle 8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3" name="Rounded Rectangle 8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4" name="Rounded Rectangle 8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5" name="Rounded Rectangle 8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6" name="Rounded Rectangle 8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7" name="Rounded Rectangle 8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8" name="Rounded Rectangle 8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69" name="Rounded Rectangle 8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0" name="Rounded Rectangle 8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1" name="Rounded Rectangle 8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2" name="Rounded Rectangle 8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3" name="Rounded Rectangle 8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4" name="Rounded Rectangle 8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5" name="Rounded Rectangle 8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6" name="Rounded Rectangle 8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7" name="Rounded Rectangle 8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8" name="Rounded Rectangle 8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79" name="Rounded Rectangle 8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0" name="Rounded Rectangle 8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1" name="Rounded Rectangle 8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2" name="Rounded Rectangle 8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3" name="Rounded Rectangle 8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4" name="Rounded Rectangle 8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5" name="Rounded Rectangle 8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6" name="Rounded Rectangle 8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7" name="Rounded Rectangle 8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8" name="Rounded Rectangle 8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89" name="Rounded Rectangle 8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0" name="Rounded Rectangle 8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1" name="Rounded Rectangle 8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2" name="Rounded Rectangle 8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3" name="Rounded Rectangle 8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4" name="Rounded Rectangle 8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5" name="Rounded Rectangle 8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6" name="Rounded Rectangle 8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7" name="Rounded Rectangle 8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8" name="Rounded Rectangle 8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299" name="Rounded Rectangle 8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0" name="Rounded Rectangle 8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1" name="Rounded Rectangle 8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2" name="Rounded Rectangle 8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3" name="Rounded Rectangle 8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4" name="Rounded Rectangle 8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5" name="Rounded Rectangle 8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6" name="Rounded Rectangle 8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7" name="Rounded Rectangle 8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8" name="Rounded Rectangle 8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09" name="Rounded Rectangle 8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0" name="Rounded Rectangle 8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1" name="Rounded Rectangle 8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2" name="Rounded Rectangle 8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3" name="Rounded Rectangle 8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4" name="Rounded Rectangle 8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5" name="Rounded Rectangle 8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6" name="Rounded Rectangle 8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7" name="Rounded Rectangle 8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8" name="Rounded Rectangle 8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19" name="Rounded Rectangle 8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0" name="Rounded Rectangle 8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1" name="Rounded Rectangle 8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2" name="Rounded Rectangle 8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3" name="Rounded Rectangle 8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4" name="Rounded Rectangle 8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5" name="Rounded Rectangle 8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6" name="Rounded Rectangle 8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7" name="Rounded Rectangle 8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8" name="Rounded Rectangle 8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29" name="Rounded Rectangle 8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0" name="Rounded Rectangle 8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1" name="Rounded Rectangle 8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2" name="Rounded Rectangle 8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3" name="Rounded Rectangle 8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4" name="Rounded Rectangle 8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5" name="Rounded Rectangle 8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6" name="Rounded Rectangle 8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7" name="Rounded Rectangle 8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8" name="Rounded Rectangle 8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39" name="Rounded Rectangle 8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0" name="Rounded Rectangle 8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1" name="Rounded Rectangle 8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2" name="Rounded Rectangle 8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3" name="Rounded Rectangle 8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4" name="Rounded Rectangle 8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5" name="Rounded Rectangle 8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6" name="Rounded Rectangle 8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7" name="Rounded Rectangle 8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8" name="Rounded Rectangle 8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49" name="Rounded Rectangle 8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0" name="Rounded Rectangle 8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1" name="Rounded Rectangle 8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2" name="Rounded Rectangle 8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3" name="Rounded Rectangle 8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4" name="Rounded Rectangle 8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5" name="Rounded Rectangle 8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6" name="Rounded Rectangle 8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7" name="Rounded Rectangle 8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8" name="Rounded Rectangle 8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59" name="Rounded Rectangle 8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0" name="Rounded Rectangle 8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1" name="Rounded Rectangle 8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2" name="Rounded Rectangle 8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3" name="Rounded Rectangle 8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4" name="Rounded Rectangle 8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5" name="Rounded Rectangle 8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6" name="Rounded Rectangle 8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7" name="Rounded Rectangle 8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8" name="Rounded Rectangle 8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69" name="Rounded Rectangle 8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0" name="Rounded Rectangle 8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1" name="Rounded Rectangle 8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2" name="Rounded Rectangle 8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3" name="Rounded Rectangle 8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4" name="Rounded Rectangle 8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5" name="Rounded Rectangle 8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6" name="Rounded Rectangle 8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7" name="Rounded Rectangle 8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8" name="Rounded Rectangle 8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79" name="Rounded Rectangle 8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0" name="Rounded Rectangle 8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1" name="Rounded Rectangle 8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2" name="Rounded Rectangle 8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3" name="Rounded Rectangle 8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4" name="Rounded Rectangle 8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5" name="Rounded Rectangle 8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6" name="Rounded Rectangle 8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7" name="Rounded Rectangle 8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8" name="Rounded Rectangle 8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89" name="Rounded Rectangle 8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0" name="Rounded Rectangle 8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1" name="Rounded Rectangle 8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2" name="Rounded Rectangle 8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3" name="Rounded Rectangle 8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4" name="Rounded Rectangle 8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5" name="Rounded Rectangle 8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6" name="Rounded Rectangle 8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7" name="Rounded Rectangle 8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8" name="Rounded Rectangle 8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399" name="Rounded Rectangle 8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0" name="Rounded Rectangle 8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1" name="Rounded Rectangle 8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2" name="Rounded Rectangle 8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3" name="Rounded Rectangle 8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4" name="Rounded Rectangle 8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5" name="Rounded Rectangle 8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6" name="Rounded Rectangle 8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7" name="Rounded Rectangle 8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8" name="Rounded Rectangle 8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09" name="Rounded Rectangle 8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0" name="Rounded Rectangle 8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1" name="Rounded Rectangle 8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2" name="Rounded Rectangle 8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3" name="Rounded Rectangle 8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4" name="Rounded Rectangle 8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5" name="Rounded Rectangle 8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6" name="Rounded Rectangle 8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7" name="Rounded Rectangle 8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8" name="Rounded Rectangle 8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19" name="Rounded Rectangle 8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0" name="Rounded Rectangle 8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1" name="Rounded Rectangle 8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2" name="Rounded Rectangle 8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3" name="Rounded Rectangle 8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4" name="Rounded Rectangle 8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5" name="Rounded Rectangle 8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6" name="Rounded Rectangle 8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7" name="Rounded Rectangle 8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8" name="Rounded Rectangle 8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29" name="Rounded Rectangle 8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0" name="Rounded Rectangle 8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1" name="Rounded Rectangle 8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2" name="Rounded Rectangle 8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3" name="Rounded Rectangle 8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4" name="Rounded Rectangle 8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5" name="Rounded Rectangle 8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6" name="Rounded Rectangle 8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7" name="Rounded Rectangle 8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8" name="Rounded Rectangle 8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39" name="Rounded Rectangle 8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0" name="Rounded Rectangle 8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1" name="Rounded Rectangle 8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2" name="Rounded Rectangle 8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3" name="Rounded Rectangle 8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4" name="Rounded Rectangle 8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5" name="Rounded Rectangle 8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6" name="Rounded Rectangle 8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7" name="Rounded Rectangle 8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8" name="Rounded Rectangle 8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49" name="Rounded Rectangle 8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0" name="Rounded Rectangle 8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1" name="Rounded Rectangle 8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2" name="Rounded Rectangle 8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3" name="Rounded Rectangle 8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4" name="Rounded Rectangle 8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5" name="Rounded Rectangle 8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6" name="Rounded Rectangle 8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7" name="Rounded Rectangle 8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8" name="Rounded Rectangle 8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59" name="Rounded Rectangle 8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0" name="Rounded Rectangle 8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1" name="Rounded Rectangle 8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2" name="Rounded Rectangle 8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3" name="Rounded Rectangle 8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4" name="Rounded Rectangle 8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5" name="Rounded Rectangle 8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6" name="Rounded Rectangle 8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7" name="Rounded Rectangle 8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8" name="Rounded Rectangle 8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69" name="Rounded Rectangle 8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0" name="Rounded Rectangle 8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1" name="Rounded Rectangle 8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2" name="Rounded Rectangle 8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3" name="Rounded Rectangle 8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4" name="Rounded Rectangle 8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5" name="Rounded Rectangle 8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6" name="Rounded Rectangle 8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7" name="Rounded Rectangle 8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8" name="Rounded Rectangle 8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79" name="Rounded Rectangle 8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0" name="Rounded Rectangle 8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1" name="Rounded Rectangle 8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2" name="Rounded Rectangle 8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3" name="Rounded Rectangle 8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4" name="Rounded Rectangle 8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5" name="Rounded Rectangle 8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6" name="Rounded Rectangle 8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7" name="Rounded Rectangle 8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8" name="Rounded Rectangle 8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89" name="Rounded Rectangle 8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0" name="Rounded Rectangle 8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1" name="Rounded Rectangle 8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2" name="Rounded Rectangle 8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3" name="Rounded Rectangle 8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4" name="Rounded Rectangle 8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5" name="Rounded Rectangle 8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6" name="Rounded Rectangle 8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7" name="Rounded Rectangle 8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8" name="Rounded Rectangle 8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499" name="Rounded Rectangle 8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0" name="Rounded Rectangle 8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1" name="Rounded Rectangle 8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2" name="Rounded Rectangle 8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3" name="Rounded Rectangle 8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4" name="Rounded Rectangle 8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5" name="Rounded Rectangle 8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6" name="Rounded Rectangle 8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7" name="Rounded Rectangle 8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8" name="Rounded Rectangle 8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09" name="Rounded Rectangle 8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0" name="Rounded Rectangle 8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1" name="Rounded Rectangle 8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2" name="Rounded Rectangle 8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3" name="Rounded Rectangle 8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4" name="Rounded Rectangle 8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5" name="Rounded Rectangle 8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6" name="Rounded Rectangle 8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7" name="Rounded Rectangle 8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8" name="Rounded Rectangle 8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19" name="Rounded Rectangle 8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0" name="Rounded Rectangle 8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1" name="Rounded Rectangle 8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2" name="Rounded Rectangle 8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3" name="Rounded Rectangle 8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4" name="Rounded Rectangle 8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5" name="Rounded Rectangle 8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6" name="Rounded Rectangle 8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7" name="Rounded Rectangle 8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8" name="Rounded Rectangle 8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29" name="Rounded Rectangle 8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0" name="Rounded Rectangle 8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1" name="Rounded Rectangle 8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2" name="Rounded Rectangle 8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3" name="Rounded Rectangle 8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4" name="Rounded Rectangle 8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5" name="Rounded Rectangle 8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6" name="Rounded Rectangle 8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7" name="Rounded Rectangle 8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8" name="Rounded Rectangle 8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39" name="Rounded Rectangle 8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0" name="Rounded Rectangle 8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1" name="Rounded Rectangle 8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2" name="Rounded Rectangle 8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3" name="Rounded Rectangle 8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4" name="Rounded Rectangle 8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5" name="Rounded Rectangle 8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6" name="Rounded Rectangle 8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7" name="Rounded Rectangle 8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8" name="Rounded Rectangle 8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49" name="Rounded Rectangle 8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0" name="Rounded Rectangle 8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1" name="Rounded Rectangle 8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2" name="Rounded Rectangle 8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3" name="Rounded Rectangle 8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4" name="Rounded Rectangle 8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5" name="Rounded Rectangle 8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6" name="Rounded Rectangle 8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7" name="Rounded Rectangle 8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8" name="Rounded Rectangle 8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59" name="Rounded Rectangle 8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0" name="Rounded Rectangle 8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1" name="Rounded Rectangle 8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2" name="Rounded Rectangle 8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3" name="Rounded Rectangle 8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4" name="Rounded Rectangle 8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5" name="Rounded Rectangle 8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6" name="Rounded Rectangle 8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7" name="Rounded Rectangle 8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8" name="Rounded Rectangle 8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69" name="Rounded Rectangle 8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0" name="Rounded Rectangle 8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1" name="Rounded Rectangle 8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2" name="Rounded Rectangle 8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3" name="Rounded Rectangle 8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4" name="Rounded Rectangle 8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5" name="Rounded Rectangle 8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6" name="Rounded Rectangle 8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7" name="Rounded Rectangle 8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8" name="Rounded Rectangle 8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79" name="Rounded Rectangle 8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0" name="Rounded Rectangle 8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1" name="Rounded Rectangle 8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2" name="Rounded Rectangle 8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3" name="Rounded Rectangle 8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4" name="Rounded Rectangle 8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5" name="Rounded Rectangle 8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6" name="Rounded Rectangle 8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7" name="Rounded Rectangle 8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8" name="Rounded Rectangle 8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89" name="Rounded Rectangle 8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0" name="Rounded Rectangle 8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1" name="Rounded Rectangle 8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2" name="Rounded Rectangle 8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3" name="Rounded Rectangle 8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4" name="Rounded Rectangle 8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5" name="Rounded Rectangle 8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6" name="Rounded Rectangle 8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7" name="Rounded Rectangle 8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8" name="Rounded Rectangle 8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599" name="Rounded Rectangle 8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0" name="Rounded Rectangle 8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1" name="Rounded Rectangle 8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2" name="Rounded Rectangle 8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3" name="Rounded Rectangle 8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4" name="Rounded Rectangle 8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5" name="Rounded Rectangle 8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6" name="Rounded Rectangle 8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7" name="Rounded Rectangle 8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8" name="Rounded Rectangle 8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09" name="Rounded Rectangle 8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0" name="Rounded Rectangle 8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1" name="Rounded Rectangle 8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2" name="Rounded Rectangle 8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3" name="Rounded Rectangle 8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4" name="Rounded Rectangle 8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5" name="Rounded Rectangle 8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6" name="Rounded Rectangle 8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7" name="Rounded Rectangle 8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8" name="Rounded Rectangle 8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19" name="Rounded Rectangle 8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0" name="Rounded Rectangle 8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1" name="Rounded Rectangle 8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2" name="Rounded Rectangle 8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3" name="Rounded Rectangle 8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4" name="Rounded Rectangle 8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5" name="Rounded Rectangle 8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6" name="Rounded Rectangle 8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7" name="Rounded Rectangle 8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8" name="Rounded Rectangle 8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29" name="Rounded Rectangle 8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0" name="Rounded Rectangle 8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1" name="Rounded Rectangle 8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2" name="Rounded Rectangle 8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3" name="Rounded Rectangle 8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4" name="Rounded Rectangle 8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5" name="Rounded Rectangle 8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6" name="Rounded Rectangle 8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7" name="Rounded Rectangle 8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8" name="Rounded Rectangle 8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39" name="Rounded Rectangle 8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0" name="Rounded Rectangle 8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1" name="Rounded Rectangle 8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2" name="Rounded Rectangle 8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3" name="Rounded Rectangle 8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4" name="Rounded Rectangle 8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5" name="Rounded Rectangle 8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6" name="Rounded Rectangle 8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7" name="Rounded Rectangle 8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8" name="Rounded Rectangle 8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49" name="Rounded Rectangle 8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0" name="Rounded Rectangle 8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1" name="Rounded Rectangle 8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2" name="Rounded Rectangle 8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3" name="Rounded Rectangle 8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4" name="Rounded Rectangle 8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5" name="Rounded Rectangle 8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6" name="Rounded Rectangle 8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7" name="Rounded Rectangle 8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8" name="Rounded Rectangle 8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59" name="Rounded Rectangle 8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0" name="Rounded Rectangle 8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1" name="Rounded Rectangle 8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2" name="Rounded Rectangle 8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3" name="Rounded Rectangle 8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4" name="Rounded Rectangle 8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5" name="Rounded Rectangle 8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6" name="Rounded Rectangle 8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7" name="Rounded Rectangle 8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8" name="Rounded Rectangle 8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69" name="Rounded Rectangle 8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0" name="Rounded Rectangle 8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1" name="Rounded Rectangle 8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2" name="Rounded Rectangle 8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3" name="Rounded Rectangle 8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4" name="Rounded Rectangle 8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5" name="Rounded Rectangle 8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6" name="Rounded Rectangle 8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7" name="Rounded Rectangle 8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8" name="Rounded Rectangle 8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79" name="Rounded Rectangle 8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0" name="Rounded Rectangle 8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1" name="Rounded Rectangle 8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2" name="Rounded Rectangle 8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3" name="Rounded Rectangle 8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4" name="Rounded Rectangle 8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5" name="Rounded Rectangle 8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6" name="Rounded Rectangle 8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7" name="Rounded Rectangle 8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8" name="Rounded Rectangle 8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89" name="Rounded Rectangle 8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0" name="Rounded Rectangle 8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1" name="Rounded Rectangle 8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2" name="Rounded Rectangle 8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3" name="Rounded Rectangle 8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4" name="Rounded Rectangle 8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5" name="Rounded Rectangle 8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6" name="Rounded Rectangle 8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7" name="Rounded Rectangle 8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8" name="Rounded Rectangle 8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699" name="Rounded Rectangle 8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0" name="Rounded Rectangle 8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1" name="Rounded Rectangle 8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2" name="Rounded Rectangle 8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3" name="Rounded Rectangle 8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4" name="Rounded Rectangle 8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5" name="Rounded Rectangle 8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6" name="Rounded Rectangle 8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7" name="Rounded Rectangle 8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8" name="Rounded Rectangle 8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09" name="Rounded Rectangle 8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0" name="Rounded Rectangle 8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1" name="Rounded Rectangle 8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2" name="Rounded Rectangle 8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3" name="Rounded Rectangle 8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4" name="Rounded Rectangle 8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5" name="Rounded Rectangle 8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6" name="Rounded Rectangle 8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7" name="Rounded Rectangle 8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8" name="Rounded Rectangle 8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19" name="Rounded Rectangle 8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0" name="Rounded Rectangle 8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1" name="Rounded Rectangle 8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2" name="Rounded Rectangle 8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3" name="Rounded Rectangle 8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4" name="Rounded Rectangle 8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5" name="Rounded Rectangle 8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6" name="Rounded Rectangle 8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7" name="Rounded Rectangle 8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8" name="Rounded Rectangle 8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29" name="Rounded Rectangle 8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0" name="Rounded Rectangle 8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1" name="Rounded Rectangle 8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2" name="Rounded Rectangle 8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3" name="Rounded Rectangle 8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4" name="Rounded Rectangle 8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5" name="Rounded Rectangle 8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6" name="Rounded Rectangle 8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7" name="Rounded Rectangle 8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8" name="Rounded Rectangle 8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39" name="Rounded Rectangle 8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0" name="Rounded Rectangle 8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1" name="Rounded Rectangle 8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2" name="Rounded Rectangle 8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3" name="Rounded Rectangle 8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4" name="Rounded Rectangle 8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5" name="Rounded Rectangle 8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6" name="Rounded Rectangle 8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7" name="Rounded Rectangle 8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8" name="Rounded Rectangle 8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49" name="Rounded Rectangle 8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0" name="Rounded Rectangle 8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1" name="Rounded Rectangle 8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2" name="Rounded Rectangle 8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3" name="Rounded Rectangle 8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4" name="Rounded Rectangle 8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5" name="Rounded Rectangle 8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6" name="Rounded Rectangle 8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7" name="Rounded Rectangle 8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8" name="Rounded Rectangle 8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59" name="Rounded Rectangle 8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0" name="Rounded Rectangle 8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1" name="Rounded Rectangle 8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2" name="Rounded Rectangle 8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3" name="Rounded Rectangle 8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4" name="Rounded Rectangle 8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5" name="Rounded Rectangle 8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6" name="Rounded Rectangle 8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7" name="Rounded Rectangle 8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8" name="Rounded Rectangle 8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69" name="Rounded Rectangle 8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0" name="Rounded Rectangle 8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1" name="Rounded Rectangle 8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2" name="Rounded Rectangle 8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3" name="Rounded Rectangle 8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4" name="Rounded Rectangle 8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5" name="Rounded Rectangle 8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6" name="Rounded Rectangle 8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7" name="Rounded Rectangle 8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8" name="Rounded Rectangle 8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79" name="Rounded Rectangle 8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0" name="Rounded Rectangle 8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1" name="Rounded Rectangle 8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2" name="Rounded Rectangle 8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3" name="Rounded Rectangle 8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4" name="Rounded Rectangle 8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5" name="Rounded Rectangle 8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6" name="Rounded Rectangle 8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7" name="Rounded Rectangle 8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8" name="Rounded Rectangle 8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89" name="Rounded Rectangle 8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0" name="Rounded Rectangle 8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1" name="Rounded Rectangle 8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2" name="Rounded Rectangle 8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3" name="Rounded Rectangle 8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4" name="Rounded Rectangle 8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5" name="Rounded Rectangle 8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6" name="Rounded Rectangle 8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7" name="Rounded Rectangle 8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8" name="Rounded Rectangle 8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799" name="Rounded Rectangle 8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0" name="Rounded Rectangle 8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1" name="Rounded Rectangle 8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2" name="Rounded Rectangle 8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3" name="Rounded Rectangle 8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4" name="Rounded Rectangle 8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5" name="Rounded Rectangle 8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6" name="Rounded Rectangle 8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7" name="Rounded Rectangle 8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8" name="Rounded Rectangle 8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09" name="Rounded Rectangle 8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0" name="Rounded Rectangle 8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1" name="Rounded Rectangle 8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2" name="Rounded Rectangle 8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3" name="Rounded Rectangle 8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4" name="Rounded Rectangle 8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5" name="Rounded Rectangle 8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6" name="Rounded Rectangle 8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7" name="Rounded Rectangle 8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8" name="Rounded Rectangle 8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19" name="Rounded Rectangle 8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0" name="Rounded Rectangle 8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1" name="Rounded Rectangle 8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2" name="Rounded Rectangle 8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3" name="Rounded Rectangle 8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4" name="Rounded Rectangle 8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5" name="Rounded Rectangle 8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6" name="Rounded Rectangle 8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7" name="Rounded Rectangle 8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8" name="Rounded Rectangle 8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29" name="Rounded Rectangle 8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0" name="Rounded Rectangle 8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1" name="Rounded Rectangle 8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2" name="Rounded Rectangle 8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3" name="Rounded Rectangle 8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4" name="Rounded Rectangle 8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5" name="Rounded Rectangle 8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6" name="Rounded Rectangle 8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7" name="Rounded Rectangle 8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8" name="Rounded Rectangle 8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39" name="Rounded Rectangle 8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0" name="Rounded Rectangle 8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1" name="Rounded Rectangle 8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2" name="Rounded Rectangle 8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3" name="Rounded Rectangle 8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4" name="Rounded Rectangle 8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5" name="Rounded Rectangle 8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6" name="Rounded Rectangle 8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7" name="Rounded Rectangle 8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8" name="Rounded Rectangle 8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49" name="Rounded Rectangle 8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0" name="Rounded Rectangle 8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1" name="Rounded Rectangle 8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2" name="Rounded Rectangle 8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3" name="Rounded Rectangle 8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4" name="Rounded Rectangle 8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5" name="Rounded Rectangle 8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6" name="Rounded Rectangle 8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7" name="Rounded Rectangle 8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8" name="Rounded Rectangle 8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59" name="Rounded Rectangle 8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0" name="Rounded Rectangle 8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1" name="Rounded Rectangle 8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2" name="Rounded Rectangle 8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3" name="Rounded Rectangle 8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4" name="Rounded Rectangle 8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5" name="Rounded Rectangle 8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6" name="Rounded Rectangle 8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7" name="Rounded Rectangle 8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8" name="Rounded Rectangle 8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69" name="Rounded Rectangle 8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0" name="Rounded Rectangle 8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1" name="Rounded Rectangle 8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2" name="Rounded Rectangle 8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3" name="Rounded Rectangle 8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4" name="Rounded Rectangle 8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5" name="Rounded Rectangle 8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6" name="Rounded Rectangle 8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7" name="Rounded Rectangle 8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8" name="Rounded Rectangle 8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79" name="Rounded Rectangle 8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0" name="Rounded Rectangle 8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1" name="Rounded Rectangle 8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2" name="Rounded Rectangle 8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3" name="Rounded Rectangle 8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4" name="Rounded Rectangle 8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5" name="Rounded Rectangle 8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6" name="Rounded Rectangle 8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7" name="Rounded Rectangle 8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8" name="Rounded Rectangle 8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89" name="Rounded Rectangle 8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0" name="Rounded Rectangle 8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1" name="Rounded Rectangle 8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2" name="Rounded Rectangle 8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3" name="Rounded Rectangle 8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4" name="Rounded Rectangle 8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5" name="Rounded Rectangle 8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6" name="Rounded Rectangle 8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7" name="Rounded Rectangle 8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8" name="Rounded Rectangle 8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899" name="Rounded Rectangle 8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0" name="Rounded Rectangle 8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1" name="Rounded Rectangle 8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2" name="Rounded Rectangle 8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3" name="Rounded Rectangle 8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4" name="Rounded Rectangle 8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5" name="Rounded Rectangle 8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6" name="Rounded Rectangle 8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7" name="Rounded Rectangle 8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8" name="Rounded Rectangle 8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09" name="Rounded Rectangle 8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0" name="Rounded Rectangle 8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1" name="Rounded Rectangle 8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2" name="Rounded Rectangle 8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3" name="Rounded Rectangle 8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4" name="Rounded Rectangle 8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5" name="Rounded Rectangle 8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6" name="Rounded Rectangle 8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7" name="Rounded Rectangle 8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8" name="Rounded Rectangle 8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19" name="Rounded Rectangle 8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0" name="Rounded Rectangle 8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1" name="Rounded Rectangle 8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2" name="Rounded Rectangle 8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3" name="Rounded Rectangle 8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4" name="Rounded Rectangle 8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5" name="Rounded Rectangle 8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6" name="Rounded Rectangle 8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7" name="Rounded Rectangle 8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8" name="Rounded Rectangle 8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29" name="Rounded Rectangle 8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0" name="Rounded Rectangle 8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1" name="Rounded Rectangle 8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2" name="Rounded Rectangle 8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3" name="Rounded Rectangle 8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4" name="Rounded Rectangle 8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5" name="Rounded Rectangle 8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6" name="Rounded Rectangle 8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7" name="Rounded Rectangle 8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8" name="Rounded Rectangle 8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39" name="Rounded Rectangle 8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0" name="Rounded Rectangle 8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1" name="Rounded Rectangle 8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2" name="Rounded Rectangle 8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3" name="Rounded Rectangle 8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4" name="Rounded Rectangle 8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5" name="Rounded Rectangle 8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6" name="Rounded Rectangle 8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7" name="Rounded Rectangle 8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8" name="Rounded Rectangle 8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49" name="Rounded Rectangle 8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0" name="Rounded Rectangle 8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1" name="Rounded Rectangle 8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2" name="Rounded Rectangle 8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3" name="Rounded Rectangle 8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4" name="Rounded Rectangle 8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5" name="Rounded Rectangle 8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6" name="Rounded Rectangle 8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7" name="Rounded Rectangle 8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8" name="Rounded Rectangle 8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59" name="Rounded Rectangle 8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0" name="Rounded Rectangle 8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1" name="Rounded Rectangle 8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2" name="Rounded Rectangle 8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3" name="Rounded Rectangle 8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4" name="Rounded Rectangle 8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5" name="Rounded Rectangle 8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6" name="Rounded Rectangle 8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7" name="Rounded Rectangle 8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8" name="Rounded Rectangle 8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69" name="Rounded Rectangle 8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0" name="Rounded Rectangle 8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1" name="Rounded Rectangle 8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2" name="Rounded Rectangle 8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3" name="Rounded Rectangle 8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4" name="Rounded Rectangle 8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5" name="Rounded Rectangle 8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6" name="Rounded Rectangle 8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7" name="Rounded Rectangle 8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8" name="Rounded Rectangle 8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79" name="Rounded Rectangle 8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0" name="Rounded Rectangle 8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1" name="Rounded Rectangle 8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2" name="Rounded Rectangle 8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3" name="Rounded Rectangle 8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4" name="Rounded Rectangle 8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5" name="Rounded Rectangle 8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6" name="Rounded Rectangle 8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7" name="Rounded Rectangle 8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8" name="Rounded Rectangle 8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89" name="Rounded Rectangle 8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0" name="Rounded Rectangle 8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1" name="Rounded Rectangle 8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2" name="Rounded Rectangle 8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3" name="Rounded Rectangle 8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4" name="Rounded Rectangle 8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5" name="Rounded Rectangle 8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6" name="Rounded Rectangle 8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7" name="Rounded Rectangle 8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8" name="Rounded Rectangle 8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8999" name="Rounded Rectangle 8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0" name="Rounded Rectangle 8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1" name="Rounded Rectangle 9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2" name="Rounded Rectangle 9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3" name="Rounded Rectangle 9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4" name="Rounded Rectangle 9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5" name="Rounded Rectangle 9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6" name="Rounded Rectangle 9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7" name="Rounded Rectangle 9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8" name="Rounded Rectangle 9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09" name="Rounded Rectangle 9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0" name="Rounded Rectangle 9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1" name="Rounded Rectangle 9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2" name="Rounded Rectangle 9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3" name="Rounded Rectangle 9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4" name="Rounded Rectangle 9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5" name="Rounded Rectangle 9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6" name="Rounded Rectangle 9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7" name="Rounded Rectangle 9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8" name="Rounded Rectangle 9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19" name="Rounded Rectangle 9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0" name="Rounded Rectangle 9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1" name="Rounded Rectangle 9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2" name="Rounded Rectangle 9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3" name="Rounded Rectangle 9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4" name="Rounded Rectangle 9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5" name="Rounded Rectangle 9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6" name="Rounded Rectangle 9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7" name="Rounded Rectangle 9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8" name="Rounded Rectangle 9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29" name="Rounded Rectangle 9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0" name="Rounded Rectangle 9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1" name="Rounded Rectangle 9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2" name="Rounded Rectangle 9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3" name="Rounded Rectangle 9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4" name="Rounded Rectangle 9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5" name="Rounded Rectangle 9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6" name="Rounded Rectangle 9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7" name="Rounded Rectangle 9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8" name="Rounded Rectangle 9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39" name="Rounded Rectangle 9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0" name="Rounded Rectangle 9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1" name="Rounded Rectangle 9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2" name="Rounded Rectangle 9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3" name="Rounded Rectangle 9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4" name="Rounded Rectangle 9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5" name="Rounded Rectangle 9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6" name="Rounded Rectangle 9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7" name="Rounded Rectangle 9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8" name="Rounded Rectangle 9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49" name="Rounded Rectangle 9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0" name="Rounded Rectangle 9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1" name="Rounded Rectangle 9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2" name="Rounded Rectangle 9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3" name="Rounded Rectangle 9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4" name="Rounded Rectangle 9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5" name="Rounded Rectangle 9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6" name="Rounded Rectangle 9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7" name="Rounded Rectangle 9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8" name="Rounded Rectangle 9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59" name="Rounded Rectangle 9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0" name="Rounded Rectangle 9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1" name="Rounded Rectangle 9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2" name="Rounded Rectangle 9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3" name="Rounded Rectangle 9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4" name="Rounded Rectangle 9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5" name="Rounded Rectangle 9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6" name="Rounded Rectangle 9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7" name="Rounded Rectangle 9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8" name="Rounded Rectangle 9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69" name="Rounded Rectangle 9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0" name="Rounded Rectangle 9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1" name="Rounded Rectangle 9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2" name="Rounded Rectangle 9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3" name="Rounded Rectangle 9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4" name="Rounded Rectangle 9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5" name="Rounded Rectangle 9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6" name="Rounded Rectangle 9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7" name="Rounded Rectangle 9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8" name="Rounded Rectangle 9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79" name="Rounded Rectangle 9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0" name="Rounded Rectangle 9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1" name="Rounded Rectangle 9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2" name="Rounded Rectangle 9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3" name="Rounded Rectangle 9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4" name="Rounded Rectangle 9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5" name="Rounded Rectangle 9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6" name="Rounded Rectangle 9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7" name="Rounded Rectangle 9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8" name="Rounded Rectangle 9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89" name="Rounded Rectangle 9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0" name="Rounded Rectangle 9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1" name="Rounded Rectangle 9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2" name="Rounded Rectangle 9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3" name="Rounded Rectangle 9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4" name="Rounded Rectangle 9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5" name="Rounded Rectangle 9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6" name="Rounded Rectangle 9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7" name="Rounded Rectangle 9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8" name="Rounded Rectangle 9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099" name="Rounded Rectangle 9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0" name="Rounded Rectangle 9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1" name="Rounded Rectangle 9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2" name="Rounded Rectangle 9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3" name="Rounded Rectangle 9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4" name="Rounded Rectangle 9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5" name="Rounded Rectangle 9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6" name="Rounded Rectangle 9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7" name="Rounded Rectangle 9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8" name="Rounded Rectangle 9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09" name="Rounded Rectangle 9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0" name="Rounded Rectangle 9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1" name="Rounded Rectangle 9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2" name="Rounded Rectangle 9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3" name="Rounded Rectangle 9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4" name="Rounded Rectangle 9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5" name="Rounded Rectangle 9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6" name="Rounded Rectangle 9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7" name="Rounded Rectangle 9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8" name="Rounded Rectangle 9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19" name="Rounded Rectangle 9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0" name="Rounded Rectangle 9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1" name="Rounded Rectangle 9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2" name="Rounded Rectangle 9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3" name="Rounded Rectangle 9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4" name="Rounded Rectangle 9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5" name="Rounded Rectangle 9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6" name="Rounded Rectangle 9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7" name="Rounded Rectangle 9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8" name="Rounded Rectangle 9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29" name="Rounded Rectangle 9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0" name="Rounded Rectangle 9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1" name="Rounded Rectangle 9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2" name="Rounded Rectangle 9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3" name="Rounded Rectangle 9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4" name="Rounded Rectangle 9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5" name="Rounded Rectangle 9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6" name="Rounded Rectangle 9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7" name="Rounded Rectangle 9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8" name="Rounded Rectangle 9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39" name="Rounded Rectangle 9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0" name="Rounded Rectangle 9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1" name="Rounded Rectangle 9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2" name="Rounded Rectangle 9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3" name="Rounded Rectangle 9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4" name="Rounded Rectangle 9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5" name="Rounded Rectangle 9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6" name="Rounded Rectangle 9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7" name="Rounded Rectangle 9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8" name="Rounded Rectangle 9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49" name="Rounded Rectangle 9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0" name="Rounded Rectangle 9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1" name="Rounded Rectangle 9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2" name="Rounded Rectangle 9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3" name="Rounded Rectangle 9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4" name="Rounded Rectangle 9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5" name="Rounded Rectangle 9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6" name="Rounded Rectangle 9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7" name="Rounded Rectangle 9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8" name="Rounded Rectangle 9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59" name="Rounded Rectangle 9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0" name="Rounded Rectangle 9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1" name="Rounded Rectangle 9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2" name="Rounded Rectangle 9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3" name="Rounded Rectangle 9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4" name="Rounded Rectangle 9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5" name="Rounded Rectangle 9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6" name="Rounded Rectangle 9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7" name="Rounded Rectangle 9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8" name="Rounded Rectangle 9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69" name="Rounded Rectangle 9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0" name="Rounded Rectangle 9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1" name="Rounded Rectangle 9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2" name="Rounded Rectangle 9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3" name="Rounded Rectangle 9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4" name="Rounded Rectangle 9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5" name="Rounded Rectangle 9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6" name="Rounded Rectangle 9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7" name="Rounded Rectangle 9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8" name="Rounded Rectangle 9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79" name="Rounded Rectangle 9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0" name="Rounded Rectangle 9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1" name="Rounded Rectangle 9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2" name="Rounded Rectangle 9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3" name="Rounded Rectangle 9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4" name="Rounded Rectangle 9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5" name="Rounded Rectangle 9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6" name="Rounded Rectangle 9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7" name="Rounded Rectangle 9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8" name="Rounded Rectangle 9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89" name="Rounded Rectangle 9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0" name="Rounded Rectangle 9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1" name="Rounded Rectangle 9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2" name="Rounded Rectangle 9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3" name="Rounded Rectangle 9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4" name="Rounded Rectangle 9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5" name="Rounded Rectangle 9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6" name="Rounded Rectangle 9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7" name="Rounded Rectangle 9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8" name="Rounded Rectangle 9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199" name="Rounded Rectangle 9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0" name="Rounded Rectangle 9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1" name="Rounded Rectangle 9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2" name="Rounded Rectangle 9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3" name="Rounded Rectangle 9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4" name="Rounded Rectangle 9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5" name="Rounded Rectangle 9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6" name="Rounded Rectangle 9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7" name="Rounded Rectangle 9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8" name="Rounded Rectangle 9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09" name="Rounded Rectangle 9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0" name="Rounded Rectangle 9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1" name="Rounded Rectangle 9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2" name="Rounded Rectangle 9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3" name="Rounded Rectangle 9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4" name="Rounded Rectangle 9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5" name="Rounded Rectangle 9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6" name="Rounded Rectangle 9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7" name="Rounded Rectangle 9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8" name="Rounded Rectangle 9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19" name="Rounded Rectangle 9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0" name="Rounded Rectangle 9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1" name="Rounded Rectangle 9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2" name="Rounded Rectangle 9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3" name="Rounded Rectangle 9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4" name="Rounded Rectangle 9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5" name="Rounded Rectangle 9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6" name="Rounded Rectangle 9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7" name="Rounded Rectangle 9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8" name="Rounded Rectangle 9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29" name="Rounded Rectangle 9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0" name="Rounded Rectangle 9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1" name="Rounded Rectangle 9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2" name="Rounded Rectangle 9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3" name="Rounded Rectangle 9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4" name="Rounded Rectangle 9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5" name="Rounded Rectangle 9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6" name="Rounded Rectangle 9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7" name="Rounded Rectangle 9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8" name="Rounded Rectangle 9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39" name="Rounded Rectangle 9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0" name="Rounded Rectangle 9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1" name="Rounded Rectangle 9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2" name="Rounded Rectangle 9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3" name="Rounded Rectangle 9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4" name="Rounded Rectangle 9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5" name="Rounded Rectangle 9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6" name="Rounded Rectangle 9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7" name="Rounded Rectangle 9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8" name="Rounded Rectangle 9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49" name="Rounded Rectangle 9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0" name="Rounded Rectangle 9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1" name="Rounded Rectangle 9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2" name="Rounded Rectangle 9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3" name="Rounded Rectangle 9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4" name="Rounded Rectangle 9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5" name="Rounded Rectangle 9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6" name="Rounded Rectangle 9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7" name="Rounded Rectangle 9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8" name="Rounded Rectangle 9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59" name="Rounded Rectangle 9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0" name="Rounded Rectangle 9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1" name="Rounded Rectangle 9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2" name="Rounded Rectangle 9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3" name="Rounded Rectangle 9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4" name="Rounded Rectangle 9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5" name="Rounded Rectangle 9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6" name="Rounded Rectangle 9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7" name="Rounded Rectangle 9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8" name="Rounded Rectangle 9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69" name="Rounded Rectangle 9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0" name="Rounded Rectangle 9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1" name="Rounded Rectangle 9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2" name="Rounded Rectangle 9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3" name="Rounded Rectangle 9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4" name="Rounded Rectangle 9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5" name="Rounded Rectangle 9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6" name="Rounded Rectangle 9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7" name="Rounded Rectangle 9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8" name="Rounded Rectangle 9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79" name="Rounded Rectangle 9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0" name="Rounded Rectangle 9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1" name="Rounded Rectangle 9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2" name="Rounded Rectangle 9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3" name="Rounded Rectangle 9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4" name="Rounded Rectangle 9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5" name="Rounded Rectangle 9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6" name="Rounded Rectangle 9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7" name="Rounded Rectangle 9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8" name="Rounded Rectangle 9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89" name="Rounded Rectangle 9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0" name="Rounded Rectangle 9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1" name="Rounded Rectangle 9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2" name="Rounded Rectangle 9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3" name="Rounded Rectangle 9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4" name="Rounded Rectangle 9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5" name="Rounded Rectangle 9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6" name="Rounded Rectangle 9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7" name="Rounded Rectangle 9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8" name="Rounded Rectangle 9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299" name="Rounded Rectangle 9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0" name="Rounded Rectangle 9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1" name="Rounded Rectangle 9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2" name="Rounded Rectangle 9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3" name="Rounded Rectangle 9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4" name="Rounded Rectangle 9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5" name="Rounded Rectangle 9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6" name="Rounded Rectangle 9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7" name="Rounded Rectangle 9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8" name="Rounded Rectangle 9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09" name="Rounded Rectangle 9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0" name="Rounded Rectangle 9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1" name="Rounded Rectangle 9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2" name="Rounded Rectangle 9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3" name="Rounded Rectangle 9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4" name="Rounded Rectangle 9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5" name="Rounded Rectangle 9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6" name="Rounded Rectangle 9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7" name="Rounded Rectangle 9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8" name="Rounded Rectangle 9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19" name="Rounded Rectangle 9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0" name="Rounded Rectangle 9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1" name="Rounded Rectangle 9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2" name="Rounded Rectangle 9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3" name="Rounded Rectangle 9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4" name="Rounded Rectangle 9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5" name="Rounded Rectangle 9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6" name="Rounded Rectangle 9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7" name="Rounded Rectangle 9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8" name="Rounded Rectangle 9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29" name="Rounded Rectangle 9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0" name="Rounded Rectangle 9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1" name="Rounded Rectangle 9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2" name="Rounded Rectangle 9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3" name="Rounded Rectangle 9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4" name="Rounded Rectangle 9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5" name="Rounded Rectangle 9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6" name="Rounded Rectangle 9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7" name="Rounded Rectangle 9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8" name="Rounded Rectangle 9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39" name="Rounded Rectangle 9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0" name="Rounded Rectangle 9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1" name="Rounded Rectangle 9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2" name="Rounded Rectangle 9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3" name="Rounded Rectangle 9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4" name="Rounded Rectangle 9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5" name="Rounded Rectangle 9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6" name="Rounded Rectangle 9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7" name="Rounded Rectangle 9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8" name="Rounded Rectangle 9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49" name="Rounded Rectangle 9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0" name="Rounded Rectangle 9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1" name="Rounded Rectangle 9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2" name="Rounded Rectangle 9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3" name="Rounded Rectangle 9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4" name="Rounded Rectangle 9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5" name="Rounded Rectangle 9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6" name="Rounded Rectangle 9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7" name="Rounded Rectangle 9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8" name="Rounded Rectangle 9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59" name="Rounded Rectangle 9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0" name="Rounded Rectangle 9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1" name="Rounded Rectangle 9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2" name="Rounded Rectangle 9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3" name="Rounded Rectangle 9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4" name="Rounded Rectangle 9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5" name="Rounded Rectangle 9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6" name="Rounded Rectangle 9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7" name="Rounded Rectangle 9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8" name="Rounded Rectangle 9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69" name="Rounded Rectangle 9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0" name="Rounded Rectangle 9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1" name="Rounded Rectangle 9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2" name="Rounded Rectangle 9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3" name="Rounded Rectangle 9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4" name="Rounded Rectangle 9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5" name="Rounded Rectangle 9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6" name="Rounded Rectangle 9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7" name="Rounded Rectangle 9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8" name="Rounded Rectangle 9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79" name="Rounded Rectangle 9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0" name="Rounded Rectangle 9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1" name="Rounded Rectangle 9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2" name="Rounded Rectangle 9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3" name="Rounded Rectangle 9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4" name="Rounded Rectangle 9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5" name="Rounded Rectangle 9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6" name="Rounded Rectangle 9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7" name="Rounded Rectangle 9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8" name="Rounded Rectangle 9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89" name="Rounded Rectangle 9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0" name="Rounded Rectangle 9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1" name="Rounded Rectangle 9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2" name="Rounded Rectangle 9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3" name="Rounded Rectangle 9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4" name="Rounded Rectangle 9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5" name="Rounded Rectangle 9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6" name="Rounded Rectangle 9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7" name="Rounded Rectangle 9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8" name="Rounded Rectangle 9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399" name="Rounded Rectangle 9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0" name="Rounded Rectangle 9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1" name="Rounded Rectangle 9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2" name="Rounded Rectangle 9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3" name="Rounded Rectangle 9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4" name="Rounded Rectangle 9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5" name="Rounded Rectangle 9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6" name="Rounded Rectangle 9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7" name="Rounded Rectangle 9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8" name="Rounded Rectangle 9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09" name="Rounded Rectangle 9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0" name="Rounded Rectangle 9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1" name="Rounded Rectangle 9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2" name="Rounded Rectangle 9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3" name="Rounded Rectangle 9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4" name="Rounded Rectangle 9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5" name="Rounded Rectangle 9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6" name="Rounded Rectangle 9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7" name="Rounded Rectangle 9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8" name="Rounded Rectangle 9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19" name="Rounded Rectangle 9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0" name="Rounded Rectangle 9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1" name="Rounded Rectangle 9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2" name="Rounded Rectangle 9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3" name="Rounded Rectangle 9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4" name="Rounded Rectangle 9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5" name="Rounded Rectangle 9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6" name="Rounded Rectangle 9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7" name="Rounded Rectangle 9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8" name="Rounded Rectangle 9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29" name="Rounded Rectangle 9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0" name="Rounded Rectangle 9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1" name="Rounded Rectangle 9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2" name="Rounded Rectangle 9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3" name="Rounded Rectangle 9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4" name="Rounded Rectangle 9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5" name="Rounded Rectangle 9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6" name="Rounded Rectangle 9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7" name="Rounded Rectangle 9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8" name="Rounded Rectangle 9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39" name="Rounded Rectangle 9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0" name="Rounded Rectangle 9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1" name="Rounded Rectangle 9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2" name="Rounded Rectangle 9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3" name="Rounded Rectangle 9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4" name="Rounded Rectangle 9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5" name="Rounded Rectangle 9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6" name="Rounded Rectangle 9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7" name="Rounded Rectangle 9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8" name="Rounded Rectangle 9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49" name="Rounded Rectangle 9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0" name="Rounded Rectangle 9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1" name="Rounded Rectangle 9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2" name="Rounded Rectangle 9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3" name="Rounded Rectangle 9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4" name="Rounded Rectangle 9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5" name="Rounded Rectangle 9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6" name="Rounded Rectangle 9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7" name="Rounded Rectangle 9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8" name="Rounded Rectangle 9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59" name="Rounded Rectangle 9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0" name="Rounded Rectangle 9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1" name="Rounded Rectangle 9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2" name="Rounded Rectangle 9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3" name="Rounded Rectangle 9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4" name="Rounded Rectangle 9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5" name="Rounded Rectangle 9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6" name="Rounded Rectangle 9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7" name="Rounded Rectangle 9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8" name="Rounded Rectangle 9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69" name="Rounded Rectangle 9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0" name="Rounded Rectangle 9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1" name="Rounded Rectangle 9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2" name="Rounded Rectangle 9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3" name="Rounded Rectangle 9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4" name="Rounded Rectangle 9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5" name="Rounded Rectangle 9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6" name="Rounded Rectangle 9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7" name="Rounded Rectangle 9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8" name="Rounded Rectangle 9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79" name="Rounded Rectangle 9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0" name="Rounded Rectangle 9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1" name="Rounded Rectangle 9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2" name="Rounded Rectangle 9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3" name="Rounded Rectangle 9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4" name="Rounded Rectangle 9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5" name="Rounded Rectangle 9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6" name="Rounded Rectangle 9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7" name="Rounded Rectangle 9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8" name="Rounded Rectangle 9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89" name="Rounded Rectangle 9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0" name="Rounded Rectangle 9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1" name="Rounded Rectangle 9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2" name="Rounded Rectangle 9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3" name="Rounded Rectangle 9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4" name="Rounded Rectangle 9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5" name="Rounded Rectangle 9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6" name="Rounded Rectangle 9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7" name="Rounded Rectangle 9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8" name="Rounded Rectangle 9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499" name="Rounded Rectangle 9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0" name="Rounded Rectangle 9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1" name="Rounded Rectangle 9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2" name="Rounded Rectangle 9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3" name="Rounded Rectangle 9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4" name="Rounded Rectangle 9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5" name="Rounded Rectangle 9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6" name="Rounded Rectangle 9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7" name="Rounded Rectangle 9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8" name="Rounded Rectangle 9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09" name="Rounded Rectangle 9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0" name="Rounded Rectangle 9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1" name="Rounded Rectangle 9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2" name="Rounded Rectangle 9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3" name="Rounded Rectangle 9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4" name="Rounded Rectangle 9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5" name="Rounded Rectangle 9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6" name="Rounded Rectangle 9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7" name="Rounded Rectangle 9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8" name="Rounded Rectangle 9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19" name="Rounded Rectangle 9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0" name="Rounded Rectangle 9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1" name="Rounded Rectangle 9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2" name="Rounded Rectangle 9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3" name="Rounded Rectangle 9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4" name="Rounded Rectangle 9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5" name="Rounded Rectangle 9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6" name="Rounded Rectangle 9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7" name="Rounded Rectangle 9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8" name="Rounded Rectangle 9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29" name="Rounded Rectangle 9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0" name="Rounded Rectangle 9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1" name="Rounded Rectangle 9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2" name="Rounded Rectangle 9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3" name="Rounded Rectangle 9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4" name="Rounded Rectangle 9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5" name="Rounded Rectangle 9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6" name="Rounded Rectangle 9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7" name="Rounded Rectangle 9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8" name="Rounded Rectangle 9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39" name="Rounded Rectangle 9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0" name="Rounded Rectangle 9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1" name="Rounded Rectangle 9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2" name="Rounded Rectangle 9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3" name="Rounded Rectangle 9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4" name="Rounded Rectangle 9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5" name="Rounded Rectangle 9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6" name="Rounded Rectangle 9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7" name="Rounded Rectangle 9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8" name="Rounded Rectangle 9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49" name="Rounded Rectangle 9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0" name="Rounded Rectangle 9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1" name="Rounded Rectangle 9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2" name="Rounded Rectangle 9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3" name="Rounded Rectangle 9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4" name="Rounded Rectangle 9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5" name="Rounded Rectangle 9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6" name="Rounded Rectangle 9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7" name="Rounded Rectangle 9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8" name="Rounded Rectangle 9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59" name="Rounded Rectangle 9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0" name="Rounded Rectangle 9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1" name="Rounded Rectangle 9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2" name="Rounded Rectangle 9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3" name="Rounded Rectangle 9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4" name="Rounded Rectangle 9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5" name="Rounded Rectangle 9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6" name="Rounded Rectangle 9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7" name="Rounded Rectangle 9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8" name="Rounded Rectangle 9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69" name="Rounded Rectangle 9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0" name="Rounded Rectangle 9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1" name="Rounded Rectangle 9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2" name="Rounded Rectangle 9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3" name="Rounded Rectangle 9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4" name="Rounded Rectangle 9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5" name="Rounded Rectangle 9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6" name="Rounded Rectangle 9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7" name="Rounded Rectangle 9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8" name="Rounded Rectangle 9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79" name="Rounded Rectangle 9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0" name="Rounded Rectangle 9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1" name="Rounded Rectangle 9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2" name="Rounded Rectangle 9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3" name="Rounded Rectangle 9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4" name="Rounded Rectangle 9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5" name="Rounded Rectangle 9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6" name="Rounded Rectangle 9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7" name="Rounded Rectangle 9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8" name="Rounded Rectangle 9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89" name="Rounded Rectangle 9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0" name="Rounded Rectangle 9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1" name="Rounded Rectangle 9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2" name="Rounded Rectangle 9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3" name="Rounded Rectangle 9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4" name="Rounded Rectangle 9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5" name="Rounded Rectangle 9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6" name="Rounded Rectangle 9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7" name="Rounded Rectangle 9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8" name="Rounded Rectangle 9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599" name="Rounded Rectangle 9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0" name="Rounded Rectangle 9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1" name="Rounded Rectangle 9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2" name="Rounded Rectangle 9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3" name="Rounded Rectangle 9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4" name="Rounded Rectangle 9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5" name="Rounded Rectangle 9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6" name="Rounded Rectangle 9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7" name="Rounded Rectangle 9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8" name="Rounded Rectangle 9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09" name="Rounded Rectangle 9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0" name="Rounded Rectangle 9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1" name="Rounded Rectangle 9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2" name="Rounded Rectangle 9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3" name="Rounded Rectangle 9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4" name="Rounded Rectangle 9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5" name="Rounded Rectangle 9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6" name="Rounded Rectangle 9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7" name="Rounded Rectangle 9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8" name="Rounded Rectangle 9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19" name="Rounded Rectangle 9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0" name="Rounded Rectangle 9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1" name="Rounded Rectangle 9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2" name="Rounded Rectangle 9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3" name="Rounded Rectangle 9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4" name="Rounded Rectangle 9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5" name="Rounded Rectangle 9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6" name="Rounded Rectangle 9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7" name="Rounded Rectangle 9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8" name="Rounded Rectangle 9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29" name="Rounded Rectangle 9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0" name="Rounded Rectangle 9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1" name="Rounded Rectangle 9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2" name="Rounded Rectangle 9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3" name="Rounded Rectangle 9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4" name="Rounded Rectangle 9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5" name="Rounded Rectangle 9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6" name="Rounded Rectangle 9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7" name="Rounded Rectangle 9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8" name="Rounded Rectangle 9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39" name="Rounded Rectangle 9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0" name="Rounded Rectangle 9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1" name="Rounded Rectangle 9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2" name="Rounded Rectangle 9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3" name="Rounded Rectangle 9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4" name="Rounded Rectangle 9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5" name="Rounded Rectangle 9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6" name="Rounded Rectangle 9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7" name="Rounded Rectangle 9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8" name="Rounded Rectangle 9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49" name="Rounded Rectangle 9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0" name="Rounded Rectangle 9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1" name="Rounded Rectangle 9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2" name="Rounded Rectangle 9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3" name="Rounded Rectangle 9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4" name="Rounded Rectangle 9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5" name="Rounded Rectangle 9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6" name="Rounded Rectangle 9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7" name="Rounded Rectangle 9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8" name="Rounded Rectangle 9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59" name="Rounded Rectangle 9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0" name="Rounded Rectangle 9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1" name="Rounded Rectangle 9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2" name="Rounded Rectangle 9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3" name="Rounded Rectangle 9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4" name="Rounded Rectangle 9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5" name="Rounded Rectangle 9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6" name="Rounded Rectangle 9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7" name="Rounded Rectangle 9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8" name="Rounded Rectangle 9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69" name="Rounded Rectangle 9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0" name="Rounded Rectangle 9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1" name="Rounded Rectangle 9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2" name="Rounded Rectangle 9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3" name="Rounded Rectangle 9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4" name="Rounded Rectangle 9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5" name="Rounded Rectangle 9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6" name="Rounded Rectangle 9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7" name="Rounded Rectangle 9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8" name="Rounded Rectangle 9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79" name="Rounded Rectangle 9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0" name="Rounded Rectangle 9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1" name="Rounded Rectangle 9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2" name="Rounded Rectangle 9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3" name="Rounded Rectangle 9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4" name="Rounded Rectangle 9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5" name="Rounded Rectangle 9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6" name="Rounded Rectangle 9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7" name="Rounded Rectangle 9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8" name="Rounded Rectangle 9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89" name="Rounded Rectangle 9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0" name="Rounded Rectangle 9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1" name="Rounded Rectangle 9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2" name="Rounded Rectangle 9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3" name="Rounded Rectangle 9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4" name="Rounded Rectangle 9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5" name="Rounded Rectangle 9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6" name="Rounded Rectangle 9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7" name="Rounded Rectangle 9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8" name="Rounded Rectangle 9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699" name="Rounded Rectangle 9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0" name="Rounded Rectangle 9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1" name="Rounded Rectangle 9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2" name="Rounded Rectangle 9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3" name="Rounded Rectangle 9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4" name="Rounded Rectangle 9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5" name="Rounded Rectangle 9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6" name="Rounded Rectangle 9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7" name="Rounded Rectangle 9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8" name="Rounded Rectangle 9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09" name="Rounded Rectangle 9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0" name="Rounded Rectangle 9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1" name="Rounded Rectangle 9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2" name="Rounded Rectangle 9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3" name="Rounded Rectangle 9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4" name="Rounded Rectangle 9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5" name="Rounded Rectangle 9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6" name="Rounded Rectangle 9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7" name="Rounded Rectangle 9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8" name="Rounded Rectangle 9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19" name="Rounded Rectangle 9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0" name="Rounded Rectangle 9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1" name="Rounded Rectangle 9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2" name="Rounded Rectangle 9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3" name="Rounded Rectangle 9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4" name="Rounded Rectangle 9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5" name="Rounded Rectangle 9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6" name="Rounded Rectangle 9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7" name="Rounded Rectangle 9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8" name="Rounded Rectangle 9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29" name="Rounded Rectangle 9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0" name="Rounded Rectangle 9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1" name="Rounded Rectangle 9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2" name="Rounded Rectangle 9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3" name="Rounded Rectangle 9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4" name="Rounded Rectangle 9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5" name="Rounded Rectangle 9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6" name="Rounded Rectangle 9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7" name="Rounded Rectangle 9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8" name="Rounded Rectangle 9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39" name="Rounded Rectangle 9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0" name="Rounded Rectangle 9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1" name="Rounded Rectangle 9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2" name="Rounded Rectangle 9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3" name="Rounded Rectangle 9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4" name="Rounded Rectangle 9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5" name="Rounded Rectangle 9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6" name="Rounded Rectangle 9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7" name="Rounded Rectangle 9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8" name="Rounded Rectangle 9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49" name="Rounded Rectangle 9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0" name="Rounded Rectangle 9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1" name="Rounded Rectangle 9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2" name="Rounded Rectangle 9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3" name="Rounded Rectangle 9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4" name="Rounded Rectangle 9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5" name="Rounded Rectangle 9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6" name="Rounded Rectangle 9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7" name="Rounded Rectangle 9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8" name="Rounded Rectangle 9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59" name="Rounded Rectangle 9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0" name="Rounded Rectangle 9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1" name="Rounded Rectangle 9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2" name="Rounded Rectangle 9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3" name="Rounded Rectangle 9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4" name="Rounded Rectangle 9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5" name="Rounded Rectangle 9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6" name="Rounded Rectangle 9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7" name="Rounded Rectangle 9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8" name="Rounded Rectangle 9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69" name="Rounded Rectangle 9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0" name="Rounded Rectangle 9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1" name="Rounded Rectangle 9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2" name="Rounded Rectangle 9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3" name="Rounded Rectangle 9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4" name="Rounded Rectangle 9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5" name="Rounded Rectangle 9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6" name="Rounded Rectangle 9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7" name="Rounded Rectangle 9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8" name="Rounded Rectangle 9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79" name="Rounded Rectangle 9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0" name="Rounded Rectangle 9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1" name="Rounded Rectangle 9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2" name="Rounded Rectangle 9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3" name="Rounded Rectangle 9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4" name="Rounded Rectangle 9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5" name="Rounded Rectangle 9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6" name="Rounded Rectangle 9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7" name="Rounded Rectangle 9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8" name="Rounded Rectangle 9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89" name="Rounded Rectangle 9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0" name="Rounded Rectangle 9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1" name="Rounded Rectangle 9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2" name="Rounded Rectangle 9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3" name="Rounded Rectangle 9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4" name="Rounded Rectangle 9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5" name="Rounded Rectangle 9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6" name="Rounded Rectangle 9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7" name="Rounded Rectangle 9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8" name="Rounded Rectangle 9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799" name="Rounded Rectangle 9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0" name="Rounded Rectangle 9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1" name="Rounded Rectangle 9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2" name="Rounded Rectangle 9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3" name="Rounded Rectangle 9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4" name="Rounded Rectangle 9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5" name="Rounded Rectangle 9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6" name="Rounded Rectangle 9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7" name="Rounded Rectangle 9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8" name="Rounded Rectangle 9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09" name="Rounded Rectangle 9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0" name="Rounded Rectangle 9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1" name="Rounded Rectangle 9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2" name="Rounded Rectangle 9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3" name="Rounded Rectangle 9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4" name="Rounded Rectangle 9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5" name="Rounded Rectangle 9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6" name="Rounded Rectangle 9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7" name="Rounded Rectangle 9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8" name="Rounded Rectangle 9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19" name="Rounded Rectangle 9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0" name="Rounded Rectangle 9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1" name="Rounded Rectangle 9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2" name="Rounded Rectangle 9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3" name="Rounded Rectangle 9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4" name="Rounded Rectangle 9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5" name="Rounded Rectangle 9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6" name="Rounded Rectangle 9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7" name="Rounded Rectangle 9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8" name="Rounded Rectangle 9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29" name="Rounded Rectangle 9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0" name="Rounded Rectangle 9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1" name="Rounded Rectangle 9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2" name="Rounded Rectangle 9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3" name="Rounded Rectangle 9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4" name="Rounded Rectangle 9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5" name="Rounded Rectangle 9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6" name="Rounded Rectangle 9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7" name="Rounded Rectangle 9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8" name="Rounded Rectangle 9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39" name="Rounded Rectangle 9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0" name="Rounded Rectangle 9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1" name="Rounded Rectangle 9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2" name="Rounded Rectangle 9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3" name="Rounded Rectangle 9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4" name="Rounded Rectangle 9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5" name="Rounded Rectangle 9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6" name="Rounded Rectangle 9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7" name="Rounded Rectangle 9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8" name="Rounded Rectangle 9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49" name="Rounded Rectangle 9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0" name="Rounded Rectangle 9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1" name="Rounded Rectangle 9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2" name="Rounded Rectangle 9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3" name="Rounded Rectangle 9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4" name="Rounded Rectangle 9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5" name="Rounded Rectangle 9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6" name="Rounded Rectangle 9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7" name="Rounded Rectangle 9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8" name="Rounded Rectangle 9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59" name="Rounded Rectangle 9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0" name="Rounded Rectangle 9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1" name="Rounded Rectangle 9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2" name="Rounded Rectangle 9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3" name="Rounded Rectangle 9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4" name="Rounded Rectangle 9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5" name="Rounded Rectangle 9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6" name="Rounded Rectangle 9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7" name="Rounded Rectangle 9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8" name="Rounded Rectangle 9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69" name="Rounded Rectangle 9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0" name="Rounded Rectangle 9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1" name="Rounded Rectangle 9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2" name="Rounded Rectangle 9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3" name="Rounded Rectangle 9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4" name="Rounded Rectangle 9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5" name="Rounded Rectangle 9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6" name="Rounded Rectangle 9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7" name="Rounded Rectangle 9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8" name="Rounded Rectangle 9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79" name="Rounded Rectangle 9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0" name="Rounded Rectangle 9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1" name="Rounded Rectangle 9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2" name="Rounded Rectangle 9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3" name="Rounded Rectangle 9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4" name="Rounded Rectangle 9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5" name="Rounded Rectangle 9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6" name="Rounded Rectangle 9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7" name="Rounded Rectangle 9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8" name="Rounded Rectangle 9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89" name="Rounded Rectangle 9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0" name="Rounded Rectangle 9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1" name="Rounded Rectangle 9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2" name="Rounded Rectangle 9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3" name="Rounded Rectangle 9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4" name="Rounded Rectangle 9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5" name="Rounded Rectangle 9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6" name="Rounded Rectangle 9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7" name="Rounded Rectangle 9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8" name="Rounded Rectangle 9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899" name="Rounded Rectangle 9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0" name="Rounded Rectangle 9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1" name="Rounded Rectangle 9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2" name="Rounded Rectangle 9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3" name="Rounded Rectangle 9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4" name="Rounded Rectangle 9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5" name="Rounded Rectangle 9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6" name="Rounded Rectangle 9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7" name="Rounded Rectangle 9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8" name="Rounded Rectangle 9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09" name="Rounded Rectangle 9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0" name="Rounded Rectangle 9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1" name="Rounded Rectangle 9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2" name="Rounded Rectangle 9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3" name="Rounded Rectangle 9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4" name="Rounded Rectangle 9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5" name="Rounded Rectangle 9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6" name="Rounded Rectangle 9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7" name="Rounded Rectangle 9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8" name="Rounded Rectangle 9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19" name="Rounded Rectangle 9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0" name="Rounded Rectangle 9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1" name="Rounded Rectangle 9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2" name="Rounded Rectangle 9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3" name="Rounded Rectangle 9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4" name="Rounded Rectangle 9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5" name="Rounded Rectangle 9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6" name="Rounded Rectangle 9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7" name="Rounded Rectangle 9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8" name="Rounded Rectangle 9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29" name="Rounded Rectangle 9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0" name="Rounded Rectangle 9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1" name="Rounded Rectangle 9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2" name="Rounded Rectangle 9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3" name="Rounded Rectangle 9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4" name="Rounded Rectangle 9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5" name="Rounded Rectangle 9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6" name="Rounded Rectangle 9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7" name="Rounded Rectangle 9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8" name="Rounded Rectangle 9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39" name="Rounded Rectangle 9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0" name="Rounded Rectangle 9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1" name="Rounded Rectangle 9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2" name="Rounded Rectangle 9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3" name="Rounded Rectangle 9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4" name="Rounded Rectangle 9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5" name="Rounded Rectangle 9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6" name="Rounded Rectangle 9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7" name="Rounded Rectangle 9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8" name="Rounded Rectangle 9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49" name="Rounded Rectangle 9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0" name="Rounded Rectangle 9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1" name="Rounded Rectangle 9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2" name="Rounded Rectangle 9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3" name="Rounded Rectangle 9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4" name="Rounded Rectangle 9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5" name="Rounded Rectangle 9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6" name="Rounded Rectangle 9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7" name="Rounded Rectangle 9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8" name="Rounded Rectangle 9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59" name="Rounded Rectangle 9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0" name="Rounded Rectangle 9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1" name="Rounded Rectangle 9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2" name="Rounded Rectangle 9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3" name="Rounded Rectangle 9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4" name="Rounded Rectangle 9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5" name="Rounded Rectangle 9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6" name="Rounded Rectangle 9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7" name="Rounded Rectangle 9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8" name="Rounded Rectangle 9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69" name="Rounded Rectangle 9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0" name="Rounded Rectangle 9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1" name="Rounded Rectangle 9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2" name="Rounded Rectangle 9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3" name="Rounded Rectangle 9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4" name="Rounded Rectangle 9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5" name="Rounded Rectangle 9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6" name="Rounded Rectangle 9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7" name="Rounded Rectangle 9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8" name="Rounded Rectangle 9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79" name="Rounded Rectangle 9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0" name="Rounded Rectangle 9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1" name="Rounded Rectangle 9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2" name="Rounded Rectangle 9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3" name="Rounded Rectangle 9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4" name="Rounded Rectangle 9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5" name="Rounded Rectangle 9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6" name="Rounded Rectangle 9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7" name="Rounded Rectangle 9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8" name="Rounded Rectangle 9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89" name="Rounded Rectangle 9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0" name="Rounded Rectangle 9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1" name="Rounded Rectangle 9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2" name="Rounded Rectangle 9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3" name="Rounded Rectangle 9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4" name="Rounded Rectangle 9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5" name="Rounded Rectangle 9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6" name="Rounded Rectangle 9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7" name="Rounded Rectangle 9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8" name="Rounded Rectangle 9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9999" name="Rounded Rectangle 9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0" name="Rounded Rectangle 9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1" name="Rounded Rectangle 10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2" name="Rounded Rectangle 10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3" name="Rounded Rectangle 10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4" name="Rounded Rectangle 10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5" name="Rounded Rectangle 10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6" name="Rounded Rectangle 10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7" name="Rounded Rectangle 10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8" name="Rounded Rectangle 10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09" name="Rounded Rectangle 10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0" name="Rounded Rectangle 10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1" name="Rounded Rectangle 10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2" name="Rounded Rectangle 10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3" name="Rounded Rectangle 10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4" name="Rounded Rectangle 10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5" name="Rounded Rectangle 10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6" name="Rounded Rectangle 10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7" name="Rounded Rectangle 10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8" name="Rounded Rectangle 10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19" name="Rounded Rectangle 10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0" name="Rounded Rectangle 10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1" name="Rounded Rectangle 10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2" name="Rounded Rectangle 10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3" name="Rounded Rectangle 10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4" name="Rounded Rectangle 10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5" name="Rounded Rectangle 10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6" name="Rounded Rectangle 10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7" name="Rounded Rectangle 10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8" name="Rounded Rectangle 10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29" name="Rounded Rectangle 10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0" name="Rounded Rectangle 10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1" name="Rounded Rectangle 10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2" name="Rounded Rectangle 10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3" name="Rounded Rectangle 10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4" name="Rounded Rectangle 10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5" name="Rounded Rectangle 10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6" name="Rounded Rectangle 10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7" name="Rounded Rectangle 10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8" name="Rounded Rectangle 10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39" name="Rounded Rectangle 10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0" name="Rounded Rectangle 10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1" name="Rounded Rectangle 10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2" name="Rounded Rectangle 10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3" name="Rounded Rectangle 10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4" name="Rounded Rectangle 10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5" name="Rounded Rectangle 10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6" name="Rounded Rectangle 10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7" name="Rounded Rectangle 10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8" name="Rounded Rectangle 10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49" name="Rounded Rectangle 10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0" name="Rounded Rectangle 10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1" name="Rounded Rectangle 10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2" name="Rounded Rectangle 10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3" name="Rounded Rectangle 10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4" name="Rounded Rectangle 10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5" name="Rounded Rectangle 10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6" name="Rounded Rectangle 10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7" name="Rounded Rectangle 10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8" name="Rounded Rectangle 10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59" name="Rounded Rectangle 10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0" name="Rounded Rectangle 10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1" name="Rounded Rectangle 10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2" name="Rounded Rectangle 10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3" name="Rounded Rectangle 10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4" name="Rounded Rectangle 10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5" name="Rounded Rectangle 10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6" name="Rounded Rectangle 10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7" name="Rounded Rectangle 10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8" name="Rounded Rectangle 10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69" name="Rounded Rectangle 10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0" name="Rounded Rectangle 10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1" name="Rounded Rectangle 10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2" name="Rounded Rectangle 10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3" name="Rounded Rectangle 10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4" name="Rounded Rectangle 10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5" name="Rounded Rectangle 10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6" name="Rounded Rectangle 10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7" name="Rounded Rectangle 10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8" name="Rounded Rectangle 10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79" name="Rounded Rectangle 10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0" name="Rounded Rectangle 10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1" name="Rounded Rectangle 10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2" name="Rounded Rectangle 10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3" name="Rounded Rectangle 10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4" name="Rounded Rectangle 10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5" name="Rounded Rectangle 10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6" name="Rounded Rectangle 10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7" name="Rounded Rectangle 10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8" name="Rounded Rectangle 10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89" name="Rounded Rectangle 10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0" name="Rounded Rectangle 10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1" name="Rounded Rectangle 10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2" name="Rounded Rectangle 10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3" name="Rounded Rectangle 10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4" name="Rounded Rectangle 10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5" name="Rounded Rectangle 10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6" name="Rounded Rectangle 10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7" name="Rounded Rectangle 10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8" name="Rounded Rectangle 10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099" name="Rounded Rectangle 10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0" name="Rounded Rectangle 10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1" name="Rounded Rectangle 10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2" name="Rounded Rectangle 10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3" name="Rounded Rectangle 10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4" name="Rounded Rectangle 10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5" name="Rounded Rectangle 10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6" name="Rounded Rectangle 10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7" name="Rounded Rectangle 10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8" name="Rounded Rectangle 10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09" name="Rounded Rectangle 10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0" name="Rounded Rectangle 10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1" name="Rounded Rectangle 10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2" name="Rounded Rectangle 10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3" name="Rounded Rectangle 10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4" name="Rounded Rectangle 10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5" name="Rounded Rectangle 10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6" name="Rounded Rectangle 10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7" name="Rounded Rectangle 10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8" name="Rounded Rectangle 10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19" name="Rounded Rectangle 10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0" name="Rounded Rectangle 10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1" name="Rounded Rectangle 10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2" name="Rounded Rectangle 10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3" name="Rounded Rectangle 10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4" name="Rounded Rectangle 10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5" name="Rounded Rectangle 10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6" name="Rounded Rectangle 10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7" name="Rounded Rectangle 10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8" name="Rounded Rectangle 10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29" name="Rounded Rectangle 10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0" name="Rounded Rectangle 10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1" name="Rounded Rectangle 10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2" name="Rounded Rectangle 10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3" name="Rounded Rectangle 10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4" name="Rounded Rectangle 10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5" name="Rounded Rectangle 10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6" name="Rounded Rectangle 10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7" name="Rounded Rectangle 10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8" name="Rounded Rectangle 10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39" name="Rounded Rectangle 10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0" name="Rounded Rectangle 10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1" name="Rounded Rectangle 10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2" name="Rounded Rectangle 10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3" name="Rounded Rectangle 10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4" name="Rounded Rectangle 10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5" name="Rounded Rectangle 10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6" name="Rounded Rectangle 10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7" name="Rounded Rectangle 10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8" name="Rounded Rectangle 10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49" name="Rounded Rectangle 10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0" name="Rounded Rectangle 10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1" name="Rounded Rectangle 10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2" name="Rounded Rectangle 10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3" name="Rounded Rectangle 10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4" name="Rounded Rectangle 10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5" name="Rounded Rectangle 10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6" name="Rounded Rectangle 10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7" name="Rounded Rectangle 10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8" name="Rounded Rectangle 10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59" name="Rounded Rectangle 10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0" name="Rounded Rectangle 10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1" name="Rounded Rectangle 10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2" name="Rounded Rectangle 10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3" name="Rounded Rectangle 10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4" name="Rounded Rectangle 10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5" name="Rounded Rectangle 10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6" name="Rounded Rectangle 10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7" name="Rounded Rectangle 10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8" name="Rounded Rectangle 10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69" name="Rounded Rectangle 10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0" name="Rounded Rectangle 10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1" name="Rounded Rectangle 10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2" name="Rounded Rectangle 10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3" name="Rounded Rectangle 10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4" name="Rounded Rectangle 10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5" name="Rounded Rectangle 10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6" name="Rounded Rectangle 10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7" name="Rounded Rectangle 10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8" name="Rounded Rectangle 10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79" name="Rounded Rectangle 10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0" name="Rounded Rectangle 10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1" name="Rounded Rectangle 10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2" name="Rounded Rectangle 10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3" name="Rounded Rectangle 10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4" name="Rounded Rectangle 10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5" name="Rounded Rectangle 10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6" name="Rounded Rectangle 10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7" name="Rounded Rectangle 10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8" name="Rounded Rectangle 10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89" name="Rounded Rectangle 10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0" name="Rounded Rectangle 10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1" name="Rounded Rectangle 10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2" name="Rounded Rectangle 10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3" name="Rounded Rectangle 10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4" name="Rounded Rectangle 10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5" name="Rounded Rectangle 10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6" name="Rounded Rectangle 10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7" name="Rounded Rectangle 10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8" name="Rounded Rectangle 10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199" name="Rounded Rectangle 10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0" name="Rounded Rectangle 10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1" name="Rounded Rectangle 10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2" name="Rounded Rectangle 10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3" name="Rounded Rectangle 10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4" name="Rounded Rectangle 10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5" name="Rounded Rectangle 10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6" name="Rounded Rectangle 10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7" name="Rounded Rectangle 10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8" name="Rounded Rectangle 10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09" name="Rounded Rectangle 10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0" name="Rounded Rectangle 10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1" name="Rounded Rectangle 10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2" name="Rounded Rectangle 10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3" name="Rounded Rectangle 10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4" name="Rounded Rectangle 10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5" name="Rounded Rectangle 10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6" name="Rounded Rectangle 10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7" name="Rounded Rectangle 10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8" name="Rounded Rectangle 10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19" name="Rounded Rectangle 10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0" name="Rounded Rectangle 10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1" name="Rounded Rectangle 10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2" name="Rounded Rectangle 10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3" name="Rounded Rectangle 10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4" name="Rounded Rectangle 10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5" name="Rounded Rectangle 10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6" name="Rounded Rectangle 10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7" name="Rounded Rectangle 10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8" name="Rounded Rectangle 10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29" name="Rounded Rectangle 10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0" name="Rounded Rectangle 10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1" name="Rounded Rectangle 10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2" name="Rounded Rectangle 10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3" name="Rounded Rectangle 10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4" name="Rounded Rectangle 10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5" name="Rounded Rectangle 10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6" name="Rounded Rectangle 10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7" name="Rounded Rectangle 10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8" name="Rounded Rectangle 10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39" name="Rounded Rectangle 10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0" name="Rounded Rectangle 10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1" name="Rounded Rectangle 10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2" name="Rounded Rectangle 10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3" name="Rounded Rectangle 10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4" name="Rounded Rectangle 10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5" name="Rounded Rectangle 10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6" name="Rounded Rectangle 10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7" name="Rounded Rectangle 10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8" name="Rounded Rectangle 10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49" name="Rounded Rectangle 10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0" name="Rounded Rectangle 10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1" name="Rounded Rectangle 10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2" name="Rounded Rectangle 10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3" name="Rounded Rectangle 10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4" name="Rounded Rectangle 10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5" name="Rounded Rectangle 10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6" name="Rounded Rectangle 10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7" name="Rounded Rectangle 10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8" name="Rounded Rectangle 10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59" name="Rounded Rectangle 10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0" name="Rounded Rectangle 10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1" name="Rounded Rectangle 10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2" name="Rounded Rectangle 10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3" name="Rounded Rectangle 10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4" name="Rounded Rectangle 10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5" name="Rounded Rectangle 10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6" name="Rounded Rectangle 10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7" name="Rounded Rectangle 10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8" name="Rounded Rectangle 10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69" name="Rounded Rectangle 10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0" name="Rounded Rectangle 10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1" name="Rounded Rectangle 10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2" name="Rounded Rectangle 10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3" name="Rounded Rectangle 10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4" name="Rounded Rectangle 10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5" name="Rounded Rectangle 10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6" name="Rounded Rectangle 10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7" name="Rounded Rectangle 10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8" name="Rounded Rectangle 10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79" name="Rounded Rectangle 10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0" name="Rounded Rectangle 10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1" name="Rounded Rectangle 10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2" name="Rounded Rectangle 10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3" name="Rounded Rectangle 10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4" name="Rounded Rectangle 10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5" name="Rounded Rectangle 10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6" name="Rounded Rectangle 10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7" name="Rounded Rectangle 10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8" name="Rounded Rectangle 10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89" name="Rounded Rectangle 10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0" name="Rounded Rectangle 10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1" name="Rounded Rectangle 10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2" name="Rounded Rectangle 10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3" name="Rounded Rectangle 10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4" name="Rounded Rectangle 10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5" name="Rounded Rectangle 10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6" name="Rounded Rectangle 10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7" name="Rounded Rectangle 10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8" name="Rounded Rectangle 10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299" name="Rounded Rectangle 10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0" name="Rounded Rectangle 10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1" name="Rounded Rectangle 10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2" name="Rounded Rectangle 10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3" name="Rounded Rectangle 10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4" name="Rounded Rectangle 10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5" name="Rounded Rectangle 10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6" name="Rounded Rectangle 10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7" name="Rounded Rectangle 10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8" name="Rounded Rectangle 10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09" name="Rounded Rectangle 10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0" name="Rounded Rectangle 10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1" name="Rounded Rectangle 10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2" name="Rounded Rectangle 10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3" name="Rounded Rectangle 10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4" name="Rounded Rectangle 10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5" name="Rounded Rectangle 10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6" name="Rounded Rectangle 10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7" name="Rounded Rectangle 10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8" name="Rounded Rectangle 10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19" name="Rounded Rectangle 10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0" name="Rounded Rectangle 10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1" name="Rounded Rectangle 10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2" name="Rounded Rectangle 10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3" name="Rounded Rectangle 10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4" name="Rounded Rectangle 10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5" name="Rounded Rectangle 10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6" name="Rounded Rectangle 10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7" name="Rounded Rectangle 10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8" name="Rounded Rectangle 10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29" name="Rounded Rectangle 10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0" name="Rounded Rectangle 10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1" name="Rounded Rectangle 10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2" name="Rounded Rectangle 10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3" name="Rounded Rectangle 10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4" name="Rounded Rectangle 10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5" name="Rounded Rectangle 10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6" name="Rounded Rectangle 10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7" name="Rounded Rectangle 10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8" name="Rounded Rectangle 10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39" name="Rounded Rectangle 10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0" name="Rounded Rectangle 10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1" name="Rounded Rectangle 10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2" name="Rounded Rectangle 10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3" name="Rounded Rectangle 10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4" name="Rounded Rectangle 10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5" name="Rounded Rectangle 10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6" name="Rounded Rectangle 10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7" name="Rounded Rectangle 10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8" name="Rounded Rectangle 10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49" name="Rounded Rectangle 10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0" name="Rounded Rectangle 10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1" name="Rounded Rectangle 10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2" name="Rounded Rectangle 10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3" name="Rounded Rectangle 10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4" name="Rounded Rectangle 10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5" name="Rounded Rectangle 10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6" name="Rounded Rectangle 10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7" name="Rounded Rectangle 10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8" name="Rounded Rectangle 10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59" name="Rounded Rectangle 10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0" name="Rounded Rectangle 10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1" name="Rounded Rectangle 10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2" name="Rounded Rectangle 10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3" name="Rounded Rectangle 10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4" name="Rounded Rectangle 10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5" name="Rounded Rectangle 10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6" name="Rounded Rectangle 10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7" name="Rounded Rectangle 10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8" name="Rounded Rectangle 10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69" name="Rounded Rectangle 10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0" name="Rounded Rectangle 10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1" name="Rounded Rectangle 10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2" name="Rounded Rectangle 10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3" name="Rounded Rectangle 10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4" name="Rounded Rectangle 10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5" name="Rounded Rectangle 10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6" name="Rounded Rectangle 10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7" name="Rounded Rectangle 10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8" name="Rounded Rectangle 10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79" name="Rounded Rectangle 10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0" name="Rounded Rectangle 10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1" name="Rounded Rectangle 10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2" name="Rounded Rectangle 10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3" name="Rounded Rectangle 10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4" name="Rounded Rectangle 10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5" name="Rounded Rectangle 10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6" name="Rounded Rectangle 10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7" name="Rounded Rectangle 10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8" name="Rounded Rectangle 10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89" name="Rounded Rectangle 10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0" name="Rounded Rectangle 10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1" name="Rounded Rectangle 10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2" name="Rounded Rectangle 10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3" name="Rounded Rectangle 10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4" name="Rounded Rectangle 10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5" name="Rounded Rectangle 10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6" name="Rounded Rectangle 10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7" name="Rounded Rectangle 10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8" name="Rounded Rectangle 10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399" name="Rounded Rectangle 10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0" name="Rounded Rectangle 10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1" name="Rounded Rectangle 10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2" name="Rounded Rectangle 10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3" name="Rounded Rectangle 10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4" name="Rounded Rectangle 10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5" name="Rounded Rectangle 10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6" name="Rounded Rectangle 10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7" name="Rounded Rectangle 10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8" name="Rounded Rectangle 10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09" name="Rounded Rectangle 10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0" name="Rounded Rectangle 10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1" name="Rounded Rectangle 10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2" name="Rounded Rectangle 10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3" name="Rounded Rectangle 10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4" name="Rounded Rectangle 10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5" name="Rounded Rectangle 10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6" name="Rounded Rectangle 10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7" name="Rounded Rectangle 10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8" name="Rounded Rectangle 10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19" name="Rounded Rectangle 10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0" name="Rounded Rectangle 10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1" name="Rounded Rectangle 10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2" name="Rounded Rectangle 10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3" name="Rounded Rectangle 10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4" name="Rounded Rectangle 10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5" name="Rounded Rectangle 10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6" name="Rounded Rectangle 10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7" name="Rounded Rectangle 10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8" name="Rounded Rectangle 10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29" name="Rounded Rectangle 10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0" name="Rounded Rectangle 10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1" name="Rounded Rectangle 10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2" name="Rounded Rectangle 10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3" name="Rounded Rectangle 10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4" name="Rounded Rectangle 10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5" name="Rounded Rectangle 10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6" name="Rounded Rectangle 10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7" name="Rounded Rectangle 10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8" name="Rounded Rectangle 10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39" name="Rounded Rectangle 10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0" name="Rounded Rectangle 10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1" name="Rounded Rectangle 10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2" name="Rounded Rectangle 10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3" name="Rounded Rectangle 10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4" name="Rounded Rectangle 10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5" name="Rounded Rectangle 10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6" name="Rounded Rectangle 10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7" name="Rounded Rectangle 10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8" name="Rounded Rectangle 10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49" name="Rounded Rectangle 10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0" name="Rounded Rectangle 10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1" name="Rounded Rectangle 10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2" name="Rounded Rectangle 10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3" name="Rounded Rectangle 10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4" name="Rounded Rectangle 10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5" name="Rounded Rectangle 10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6" name="Rounded Rectangle 10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7" name="Rounded Rectangle 10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8" name="Rounded Rectangle 10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59" name="Rounded Rectangle 10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0" name="Rounded Rectangle 10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1" name="Rounded Rectangle 10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2" name="Rounded Rectangle 10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3" name="Rounded Rectangle 10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4" name="Rounded Rectangle 10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5" name="Rounded Rectangle 10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6" name="Rounded Rectangle 10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7" name="Rounded Rectangle 10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8" name="Rounded Rectangle 10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69" name="Rounded Rectangle 10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0" name="Rounded Rectangle 10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1" name="Rounded Rectangle 10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2" name="Rounded Rectangle 10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3" name="Rounded Rectangle 10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4" name="Rounded Rectangle 10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5" name="Rounded Rectangle 10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6" name="Rounded Rectangle 10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7" name="Rounded Rectangle 10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8" name="Rounded Rectangle 10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79" name="Rounded Rectangle 10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0" name="Rounded Rectangle 10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1" name="Rounded Rectangle 10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2" name="Rounded Rectangle 10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3" name="Rounded Rectangle 10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4" name="Rounded Rectangle 10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5" name="Rounded Rectangle 10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6" name="Rounded Rectangle 10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7" name="Rounded Rectangle 10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8" name="Rounded Rectangle 10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89" name="Rounded Rectangle 10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0" name="Rounded Rectangle 10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1" name="Rounded Rectangle 10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2" name="Rounded Rectangle 10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3" name="Rounded Rectangle 10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4" name="Rounded Rectangle 10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5" name="Rounded Rectangle 10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6" name="Rounded Rectangle 10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7" name="Rounded Rectangle 10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8" name="Rounded Rectangle 10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499" name="Rounded Rectangle 10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0" name="Rounded Rectangle 10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1" name="Rounded Rectangle 10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2" name="Rounded Rectangle 10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3" name="Rounded Rectangle 10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4" name="Rounded Rectangle 10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5" name="Rounded Rectangle 10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6" name="Rounded Rectangle 10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7" name="Rounded Rectangle 10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8" name="Rounded Rectangle 10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09" name="Rounded Rectangle 10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0" name="Rounded Rectangle 10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1" name="Rounded Rectangle 10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2" name="Rounded Rectangle 10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3" name="Rounded Rectangle 10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4" name="Rounded Rectangle 10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5" name="Rounded Rectangle 10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6" name="Rounded Rectangle 10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7" name="Rounded Rectangle 10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8" name="Rounded Rectangle 10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19" name="Rounded Rectangle 10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0" name="Rounded Rectangle 10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1" name="Rounded Rectangle 10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2" name="Rounded Rectangle 10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3" name="Rounded Rectangle 10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4" name="Rounded Rectangle 10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5" name="Rounded Rectangle 10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6" name="Rounded Rectangle 10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7" name="Rounded Rectangle 10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8" name="Rounded Rectangle 10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29" name="Rounded Rectangle 10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0" name="Rounded Rectangle 10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1" name="Rounded Rectangle 10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2" name="Rounded Rectangle 10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3" name="Rounded Rectangle 10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4" name="Rounded Rectangle 10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5" name="Rounded Rectangle 10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6" name="Rounded Rectangle 10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7" name="Rounded Rectangle 10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8" name="Rounded Rectangle 10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39" name="Rounded Rectangle 10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0" name="Rounded Rectangle 10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1" name="Rounded Rectangle 10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2" name="Rounded Rectangle 10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3" name="Rounded Rectangle 10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4" name="Rounded Rectangle 10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5" name="Rounded Rectangle 10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6" name="Rounded Rectangle 10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7" name="Rounded Rectangle 10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8" name="Rounded Rectangle 10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49" name="Rounded Rectangle 10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0" name="Rounded Rectangle 10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1" name="Rounded Rectangle 10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2" name="Rounded Rectangle 10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3" name="Rounded Rectangle 10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4" name="Rounded Rectangle 10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5" name="Rounded Rectangle 10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6" name="Rounded Rectangle 10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7" name="Rounded Rectangle 10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8" name="Rounded Rectangle 10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59" name="Rounded Rectangle 10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0" name="Rounded Rectangle 10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1" name="Rounded Rectangle 10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2" name="Rounded Rectangle 10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3" name="Rounded Rectangle 10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4" name="Rounded Rectangle 10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5" name="Rounded Rectangle 10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6" name="Rounded Rectangle 10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7" name="Rounded Rectangle 10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8" name="Rounded Rectangle 10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69" name="Rounded Rectangle 10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0" name="Rounded Rectangle 10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1" name="Rounded Rectangle 10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2" name="Rounded Rectangle 10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3" name="Rounded Rectangle 10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4" name="Rounded Rectangle 10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5" name="Rounded Rectangle 10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6" name="Rounded Rectangle 10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7" name="Rounded Rectangle 10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8" name="Rounded Rectangle 10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79" name="Rounded Rectangle 10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0" name="Rounded Rectangle 10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1" name="Rounded Rectangle 10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2" name="Rounded Rectangle 10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3" name="Rounded Rectangle 10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4" name="Rounded Rectangle 10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5" name="Rounded Rectangle 10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6" name="Rounded Rectangle 10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7" name="Rounded Rectangle 10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8" name="Rounded Rectangle 10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89" name="Rounded Rectangle 10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0" name="Rounded Rectangle 10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1" name="Rounded Rectangle 10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2" name="Rounded Rectangle 10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3" name="Rounded Rectangle 10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4" name="Rounded Rectangle 10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5" name="Rounded Rectangle 10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6" name="Rounded Rectangle 10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7" name="Rounded Rectangle 10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8" name="Rounded Rectangle 10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599" name="Rounded Rectangle 10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0" name="Rounded Rectangle 10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1" name="Rounded Rectangle 10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2" name="Rounded Rectangle 10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3" name="Rounded Rectangle 10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4" name="Rounded Rectangle 10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5" name="Rounded Rectangle 10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6" name="Rounded Rectangle 10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7" name="Rounded Rectangle 10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8" name="Rounded Rectangle 10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09" name="Rounded Rectangle 10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0" name="Rounded Rectangle 10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1" name="Rounded Rectangle 10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2" name="Rounded Rectangle 10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3" name="Rounded Rectangle 10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4" name="Rounded Rectangle 10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5" name="Rounded Rectangle 10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6" name="Rounded Rectangle 10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7" name="Rounded Rectangle 10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8" name="Rounded Rectangle 10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19" name="Rounded Rectangle 10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0" name="Rounded Rectangle 10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1" name="Rounded Rectangle 10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2" name="Rounded Rectangle 10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3" name="Rounded Rectangle 10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4" name="Rounded Rectangle 10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5" name="Rounded Rectangle 10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6" name="Rounded Rectangle 10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7" name="Rounded Rectangle 10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8" name="Rounded Rectangle 10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29" name="Rounded Rectangle 10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0" name="Rounded Rectangle 10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1" name="Rounded Rectangle 10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2" name="Rounded Rectangle 10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3" name="Rounded Rectangle 10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4" name="Rounded Rectangle 10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5" name="Rounded Rectangle 10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6" name="Rounded Rectangle 10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7" name="Rounded Rectangle 10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8" name="Rounded Rectangle 10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39" name="Rounded Rectangle 10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0" name="Rounded Rectangle 10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1" name="Rounded Rectangle 10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2" name="Rounded Rectangle 10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3" name="Rounded Rectangle 10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4" name="Rounded Rectangle 10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5" name="Rounded Rectangle 10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6" name="Rounded Rectangle 10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7" name="Rounded Rectangle 10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8" name="Rounded Rectangle 10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49" name="Rounded Rectangle 10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0" name="Rounded Rectangle 10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1" name="Rounded Rectangle 10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2" name="Rounded Rectangle 10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3" name="Rounded Rectangle 10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4" name="Rounded Rectangle 10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5" name="Rounded Rectangle 10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6" name="Rounded Rectangle 10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7" name="Rounded Rectangle 10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8" name="Rounded Rectangle 10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59" name="Rounded Rectangle 10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0" name="Rounded Rectangle 10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1" name="Rounded Rectangle 10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2" name="Rounded Rectangle 10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3" name="Rounded Rectangle 10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4" name="Rounded Rectangle 10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5" name="Rounded Rectangle 10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6" name="Rounded Rectangle 10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7" name="Rounded Rectangle 10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8" name="Rounded Rectangle 10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69" name="Rounded Rectangle 10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0" name="Rounded Rectangle 10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1" name="Rounded Rectangle 10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2" name="Rounded Rectangle 10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3" name="Rounded Rectangle 10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4" name="Rounded Rectangle 10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5" name="Rounded Rectangle 10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6" name="Rounded Rectangle 10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7" name="Rounded Rectangle 10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8" name="Rounded Rectangle 10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79" name="Rounded Rectangle 10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0" name="Rounded Rectangle 10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1" name="Rounded Rectangle 10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2" name="Rounded Rectangle 10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3" name="Rounded Rectangle 10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4" name="Rounded Rectangle 10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5" name="Rounded Rectangle 10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6" name="Rounded Rectangle 10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7" name="Rounded Rectangle 10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8" name="Rounded Rectangle 10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89" name="Rounded Rectangle 10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0" name="Rounded Rectangle 10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1" name="Rounded Rectangle 10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2" name="Rounded Rectangle 10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3" name="Rounded Rectangle 10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4" name="Rounded Rectangle 10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5" name="Rounded Rectangle 10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6" name="Rounded Rectangle 10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7" name="Rounded Rectangle 10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8" name="Rounded Rectangle 10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699" name="Rounded Rectangle 10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0" name="Rounded Rectangle 10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1" name="Rounded Rectangle 10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2" name="Rounded Rectangle 10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3" name="Rounded Rectangle 10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4" name="Rounded Rectangle 10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5" name="Rounded Rectangle 10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6" name="Rounded Rectangle 10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7" name="Rounded Rectangle 10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8" name="Rounded Rectangle 10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09" name="Rounded Rectangle 10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0" name="Rounded Rectangle 10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1" name="Rounded Rectangle 10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2" name="Rounded Rectangle 10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3" name="Rounded Rectangle 10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4" name="Rounded Rectangle 10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5" name="Rounded Rectangle 10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6" name="Rounded Rectangle 10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7" name="Rounded Rectangle 10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8" name="Rounded Rectangle 10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19" name="Rounded Rectangle 10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0" name="Rounded Rectangle 10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1" name="Rounded Rectangle 10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2" name="Rounded Rectangle 10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3" name="Rounded Rectangle 10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4" name="Rounded Rectangle 10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5" name="Rounded Rectangle 10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6" name="Rounded Rectangle 10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7" name="Rounded Rectangle 10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8" name="Rounded Rectangle 10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29" name="Rounded Rectangle 10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0" name="Rounded Rectangle 10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1" name="Rounded Rectangle 10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2" name="Rounded Rectangle 10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3" name="Rounded Rectangle 10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4" name="Rounded Rectangle 10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5" name="Rounded Rectangle 10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6" name="Rounded Rectangle 10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7" name="Rounded Rectangle 10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8" name="Rounded Rectangle 10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39" name="Rounded Rectangle 10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0" name="Rounded Rectangle 10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1" name="Rounded Rectangle 10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2" name="Rounded Rectangle 10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3" name="Rounded Rectangle 10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4" name="Rounded Rectangle 10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5" name="Rounded Rectangle 10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6" name="Rounded Rectangle 10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7" name="Rounded Rectangle 10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8" name="Rounded Rectangle 10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49" name="Rounded Rectangle 10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0" name="Rounded Rectangle 10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1" name="Rounded Rectangle 10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2" name="Rounded Rectangle 10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3" name="Rounded Rectangle 10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4" name="Rounded Rectangle 10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5" name="Rounded Rectangle 10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6" name="Rounded Rectangle 10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7" name="Rounded Rectangle 10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8" name="Rounded Rectangle 10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59" name="Rounded Rectangle 10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0" name="Rounded Rectangle 10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1" name="Rounded Rectangle 10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2" name="Rounded Rectangle 10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3" name="Rounded Rectangle 10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4" name="Rounded Rectangle 10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5" name="Rounded Rectangle 10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6" name="Rounded Rectangle 10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7" name="Rounded Rectangle 10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8" name="Rounded Rectangle 10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69" name="Rounded Rectangle 10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0" name="Rounded Rectangle 10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1" name="Rounded Rectangle 10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2" name="Rounded Rectangle 10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3" name="Rounded Rectangle 10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4" name="Rounded Rectangle 10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5" name="Rounded Rectangle 10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6" name="Rounded Rectangle 10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7" name="Rounded Rectangle 10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8" name="Rounded Rectangle 10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79" name="Rounded Rectangle 10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0" name="Rounded Rectangle 10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1" name="Rounded Rectangle 10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2" name="Rounded Rectangle 10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3" name="Rounded Rectangle 10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4" name="Rounded Rectangle 10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5" name="Rounded Rectangle 10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6" name="Rounded Rectangle 10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7" name="Rounded Rectangle 10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8" name="Rounded Rectangle 10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89" name="Rounded Rectangle 10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0" name="Rounded Rectangle 10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1" name="Rounded Rectangle 10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2" name="Rounded Rectangle 10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3" name="Rounded Rectangle 10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4" name="Rounded Rectangle 10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5" name="Rounded Rectangle 10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6" name="Rounded Rectangle 10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7" name="Rounded Rectangle 10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8" name="Rounded Rectangle 10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799" name="Rounded Rectangle 10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0" name="Rounded Rectangle 10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1" name="Rounded Rectangle 10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2" name="Rounded Rectangle 10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3" name="Rounded Rectangle 10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4" name="Rounded Rectangle 10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5" name="Rounded Rectangle 10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6" name="Rounded Rectangle 10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7" name="Rounded Rectangle 10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8" name="Rounded Rectangle 10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09" name="Rounded Rectangle 10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0" name="Rounded Rectangle 10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1" name="Rounded Rectangle 10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2" name="Rounded Rectangle 10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3" name="Rounded Rectangle 10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4" name="Rounded Rectangle 10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5" name="Rounded Rectangle 10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6" name="Rounded Rectangle 10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7" name="Rounded Rectangle 10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8" name="Rounded Rectangle 10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19" name="Rounded Rectangle 10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0" name="Rounded Rectangle 10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1" name="Rounded Rectangle 10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2" name="Rounded Rectangle 10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3" name="Rounded Rectangle 10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4" name="Rounded Rectangle 10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5" name="Rounded Rectangle 10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6" name="Rounded Rectangle 10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7" name="Rounded Rectangle 10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8" name="Rounded Rectangle 10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29" name="Rounded Rectangle 10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0" name="Rounded Rectangle 10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1" name="Rounded Rectangle 10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2" name="Rounded Rectangle 10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3" name="Rounded Rectangle 10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4" name="Rounded Rectangle 10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5" name="Rounded Rectangle 10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6" name="Rounded Rectangle 10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7" name="Rounded Rectangle 10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8" name="Rounded Rectangle 10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39" name="Rounded Rectangle 10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0" name="Rounded Rectangle 10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1" name="Rounded Rectangle 10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2" name="Rounded Rectangle 10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3" name="Rounded Rectangle 10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4" name="Rounded Rectangle 10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5" name="Rounded Rectangle 10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6" name="Rounded Rectangle 10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7" name="Rounded Rectangle 10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8" name="Rounded Rectangle 10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49" name="Rounded Rectangle 10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0" name="Rounded Rectangle 10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1" name="Rounded Rectangle 10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2" name="Rounded Rectangle 10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3" name="Rounded Rectangle 10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4" name="Rounded Rectangle 10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5" name="Rounded Rectangle 10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6" name="Rounded Rectangle 10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7" name="Rounded Rectangle 10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8" name="Rounded Rectangle 10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59" name="Rounded Rectangle 10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0" name="Rounded Rectangle 10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1" name="Rounded Rectangle 10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2" name="Rounded Rectangle 10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3" name="Rounded Rectangle 10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4" name="Rounded Rectangle 10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5" name="Rounded Rectangle 10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6" name="Rounded Rectangle 10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7" name="Rounded Rectangle 10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8" name="Rounded Rectangle 10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69" name="Rounded Rectangle 10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0" name="Rounded Rectangle 10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1" name="Rounded Rectangle 10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2" name="Rounded Rectangle 10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3" name="Rounded Rectangle 10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4" name="Rounded Rectangle 10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5" name="Rounded Rectangle 10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6" name="Rounded Rectangle 10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7" name="Rounded Rectangle 10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8" name="Rounded Rectangle 10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79" name="Rounded Rectangle 10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0" name="Rounded Rectangle 10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1" name="Rounded Rectangle 10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2" name="Rounded Rectangle 10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3" name="Rounded Rectangle 10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4" name="Rounded Rectangle 10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5" name="Rounded Rectangle 10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6" name="Rounded Rectangle 10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7" name="Rounded Rectangle 10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8" name="Rounded Rectangle 10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89" name="Rounded Rectangle 10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0" name="Rounded Rectangle 10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1" name="Rounded Rectangle 10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2" name="Rounded Rectangle 10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3" name="Rounded Rectangle 10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4" name="Rounded Rectangle 10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5" name="Rounded Rectangle 10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6" name="Rounded Rectangle 10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7" name="Rounded Rectangle 10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8" name="Rounded Rectangle 10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899" name="Rounded Rectangle 10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0" name="Rounded Rectangle 10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1" name="Rounded Rectangle 10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2" name="Rounded Rectangle 10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3" name="Rounded Rectangle 10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4" name="Rounded Rectangle 10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5" name="Rounded Rectangle 10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6" name="Rounded Rectangle 10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7" name="Rounded Rectangle 10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8" name="Rounded Rectangle 10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09" name="Rounded Rectangle 10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0" name="Rounded Rectangle 10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1" name="Rounded Rectangle 10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2" name="Rounded Rectangle 10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3" name="Rounded Rectangle 10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4" name="Rounded Rectangle 10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5" name="Rounded Rectangle 10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6" name="Rounded Rectangle 10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7" name="Rounded Rectangle 10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8" name="Rounded Rectangle 10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19" name="Rounded Rectangle 10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0" name="Rounded Rectangle 10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1" name="Rounded Rectangle 10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2" name="Rounded Rectangle 10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3" name="Rounded Rectangle 10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4" name="Rounded Rectangle 10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5" name="Rounded Rectangle 10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6" name="Rounded Rectangle 10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7" name="Rounded Rectangle 10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8" name="Rounded Rectangle 10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29" name="Rounded Rectangle 10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0" name="Rounded Rectangle 10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1" name="Rounded Rectangle 10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2" name="Rounded Rectangle 10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3" name="Rounded Rectangle 10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4" name="Rounded Rectangle 10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5" name="Rounded Rectangle 10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6" name="Rounded Rectangle 10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7" name="Rounded Rectangle 10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8" name="Rounded Rectangle 10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39" name="Rounded Rectangle 10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0" name="Rounded Rectangle 10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1" name="Rounded Rectangle 10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2" name="Rounded Rectangle 10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3" name="Rounded Rectangle 10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4" name="Rounded Rectangle 10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5" name="Rounded Rectangle 10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6" name="Rounded Rectangle 10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7" name="Rounded Rectangle 10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8" name="Rounded Rectangle 10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49" name="Rounded Rectangle 10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0" name="Rounded Rectangle 10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1" name="Rounded Rectangle 10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2" name="Rounded Rectangle 10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3" name="Rounded Rectangle 10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4" name="Rounded Rectangle 10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5" name="Rounded Rectangle 10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6" name="Rounded Rectangle 10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7" name="Rounded Rectangle 10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8" name="Rounded Rectangle 10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59" name="Rounded Rectangle 10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0" name="Rounded Rectangle 10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1" name="Rounded Rectangle 10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2" name="Rounded Rectangle 10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3" name="Rounded Rectangle 10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4" name="Rounded Rectangle 10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5" name="Rounded Rectangle 10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6" name="Rounded Rectangle 10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7" name="Rounded Rectangle 10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8" name="Rounded Rectangle 10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69" name="Rounded Rectangle 10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0" name="Rounded Rectangle 10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1" name="Rounded Rectangle 10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2" name="Rounded Rectangle 10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3" name="Rounded Rectangle 10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4" name="Rounded Rectangle 10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5" name="Rounded Rectangle 10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6" name="Rounded Rectangle 10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7" name="Rounded Rectangle 10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8" name="Rounded Rectangle 10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79" name="Rounded Rectangle 10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0" name="Rounded Rectangle 10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1" name="Rounded Rectangle 10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2" name="Rounded Rectangle 10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3" name="Rounded Rectangle 10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4" name="Rounded Rectangle 10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5" name="Rounded Rectangle 10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6" name="Rounded Rectangle 10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7" name="Rounded Rectangle 10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8" name="Rounded Rectangle 10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89" name="Rounded Rectangle 10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0" name="Rounded Rectangle 10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1" name="Rounded Rectangle 10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2" name="Rounded Rectangle 10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3" name="Rounded Rectangle 10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4" name="Rounded Rectangle 10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5" name="Rounded Rectangle 10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6" name="Rounded Rectangle 10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7" name="Rounded Rectangle 10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8" name="Rounded Rectangle 10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0999" name="Rounded Rectangle 10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0" name="Rounded Rectangle 10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1" name="Rounded Rectangle 11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2" name="Rounded Rectangle 11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3" name="Rounded Rectangle 11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4" name="Rounded Rectangle 11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5" name="Rounded Rectangle 11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6" name="Rounded Rectangle 11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7" name="Rounded Rectangle 11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8" name="Rounded Rectangle 11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09" name="Rounded Rectangle 11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0" name="Rounded Rectangle 11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1" name="Rounded Rectangle 11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2" name="Rounded Rectangle 11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3" name="Rounded Rectangle 11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4" name="Rounded Rectangle 11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5" name="Rounded Rectangle 11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6" name="Rounded Rectangle 11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7" name="Rounded Rectangle 11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8" name="Rounded Rectangle 11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19" name="Rounded Rectangle 11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0" name="Rounded Rectangle 11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1" name="Rounded Rectangle 11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2" name="Rounded Rectangle 11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3" name="Rounded Rectangle 11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4" name="Rounded Rectangle 11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5" name="Rounded Rectangle 11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6" name="Rounded Rectangle 11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7" name="Rounded Rectangle 11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8" name="Rounded Rectangle 11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29" name="Rounded Rectangle 11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0" name="Rounded Rectangle 11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1" name="Rounded Rectangle 11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2" name="Rounded Rectangle 11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3" name="Rounded Rectangle 11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4" name="Rounded Rectangle 11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5" name="Rounded Rectangle 11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6" name="Rounded Rectangle 11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7" name="Rounded Rectangle 11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8" name="Rounded Rectangle 11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39" name="Rounded Rectangle 11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0" name="Rounded Rectangle 11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1" name="Rounded Rectangle 11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2" name="Rounded Rectangle 11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3" name="Rounded Rectangle 11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4" name="Rounded Rectangle 11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5" name="Rounded Rectangle 11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6" name="Rounded Rectangle 11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7" name="Rounded Rectangle 11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8" name="Rounded Rectangle 11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49" name="Rounded Rectangle 11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0" name="Rounded Rectangle 11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1" name="Rounded Rectangle 11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2" name="Rounded Rectangle 11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3" name="Rounded Rectangle 11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4" name="Rounded Rectangle 11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5" name="Rounded Rectangle 11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6" name="Rounded Rectangle 11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7" name="Rounded Rectangle 11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8" name="Rounded Rectangle 11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59" name="Rounded Rectangle 11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0" name="Rounded Rectangle 11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1" name="Rounded Rectangle 11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2" name="Rounded Rectangle 11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3" name="Rounded Rectangle 11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4" name="Rounded Rectangle 11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5" name="Rounded Rectangle 11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6" name="Rounded Rectangle 11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7" name="Rounded Rectangle 11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8" name="Rounded Rectangle 11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69" name="Rounded Rectangle 11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0" name="Rounded Rectangle 11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1" name="Rounded Rectangle 11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2" name="Rounded Rectangle 11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3" name="Rounded Rectangle 11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4" name="Rounded Rectangle 11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5" name="Rounded Rectangle 11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6" name="Rounded Rectangle 11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7" name="Rounded Rectangle 11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8" name="Rounded Rectangle 11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79" name="Rounded Rectangle 11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0" name="Rounded Rectangle 11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1" name="Rounded Rectangle 11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2" name="Rounded Rectangle 11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3" name="Rounded Rectangle 11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4" name="Rounded Rectangle 11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5" name="Rounded Rectangle 11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6" name="Rounded Rectangle 11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7" name="Rounded Rectangle 11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8" name="Rounded Rectangle 11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89" name="Rounded Rectangle 11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0" name="Rounded Rectangle 11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1" name="Rounded Rectangle 11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2" name="Rounded Rectangle 11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3" name="Rounded Rectangle 11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4" name="Rounded Rectangle 11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5" name="Rounded Rectangle 11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6" name="Rounded Rectangle 11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7" name="Rounded Rectangle 11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8" name="Rounded Rectangle 11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099" name="Rounded Rectangle 11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0" name="Rounded Rectangle 11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1" name="Rounded Rectangle 11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2" name="Rounded Rectangle 11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3" name="Rounded Rectangle 11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4" name="Rounded Rectangle 11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5" name="Rounded Rectangle 11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6" name="Rounded Rectangle 11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7" name="Rounded Rectangle 11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8" name="Rounded Rectangle 11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09" name="Rounded Rectangle 11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0" name="Rounded Rectangle 11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1" name="Rounded Rectangle 11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2" name="Rounded Rectangle 11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3" name="Rounded Rectangle 11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4" name="Rounded Rectangle 11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5" name="Rounded Rectangle 11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6" name="Rounded Rectangle 11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7" name="Rounded Rectangle 11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8" name="Rounded Rectangle 11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19" name="Rounded Rectangle 11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0" name="Rounded Rectangle 11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1" name="Rounded Rectangle 11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2" name="Rounded Rectangle 11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3" name="Rounded Rectangle 11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4" name="Rounded Rectangle 11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5" name="Rounded Rectangle 11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6" name="Rounded Rectangle 11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7" name="Rounded Rectangle 11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8" name="Rounded Rectangle 11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29" name="Rounded Rectangle 11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0" name="Rounded Rectangle 11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1" name="Rounded Rectangle 11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2" name="Rounded Rectangle 11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3" name="Rounded Rectangle 11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4" name="Rounded Rectangle 11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5" name="Rounded Rectangle 11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6" name="Rounded Rectangle 11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7" name="Rounded Rectangle 11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8" name="Rounded Rectangle 11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39" name="Rounded Rectangle 11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0" name="Rounded Rectangle 11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1" name="Rounded Rectangle 11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2" name="Rounded Rectangle 11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3" name="Rounded Rectangle 11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4" name="Rounded Rectangle 11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5" name="Rounded Rectangle 11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6" name="Rounded Rectangle 11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7" name="Rounded Rectangle 11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8" name="Rounded Rectangle 11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49" name="Rounded Rectangle 11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0" name="Rounded Rectangle 11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1" name="Rounded Rectangle 11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2" name="Rounded Rectangle 11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3" name="Rounded Rectangle 11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4" name="Rounded Rectangle 11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5" name="Rounded Rectangle 11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6" name="Rounded Rectangle 11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7" name="Rounded Rectangle 11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8" name="Rounded Rectangle 11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59" name="Rounded Rectangle 11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0" name="Rounded Rectangle 11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1" name="Rounded Rectangle 11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2" name="Rounded Rectangle 11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3" name="Rounded Rectangle 11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4" name="Rounded Rectangle 11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5" name="Rounded Rectangle 11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6" name="Rounded Rectangle 11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7" name="Rounded Rectangle 11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8" name="Rounded Rectangle 11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69" name="Rounded Rectangle 11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0" name="Rounded Rectangle 11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1" name="Rounded Rectangle 11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2" name="Rounded Rectangle 11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3" name="Rounded Rectangle 11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4" name="Rounded Rectangle 11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5" name="Rounded Rectangle 11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6" name="Rounded Rectangle 11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7" name="Rounded Rectangle 11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8" name="Rounded Rectangle 11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79" name="Rounded Rectangle 11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0" name="Rounded Rectangle 11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1" name="Rounded Rectangle 11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2" name="Rounded Rectangle 11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3" name="Rounded Rectangle 11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4" name="Rounded Rectangle 11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5" name="Rounded Rectangle 11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6" name="Rounded Rectangle 11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7" name="Rounded Rectangle 11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8" name="Rounded Rectangle 11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89" name="Rounded Rectangle 11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0" name="Rounded Rectangle 11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1" name="Rounded Rectangle 11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2" name="Rounded Rectangle 11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3" name="Rounded Rectangle 11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4" name="Rounded Rectangle 11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5" name="Rounded Rectangle 11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6" name="Rounded Rectangle 11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7" name="Rounded Rectangle 11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8" name="Rounded Rectangle 11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199" name="Rounded Rectangle 11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0" name="Rounded Rectangle 11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1" name="Rounded Rectangle 11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2" name="Rounded Rectangle 11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3" name="Rounded Rectangle 11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4" name="Rounded Rectangle 11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5" name="Rounded Rectangle 11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6" name="Rounded Rectangle 11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7" name="Rounded Rectangle 11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8" name="Rounded Rectangle 11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09" name="Rounded Rectangle 11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0" name="Rounded Rectangle 11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1" name="Rounded Rectangle 11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2" name="Rounded Rectangle 11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3" name="Rounded Rectangle 11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4" name="Rounded Rectangle 11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5" name="Rounded Rectangle 11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6" name="Rounded Rectangle 11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7" name="Rounded Rectangle 11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8" name="Rounded Rectangle 11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19" name="Rounded Rectangle 11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0" name="Rounded Rectangle 11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1" name="Rounded Rectangle 11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2" name="Rounded Rectangle 11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3" name="Rounded Rectangle 11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4" name="Rounded Rectangle 11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5" name="Rounded Rectangle 11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6" name="Rounded Rectangle 11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7" name="Rounded Rectangle 11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8" name="Rounded Rectangle 11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29" name="Rounded Rectangle 11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0" name="Rounded Rectangle 11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1" name="Rounded Rectangle 11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2" name="Rounded Rectangle 11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3" name="Rounded Rectangle 11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4" name="Rounded Rectangle 11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5" name="Rounded Rectangle 11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6" name="Rounded Rectangle 11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7" name="Rounded Rectangle 11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8" name="Rounded Rectangle 11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39" name="Rounded Rectangle 11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0" name="Rounded Rectangle 11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1" name="Rounded Rectangle 11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2" name="Rounded Rectangle 11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3" name="Rounded Rectangle 11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4" name="Rounded Rectangle 11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5" name="Rounded Rectangle 11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6" name="Rounded Rectangle 11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7" name="Rounded Rectangle 11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8" name="Rounded Rectangle 11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49" name="Rounded Rectangle 11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0" name="Rounded Rectangle 11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1" name="Rounded Rectangle 11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2" name="Rounded Rectangle 11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3" name="Rounded Rectangle 11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4" name="Rounded Rectangle 11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5" name="Rounded Rectangle 11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6" name="Rounded Rectangle 11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7" name="Rounded Rectangle 11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8" name="Rounded Rectangle 11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59" name="Rounded Rectangle 11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0" name="Rounded Rectangle 11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1" name="Rounded Rectangle 11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2" name="Rounded Rectangle 11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3" name="Rounded Rectangle 11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4" name="Rounded Rectangle 11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5" name="Rounded Rectangle 11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6" name="Rounded Rectangle 11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7" name="Rounded Rectangle 11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8" name="Rounded Rectangle 11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69" name="Rounded Rectangle 11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0" name="Rounded Rectangle 11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1" name="Rounded Rectangle 11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2" name="Rounded Rectangle 11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3" name="Rounded Rectangle 11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4" name="Rounded Rectangle 11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5" name="Rounded Rectangle 11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6" name="Rounded Rectangle 11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7" name="Rounded Rectangle 11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8" name="Rounded Rectangle 11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79" name="Rounded Rectangle 11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0" name="Rounded Rectangle 11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1" name="Rounded Rectangle 11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2" name="Rounded Rectangle 11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3" name="Rounded Rectangle 11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4" name="Rounded Rectangle 11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5" name="Rounded Rectangle 11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6" name="Rounded Rectangle 11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7" name="Rounded Rectangle 11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8" name="Rounded Rectangle 11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89" name="Rounded Rectangle 11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0" name="Rounded Rectangle 11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1" name="Rounded Rectangle 11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2" name="Rounded Rectangle 11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3" name="Rounded Rectangle 11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4" name="Rounded Rectangle 11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5" name="Rounded Rectangle 11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6" name="Rounded Rectangle 11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7" name="Rounded Rectangle 11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8" name="Rounded Rectangle 11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299" name="Rounded Rectangle 11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0" name="Rounded Rectangle 11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1" name="Rounded Rectangle 11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2" name="Rounded Rectangle 11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3" name="Rounded Rectangle 11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4" name="Rounded Rectangle 11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5" name="Rounded Rectangle 11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6" name="Rounded Rectangle 11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7" name="Rounded Rectangle 11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8" name="Rounded Rectangle 11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09" name="Rounded Rectangle 11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0" name="Rounded Rectangle 11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1" name="Rounded Rectangle 11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2" name="Rounded Rectangle 11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3" name="Rounded Rectangle 11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4" name="Rounded Rectangle 11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5" name="Rounded Rectangle 11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6" name="Rounded Rectangle 11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7" name="Rounded Rectangle 11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8" name="Rounded Rectangle 11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19" name="Rounded Rectangle 11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0" name="Rounded Rectangle 11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1" name="Rounded Rectangle 11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2" name="Rounded Rectangle 11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3" name="Rounded Rectangle 11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4" name="Rounded Rectangle 11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5" name="Rounded Rectangle 11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6" name="Rounded Rectangle 11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7" name="Rounded Rectangle 11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8" name="Rounded Rectangle 11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29" name="Rounded Rectangle 11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0" name="Rounded Rectangle 11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1" name="Rounded Rectangle 11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2" name="Rounded Rectangle 11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3" name="Rounded Rectangle 11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4" name="Rounded Rectangle 11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5" name="Rounded Rectangle 11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6" name="Rounded Rectangle 11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7" name="Rounded Rectangle 11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8" name="Rounded Rectangle 11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39" name="Rounded Rectangle 11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0" name="Rounded Rectangle 11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1" name="Rounded Rectangle 11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2" name="Rounded Rectangle 11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3" name="Rounded Rectangle 11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4" name="Rounded Rectangle 11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5" name="Rounded Rectangle 11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6" name="Rounded Rectangle 11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7" name="Rounded Rectangle 11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8" name="Rounded Rectangle 11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49" name="Rounded Rectangle 11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0" name="Rounded Rectangle 11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1" name="Rounded Rectangle 11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2" name="Rounded Rectangle 11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3" name="Rounded Rectangle 11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4" name="Rounded Rectangle 11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5" name="Rounded Rectangle 11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6" name="Rounded Rectangle 11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7" name="Rounded Rectangle 11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8" name="Rounded Rectangle 11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59" name="Rounded Rectangle 11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0" name="Rounded Rectangle 11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1" name="Rounded Rectangle 11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2" name="Rounded Rectangle 11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3" name="Rounded Rectangle 11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4" name="Rounded Rectangle 11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5" name="Rounded Rectangle 11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6" name="Rounded Rectangle 11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7" name="Rounded Rectangle 11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8" name="Rounded Rectangle 11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69" name="Rounded Rectangle 11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0" name="Rounded Rectangle 11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1" name="Rounded Rectangle 11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2" name="Rounded Rectangle 11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3" name="Rounded Rectangle 11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4" name="Rounded Rectangle 11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5" name="Rounded Rectangle 11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6" name="Rounded Rectangle 11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7" name="Rounded Rectangle 11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8" name="Rounded Rectangle 11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79" name="Rounded Rectangle 11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0" name="Rounded Rectangle 11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1" name="Rounded Rectangle 11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2" name="Rounded Rectangle 11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3" name="Rounded Rectangle 11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4" name="Rounded Rectangle 11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5" name="Rounded Rectangle 11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6" name="Rounded Rectangle 11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7" name="Rounded Rectangle 11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8" name="Rounded Rectangle 11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89" name="Rounded Rectangle 11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0" name="Rounded Rectangle 11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1" name="Rounded Rectangle 11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2" name="Rounded Rectangle 11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3" name="Rounded Rectangle 11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4" name="Rounded Rectangle 11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5" name="Rounded Rectangle 11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6" name="Rounded Rectangle 11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7" name="Rounded Rectangle 11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8" name="Rounded Rectangle 11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399" name="Rounded Rectangle 11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0" name="Rounded Rectangle 11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1" name="Rounded Rectangle 11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2" name="Rounded Rectangle 11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3" name="Rounded Rectangle 11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4" name="Rounded Rectangle 11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5" name="Rounded Rectangle 11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6" name="Rounded Rectangle 11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7" name="Rounded Rectangle 11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8" name="Rounded Rectangle 11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09" name="Rounded Rectangle 11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0" name="Rounded Rectangle 11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1" name="Rounded Rectangle 11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2" name="Rounded Rectangle 11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3" name="Rounded Rectangle 11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4" name="Rounded Rectangle 11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5" name="Rounded Rectangle 11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6" name="Rounded Rectangle 11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7" name="Rounded Rectangle 11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8" name="Rounded Rectangle 11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19" name="Rounded Rectangle 11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0" name="Rounded Rectangle 11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1" name="Rounded Rectangle 11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2" name="Rounded Rectangle 11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3" name="Rounded Rectangle 11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4" name="Rounded Rectangle 11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5" name="Rounded Rectangle 11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6" name="Rounded Rectangle 11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7" name="Rounded Rectangle 11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8" name="Rounded Rectangle 11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29" name="Rounded Rectangle 11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0" name="Rounded Rectangle 11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1" name="Rounded Rectangle 11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2" name="Rounded Rectangle 11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3" name="Rounded Rectangle 11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4" name="Rounded Rectangle 11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5" name="Rounded Rectangle 11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6" name="Rounded Rectangle 11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7" name="Rounded Rectangle 11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8" name="Rounded Rectangle 11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39" name="Rounded Rectangle 11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0" name="Rounded Rectangle 11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1" name="Rounded Rectangle 11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2" name="Rounded Rectangle 11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3" name="Rounded Rectangle 11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4" name="Rounded Rectangle 11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5" name="Rounded Rectangle 11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6" name="Rounded Rectangle 11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7" name="Rounded Rectangle 11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8" name="Rounded Rectangle 11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49" name="Rounded Rectangle 11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0" name="Rounded Rectangle 11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1" name="Rounded Rectangle 11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2" name="Rounded Rectangle 11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3" name="Rounded Rectangle 11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4" name="Rounded Rectangle 11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5" name="Rounded Rectangle 11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6" name="Rounded Rectangle 11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7" name="Rounded Rectangle 11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8" name="Rounded Rectangle 11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59" name="Rounded Rectangle 11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0" name="Rounded Rectangle 11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1" name="Rounded Rectangle 11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2" name="Rounded Rectangle 11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3" name="Rounded Rectangle 11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4" name="Rounded Rectangle 11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5" name="Rounded Rectangle 11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6" name="Rounded Rectangle 11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7" name="Rounded Rectangle 11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8" name="Rounded Rectangle 11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69" name="Rounded Rectangle 11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0" name="Rounded Rectangle 11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1" name="Rounded Rectangle 11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2" name="Rounded Rectangle 11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3" name="Rounded Rectangle 11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4" name="Rounded Rectangle 11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5" name="Rounded Rectangle 11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6" name="Rounded Rectangle 11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7" name="Rounded Rectangle 11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8" name="Rounded Rectangle 11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79" name="Rounded Rectangle 11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0" name="Rounded Rectangle 11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1" name="Rounded Rectangle 11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2" name="Rounded Rectangle 11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3" name="Rounded Rectangle 11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4" name="Rounded Rectangle 11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5" name="Rounded Rectangle 11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6" name="Rounded Rectangle 11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7" name="Rounded Rectangle 11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8" name="Rounded Rectangle 11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89" name="Rounded Rectangle 11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0" name="Rounded Rectangle 11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1" name="Rounded Rectangle 11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2" name="Rounded Rectangle 11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3" name="Rounded Rectangle 11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4" name="Rounded Rectangle 11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5" name="Rounded Rectangle 11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6" name="Rounded Rectangle 11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7" name="Rounded Rectangle 11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8" name="Rounded Rectangle 11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499" name="Rounded Rectangle 11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0" name="Rounded Rectangle 11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1" name="Rounded Rectangle 11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2" name="Rounded Rectangle 11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3" name="Rounded Rectangle 11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4" name="Rounded Rectangle 11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5" name="Rounded Rectangle 11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6" name="Rounded Rectangle 11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7" name="Rounded Rectangle 11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8" name="Rounded Rectangle 11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09" name="Rounded Rectangle 11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0" name="Rounded Rectangle 11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1" name="Rounded Rectangle 11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2" name="Rounded Rectangle 11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3" name="Rounded Rectangle 11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4" name="Rounded Rectangle 11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5" name="Rounded Rectangle 11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6" name="Rounded Rectangle 11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7" name="Rounded Rectangle 11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8" name="Rounded Rectangle 11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19" name="Rounded Rectangle 11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0" name="Rounded Rectangle 11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1" name="Rounded Rectangle 11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2" name="Rounded Rectangle 11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3" name="Rounded Rectangle 11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4" name="Rounded Rectangle 11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5" name="Rounded Rectangle 11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6" name="Rounded Rectangle 11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7" name="Rounded Rectangle 11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8" name="Rounded Rectangle 11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29" name="Rounded Rectangle 11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0" name="Rounded Rectangle 11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1" name="Rounded Rectangle 11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2" name="Rounded Rectangle 11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3" name="Rounded Rectangle 11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4" name="Rounded Rectangle 11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5" name="Rounded Rectangle 11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6" name="Rounded Rectangle 11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7" name="Rounded Rectangle 11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8" name="Rounded Rectangle 11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39" name="Rounded Rectangle 11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0" name="Rounded Rectangle 11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1" name="Rounded Rectangle 11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2" name="Rounded Rectangle 11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3" name="Rounded Rectangle 11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4" name="Rounded Rectangle 11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5" name="Rounded Rectangle 11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6" name="Rounded Rectangle 11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7" name="Rounded Rectangle 11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8" name="Rounded Rectangle 11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49" name="Rounded Rectangle 11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0" name="Rounded Rectangle 11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1" name="Rounded Rectangle 11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2" name="Rounded Rectangle 11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3" name="Rounded Rectangle 11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4" name="Rounded Rectangle 11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5" name="Rounded Rectangle 11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6" name="Rounded Rectangle 11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7" name="Rounded Rectangle 11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8" name="Rounded Rectangle 11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59" name="Rounded Rectangle 11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0" name="Rounded Rectangle 11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1" name="Rounded Rectangle 11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2" name="Rounded Rectangle 11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3" name="Rounded Rectangle 11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4" name="Rounded Rectangle 11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5" name="Rounded Rectangle 11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6" name="Rounded Rectangle 11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7" name="Rounded Rectangle 11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8" name="Rounded Rectangle 11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69" name="Rounded Rectangle 11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0" name="Rounded Rectangle 11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1" name="Rounded Rectangle 11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2" name="Rounded Rectangle 11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3" name="Rounded Rectangle 11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4" name="Rounded Rectangle 11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5" name="Rounded Rectangle 11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6" name="Rounded Rectangle 11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7" name="Rounded Rectangle 11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8" name="Rounded Rectangle 11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79" name="Rounded Rectangle 11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0" name="Rounded Rectangle 11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1" name="Rounded Rectangle 11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2" name="Rounded Rectangle 11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3" name="Rounded Rectangle 11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4" name="Rounded Rectangle 11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5" name="Rounded Rectangle 11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6" name="Rounded Rectangle 11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7" name="Rounded Rectangle 11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8" name="Rounded Rectangle 11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89" name="Rounded Rectangle 11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0" name="Rounded Rectangle 11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1" name="Rounded Rectangle 11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2" name="Rounded Rectangle 11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3" name="Rounded Rectangle 11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4" name="Rounded Rectangle 11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5" name="Rounded Rectangle 11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6" name="Rounded Rectangle 11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7" name="Rounded Rectangle 11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8" name="Rounded Rectangle 11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599" name="Rounded Rectangle 11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0" name="Rounded Rectangle 11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1" name="Rounded Rectangle 11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2" name="Rounded Rectangle 11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3" name="Rounded Rectangle 11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4" name="Rounded Rectangle 11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5" name="Rounded Rectangle 11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6" name="Rounded Rectangle 11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7" name="Rounded Rectangle 11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8" name="Rounded Rectangle 11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09" name="Rounded Rectangle 11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0" name="Rounded Rectangle 11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1" name="Rounded Rectangle 11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2" name="Rounded Rectangle 11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3" name="Rounded Rectangle 11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4" name="Rounded Rectangle 11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5" name="Rounded Rectangle 11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6" name="Rounded Rectangle 11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7" name="Rounded Rectangle 11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8" name="Rounded Rectangle 11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19" name="Rounded Rectangle 11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0" name="Rounded Rectangle 11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1" name="Rounded Rectangle 11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2" name="Rounded Rectangle 11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3" name="Rounded Rectangle 11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4" name="Rounded Rectangle 11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5" name="Rounded Rectangle 11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6" name="Rounded Rectangle 11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7" name="Rounded Rectangle 11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8" name="Rounded Rectangle 11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29" name="Rounded Rectangle 11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0" name="Rounded Rectangle 11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1" name="Rounded Rectangle 11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2" name="Rounded Rectangle 11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3" name="Rounded Rectangle 11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4" name="Rounded Rectangle 11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5" name="Rounded Rectangle 11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6" name="Rounded Rectangle 11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7" name="Rounded Rectangle 11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8" name="Rounded Rectangle 11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39" name="Rounded Rectangle 11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0" name="Rounded Rectangle 11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1" name="Rounded Rectangle 11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2" name="Rounded Rectangle 11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3" name="Rounded Rectangle 11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4" name="Rounded Rectangle 11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5" name="Rounded Rectangle 11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6" name="Rounded Rectangle 11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7" name="Rounded Rectangle 11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8" name="Rounded Rectangle 11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49" name="Rounded Rectangle 11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0" name="Rounded Rectangle 11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1" name="Rounded Rectangle 11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2" name="Rounded Rectangle 11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3" name="Rounded Rectangle 11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4" name="Rounded Rectangle 11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5" name="Rounded Rectangle 11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6" name="Rounded Rectangle 11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7" name="Rounded Rectangle 11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8" name="Rounded Rectangle 11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59" name="Rounded Rectangle 11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0" name="Rounded Rectangle 11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1" name="Rounded Rectangle 11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2" name="Rounded Rectangle 11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3" name="Rounded Rectangle 11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4" name="Rounded Rectangle 11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5" name="Rounded Rectangle 11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6" name="Rounded Rectangle 11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7" name="Rounded Rectangle 11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8" name="Rounded Rectangle 11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69" name="Rounded Rectangle 11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0" name="Rounded Rectangle 11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1" name="Rounded Rectangle 11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2" name="Rounded Rectangle 11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3" name="Rounded Rectangle 11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4" name="Rounded Rectangle 11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5" name="Rounded Rectangle 11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6" name="Rounded Rectangle 11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7" name="Rounded Rectangle 11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8" name="Rounded Rectangle 11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79" name="Rounded Rectangle 11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0" name="Rounded Rectangle 11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1" name="Rounded Rectangle 11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2" name="Rounded Rectangle 11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3" name="Rounded Rectangle 11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4" name="Rounded Rectangle 11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5" name="Rounded Rectangle 11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6" name="Rounded Rectangle 11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7" name="Rounded Rectangle 11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8" name="Rounded Rectangle 11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89" name="Rounded Rectangle 11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0" name="Rounded Rectangle 11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1" name="Rounded Rectangle 11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2" name="Rounded Rectangle 11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3" name="Rounded Rectangle 11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4" name="Rounded Rectangle 11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5" name="Rounded Rectangle 11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6" name="Rounded Rectangle 11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7" name="Rounded Rectangle 11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8" name="Rounded Rectangle 11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699" name="Rounded Rectangle 11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0" name="Rounded Rectangle 11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1" name="Rounded Rectangle 11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2" name="Rounded Rectangle 11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3" name="Rounded Rectangle 11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4" name="Rounded Rectangle 11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5" name="Rounded Rectangle 11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6" name="Rounded Rectangle 11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7" name="Rounded Rectangle 11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8" name="Rounded Rectangle 11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09" name="Rounded Rectangle 11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0" name="Rounded Rectangle 11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1" name="Rounded Rectangle 11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2" name="Rounded Rectangle 11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3" name="Rounded Rectangle 11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4" name="Rounded Rectangle 11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5" name="Rounded Rectangle 11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6" name="Rounded Rectangle 11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7" name="Rounded Rectangle 11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8" name="Rounded Rectangle 11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19" name="Rounded Rectangle 11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0" name="Rounded Rectangle 11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1" name="Rounded Rectangle 11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2" name="Rounded Rectangle 11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3" name="Rounded Rectangle 11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4" name="Rounded Rectangle 11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5" name="Rounded Rectangle 11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6" name="Rounded Rectangle 11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7" name="Rounded Rectangle 11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8" name="Rounded Rectangle 11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29" name="Rounded Rectangle 11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0" name="Rounded Rectangle 11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1" name="Rounded Rectangle 11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2" name="Rounded Rectangle 11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3" name="Rounded Rectangle 11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4" name="Rounded Rectangle 11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5" name="Rounded Rectangle 11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6" name="Rounded Rectangle 11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7" name="Rounded Rectangle 11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8" name="Rounded Rectangle 11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39" name="Rounded Rectangle 11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0" name="Rounded Rectangle 11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1" name="Rounded Rectangle 11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2" name="Rounded Rectangle 11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3" name="Rounded Rectangle 11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4" name="Rounded Rectangle 11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5" name="Rounded Rectangle 11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6" name="Rounded Rectangle 11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7" name="Rounded Rectangle 11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8" name="Rounded Rectangle 11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49" name="Rounded Rectangle 11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0" name="Rounded Rectangle 11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1" name="Rounded Rectangle 11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2" name="Rounded Rectangle 11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3" name="Rounded Rectangle 11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4" name="Rounded Rectangle 11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5" name="Rounded Rectangle 11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6" name="Rounded Rectangle 11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7" name="Rounded Rectangle 11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8" name="Rounded Rectangle 11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59" name="Rounded Rectangle 11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0" name="Rounded Rectangle 11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1" name="Rounded Rectangle 11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2" name="Rounded Rectangle 11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3" name="Rounded Rectangle 11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4" name="Rounded Rectangle 11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5" name="Rounded Rectangle 11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6" name="Rounded Rectangle 11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7" name="Rounded Rectangle 11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8" name="Rounded Rectangle 11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69" name="Rounded Rectangle 11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0" name="Rounded Rectangle 11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1" name="Rounded Rectangle 11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2" name="Rounded Rectangle 11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3" name="Rounded Rectangle 11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4" name="Rounded Rectangle 11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5" name="Rounded Rectangle 11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6" name="Rounded Rectangle 11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7" name="Rounded Rectangle 11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8" name="Rounded Rectangle 11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79" name="Rounded Rectangle 11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0" name="Rounded Rectangle 11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1" name="Rounded Rectangle 11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2" name="Rounded Rectangle 11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3" name="Rounded Rectangle 11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4" name="Rounded Rectangle 11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5" name="Rounded Rectangle 11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6" name="Rounded Rectangle 11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7" name="Rounded Rectangle 11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8" name="Rounded Rectangle 11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89" name="Rounded Rectangle 11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0" name="Rounded Rectangle 11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1" name="Rounded Rectangle 11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2" name="Rounded Rectangle 11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3" name="Rounded Rectangle 11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4" name="Rounded Rectangle 11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5" name="Rounded Rectangle 11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6" name="Rounded Rectangle 11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7" name="Rounded Rectangle 11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8" name="Rounded Rectangle 11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799" name="Rounded Rectangle 11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0" name="Rounded Rectangle 11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1" name="Rounded Rectangle 11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2" name="Rounded Rectangle 11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3" name="Rounded Rectangle 11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4" name="Rounded Rectangle 11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5" name="Rounded Rectangle 11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6" name="Rounded Rectangle 11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7" name="Rounded Rectangle 11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8" name="Rounded Rectangle 11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09" name="Rounded Rectangle 11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0" name="Rounded Rectangle 11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1" name="Rounded Rectangle 11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2" name="Rounded Rectangle 11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3" name="Rounded Rectangle 11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4" name="Rounded Rectangle 11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5" name="Rounded Rectangle 11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6" name="Rounded Rectangle 11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7" name="Rounded Rectangle 11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8" name="Rounded Rectangle 11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19" name="Rounded Rectangle 11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0" name="Rounded Rectangle 11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1" name="Rounded Rectangle 11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2" name="Rounded Rectangle 11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3" name="Rounded Rectangle 11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4" name="Rounded Rectangle 11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5" name="Rounded Rectangle 11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6" name="Rounded Rectangle 11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7" name="Rounded Rectangle 11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8" name="Rounded Rectangle 11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29" name="Rounded Rectangle 11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0" name="Rounded Rectangle 11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1" name="Rounded Rectangle 11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2" name="Rounded Rectangle 11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3" name="Rounded Rectangle 11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4" name="Rounded Rectangle 11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5" name="Rounded Rectangle 11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6" name="Rounded Rectangle 11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7" name="Rounded Rectangle 11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8" name="Rounded Rectangle 11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39" name="Rounded Rectangle 11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0" name="Rounded Rectangle 11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1" name="Rounded Rectangle 11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2" name="Rounded Rectangle 11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3" name="Rounded Rectangle 11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4" name="Rounded Rectangle 11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5" name="Rounded Rectangle 11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6" name="Rounded Rectangle 11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7" name="Rounded Rectangle 11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8" name="Rounded Rectangle 11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49" name="Rounded Rectangle 11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0" name="Rounded Rectangle 11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1" name="Rounded Rectangle 11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2" name="Rounded Rectangle 11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3" name="Rounded Rectangle 11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4" name="Rounded Rectangle 11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5" name="Rounded Rectangle 11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6" name="Rounded Rectangle 11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7" name="Rounded Rectangle 11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8" name="Rounded Rectangle 11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59" name="Rounded Rectangle 11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0" name="Rounded Rectangle 11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1" name="Rounded Rectangle 11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2" name="Rounded Rectangle 11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3" name="Rounded Rectangle 11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4" name="Rounded Rectangle 11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5" name="Rounded Rectangle 11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6" name="Rounded Rectangle 11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7" name="Rounded Rectangle 11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8" name="Rounded Rectangle 11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69" name="Rounded Rectangle 11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0" name="Rounded Rectangle 11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1" name="Rounded Rectangle 11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2" name="Rounded Rectangle 11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3" name="Rounded Rectangle 11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4" name="Rounded Rectangle 11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5" name="Rounded Rectangle 11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6" name="Rounded Rectangle 11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7" name="Rounded Rectangle 11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8" name="Rounded Rectangle 11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79" name="Rounded Rectangle 11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0" name="Rounded Rectangle 11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1" name="Rounded Rectangle 11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2" name="Rounded Rectangle 11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3" name="Rounded Rectangle 11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4" name="Rounded Rectangle 11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5" name="Rounded Rectangle 11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6" name="Rounded Rectangle 11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7" name="Rounded Rectangle 11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8" name="Rounded Rectangle 11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89" name="Rounded Rectangle 11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0" name="Rounded Rectangle 11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1" name="Rounded Rectangle 11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2" name="Rounded Rectangle 11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3" name="Rounded Rectangle 11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4" name="Rounded Rectangle 11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5" name="Rounded Rectangle 11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6" name="Rounded Rectangle 11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7" name="Rounded Rectangle 11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8" name="Rounded Rectangle 11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899" name="Rounded Rectangle 11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0" name="Rounded Rectangle 11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1" name="Rounded Rectangle 11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2" name="Rounded Rectangle 11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3" name="Rounded Rectangle 11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4" name="Rounded Rectangle 11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5" name="Rounded Rectangle 11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6" name="Rounded Rectangle 11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7" name="Rounded Rectangle 11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8" name="Rounded Rectangle 11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09" name="Rounded Rectangle 11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0" name="Rounded Rectangle 11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1" name="Rounded Rectangle 11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2" name="Rounded Rectangle 11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3" name="Rounded Rectangle 11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4" name="Rounded Rectangle 11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5" name="Rounded Rectangle 11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6" name="Rounded Rectangle 11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7" name="Rounded Rectangle 11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8" name="Rounded Rectangle 11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19" name="Rounded Rectangle 11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0" name="Rounded Rectangle 11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1" name="Rounded Rectangle 11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2" name="Rounded Rectangle 11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3" name="Rounded Rectangle 11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4" name="Rounded Rectangle 11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5" name="Rounded Rectangle 11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6" name="Rounded Rectangle 11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7" name="Rounded Rectangle 11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8" name="Rounded Rectangle 11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29" name="Rounded Rectangle 11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0" name="Rounded Rectangle 11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1" name="Rounded Rectangle 11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2" name="Rounded Rectangle 11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3" name="Rounded Rectangle 11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4" name="Rounded Rectangle 11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5" name="Rounded Rectangle 11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6" name="Rounded Rectangle 11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7" name="Rounded Rectangle 11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8" name="Rounded Rectangle 11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39" name="Rounded Rectangle 11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0" name="Rounded Rectangle 11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1" name="Rounded Rectangle 11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2" name="Rounded Rectangle 11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3" name="Rounded Rectangle 11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4" name="Rounded Rectangle 11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5" name="Rounded Rectangle 11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6" name="Rounded Rectangle 11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7" name="Rounded Rectangle 11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8" name="Rounded Rectangle 11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49" name="Rounded Rectangle 11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0" name="Rounded Rectangle 11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1" name="Rounded Rectangle 11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2" name="Rounded Rectangle 11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3" name="Rounded Rectangle 11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4" name="Rounded Rectangle 11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5" name="Rounded Rectangle 11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6" name="Rounded Rectangle 11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7" name="Rounded Rectangle 11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8" name="Rounded Rectangle 11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59" name="Rounded Rectangle 11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0" name="Rounded Rectangle 11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1" name="Rounded Rectangle 11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2" name="Rounded Rectangle 11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3" name="Rounded Rectangle 11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4" name="Rounded Rectangle 11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5" name="Rounded Rectangle 11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6" name="Rounded Rectangle 11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7" name="Rounded Rectangle 11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8" name="Rounded Rectangle 11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69" name="Rounded Rectangle 11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0" name="Rounded Rectangle 11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1" name="Rounded Rectangle 11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2" name="Rounded Rectangle 11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3" name="Rounded Rectangle 11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4" name="Rounded Rectangle 11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5" name="Rounded Rectangle 11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6" name="Rounded Rectangle 11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7" name="Rounded Rectangle 11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8" name="Rounded Rectangle 11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79" name="Rounded Rectangle 11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0" name="Rounded Rectangle 11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1" name="Rounded Rectangle 11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2" name="Rounded Rectangle 11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3" name="Rounded Rectangle 11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4" name="Rounded Rectangle 11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5" name="Rounded Rectangle 11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6" name="Rounded Rectangle 11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7" name="Rounded Rectangle 11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8" name="Rounded Rectangle 11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89" name="Rounded Rectangle 11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0" name="Rounded Rectangle 11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1" name="Rounded Rectangle 11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2" name="Rounded Rectangle 11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3" name="Rounded Rectangle 11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4" name="Rounded Rectangle 11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5" name="Rounded Rectangle 11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6" name="Rounded Rectangle 11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7" name="Rounded Rectangle 11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8" name="Rounded Rectangle 11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1999" name="Rounded Rectangle 11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0" name="Rounded Rectangle 11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1" name="Rounded Rectangle 12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2" name="Rounded Rectangle 12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3" name="Rounded Rectangle 12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4" name="Rounded Rectangle 12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5" name="Rounded Rectangle 12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6" name="Rounded Rectangle 12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7" name="Rounded Rectangle 12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8" name="Rounded Rectangle 12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09" name="Rounded Rectangle 12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0" name="Rounded Rectangle 12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1" name="Rounded Rectangle 12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2" name="Rounded Rectangle 12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3" name="Rounded Rectangle 12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4" name="Rounded Rectangle 12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5" name="Rounded Rectangle 12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6" name="Rounded Rectangle 12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7" name="Rounded Rectangle 12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8" name="Rounded Rectangle 12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19" name="Rounded Rectangle 12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0" name="Rounded Rectangle 12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1" name="Rounded Rectangle 12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2" name="Rounded Rectangle 12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3" name="Rounded Rectangle 12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4" name="Rounded Rectangle 12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5" name="Rounded Rectangle 12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6" name="Rounded Rectangle 12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7" name="Rounded Rectangle 12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8" name="Rounded Rectangle 12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29" name="Rounded Rectangle 12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0" name="Rounded Rectangle 12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1" name="Rounded Rectangle 12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2" name="Rounded Rectangle 12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3" name="Rounded Rectangle 12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4" name="Rounded Rectangle 12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5" name="Rounded Rectangle 12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6" name="Rounded Rectangle 12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7" name="Rounded Rectangle 12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8" name="Rounded Rectangle 12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39" name="Rounded Rectangle 12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0" name="Rounded Rectangle 12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1" name="Rounded Rectangle 12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2" name="Rounded Rectangle 12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3" name="Rounded Rectangle 12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4" name="Rounded Rectangle 12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5" name="Rounded Rectangle 12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6" name="Rounded Rectangle 12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7" name="Rounded Rectangle 12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8" name="Rounded Rectangle 12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49" name="Rounded Rectangle 12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0" name="Rounded Rectangle 12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1" name="Rounded Rectangle 12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2" name="Rounded Rectangle 12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3" name="Rounded Rectangle 12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4" name="Rounded Rectangle 12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5" name="Rounded Rectangle 12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6" name="Rounded Rectangle 12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7" name="Rounded Rectangle 12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8" name="Rounded Rectangle 12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59" name="Rounded Rectangle 12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0" name="Rounded Rectangle 12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1" name="Rounded Rectangle 12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2" name="Rounded Rectangle 12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3" name="Rounded Rectangle 12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4" name="Rounded Rectangle 12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5" name="Rounded Rectangle 12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6" name="Rounded Rectangle 12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7" name="Rounded Rectangle 12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8" name="Rounded Rectangle 12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69" name="Rounded Rectangle 12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0" name="Rounded Rectangle 12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1" name="Rounded Rectangle 12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2" name="Rounded Rectangle 12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3" name="Rounded Rectangle 12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4" name="Rounded Rectangle 12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5" name="Rounded Rectangle 12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6" name="Rounded Rectangle 12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7" name="Rounded Rectangle 12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8" name="Rounded Rectangle 12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79" name="Rounded Rectangle 12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0" name="Rounded Rectangle 12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1" name="Rounded Rectangle 12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2" name="Rounded Rectangle 12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3" name="Rounded Rectangle 12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4" name="Rounded Rectangle 12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5" name="Rounded Rectangle 12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6" name="Rounded Rectangle 12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7" name="Rounded Rectangle 12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8" name="Rounded Rectangle 12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89" name="Rounded Rectangle 12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0" name="Rounded Rectangle 12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1" name="Rounded Rectangle 12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2" name="Rounded Rectangle 12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3" name="Rounded Rectangle 12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4" name="Rounded Rectangle 12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5" name="Rounded Rectangle 12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6" name="Rounded Rectangle 12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7" name="Rounded Rectangle 12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8" name="Rounded Rectangle 12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099" name="Rounded Rectangle 12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0" name="Rounded Rectangle 12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1" name="Rounded Rectangle 12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2" name="Rounded Rectangle 12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3" name="Rounded Rectangle 12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4" name="Rounded Rectangle 12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5" name="Rounded Rectangle 12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6" name="Rounded Rectangle 12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7" name="Rounded Rectangle 12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8" name="Rounded Rectangle 12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09" name="Rounded Rectangle 12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0" name="Rounded Rectangle 12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1" name="Rounded Rectangle 12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2" name="Rounded Rectangle 12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3" name="Rounded Rectangle 12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4" name="Rounded Rectangle 12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5" name="Rounded Rectangle 12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6" name="Rounded Rectangle 12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7" name="Rounded Rectangle 12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8" name="Rounded Rectangle 12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19" name="Rounded Rectangle 12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0" name="Rounded Rectangle 12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1" name="Rounded Rectangle 12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2" name="Rounded Rectangle 12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3" name="Rounded Rectangle 12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4" name="Rounded Rectangle 12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5" name="Rounded Rectangle 12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6" name="Rounded Rectangle 12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7" name="Rounded Rectangle 12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8" name="Rounded Rectangle 12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29" name="Rounded Rectangle 12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0" name="Rounded Rectangle 12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1" name="Rounded Rectangle 12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2" name="Rounded Rectangle 12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3" name="Rounded Rectangle 12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4" name="Rounded Rectangle 12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5" name="Rounded Rectangle 12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6" name="Rounded Rectangle 12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7" name="Rounded Rectangle 12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8" name="Rounded Rectangle 12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39" name="Rounded Rectangle 12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0" name="Rounded Rectangle 12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1" name="Rounded Rectangle 12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2" name="Rounded Rectangle 12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3" name="Rounded Rectangle 12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4" name="Rounded Rectangle 12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5" name="Rounded Rectangle 12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6" name="Rounded Rectangle 12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7" name="Rounded Rectangle 12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8" name="Rounded Rectangle 12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49" name="Rounded Rectangle 12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0" name="Rounded Rectangle 12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1" name="Rounded Rectangle 12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2" name="Rounded Rectangle 12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3" name="Rounded Rectangle 12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4" name="Rounded Rectangle 12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5" name="Rounded Rectangle 12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6" name="Rounded Rectangle 12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7" name="Rounded Rectangle 12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8" name="Rounded Rectangle 12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59" name="Rounded Rectangle 12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0" name="Rounded Rectangle 12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1" name="Rounded Rectangle 12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2" name="Rounded Rectangle 12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3" name="Rounded Rectangle 12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4" name="Rounded Rectangle 12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5" name="Rounded Rectangle 12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6" name="Rounded Rectangle 12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7" name="Rounded Rectangle 12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8" name="Rounded Rectangle 12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69" name="Rounded Rectangle 12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0" name="Rounded Rectangle 12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1" name="Rounded Rectangle 12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2" name="Rounded Rectangle 12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3" name="Rounded Rectangle 12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4" name="Rounded Rectangle 12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5" name="Rounded Rectangle 12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6" name="Rounded Rectangle 12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7" name="Rounded Rectangle 12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8" name="Rounded Rectangle 12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79" name="Rounded Rectangle 12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0" name="Rounded Rectangle 12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1" name="Rounded Rectangle 12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2" name="Rounded Rectangle 12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3" name="Rounded Rectangle 12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4" name="Rounded Rectangle 12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5" name="Rounded Rectangle 12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6" name="Rounded Rectangle 12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7" name="Rounded Rectangle 12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8" name="Rounded Rectangle 12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89" name="Rounded Rectangle 12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0" name="Rounded Rectangle 12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1" name="Rounded Rectangle 12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2" name="Rounded Rectangle 12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3" name="Rounded Rectangle 12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4" name="Rounded Rectangle 12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5" name="Rounded Rectangle 12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6" name="Rounded Rectangle 12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7" name="Rounded Rectangle 12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8" name="Rounded Rectangle 12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199" name="Rounded Rectangle 12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0" name="Rounded Rectangle 12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1" name="Rounded Rectangle 12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2" name="Rounded Rectangle 12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3" name="Rounded Rectangle 12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4" name="Rounded Rectangle 12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5" name="Rounded Rectangle 12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6" name="Rounded Rectangle 12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7" name="Rounded Rectangle 12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8" name="Rounded Rectangle 12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09" name="Rounded Rectangle 12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0" name="Rounded Rectangle 12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1" name="Rounded Rectangle 12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2" name="Rounded Rectangle 12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3" name="Rounded Rectangle 12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4" name="Rounded Rectangle 12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5" name="Rounded Rectangle 12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6" name="Rounded Rectangle 12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7" name="Rounded Rectangle 12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8" name="Rounded Rectangle 12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19" name="Rounded Rectangle 12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0" name="Rounded Rectangle 12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1" name="Rounded Rectangle 12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2" name="Rounded Rectangle 12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3" name="Rounded Rectangle 12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4" name="Rounded Rectangle 12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5" name="Rounded Rectangle 12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6" name="Rounded Rectangle 12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7" name="Rounded Rectangle 12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8" name="Rounded Rectangle 12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29" name="Rounded Rectangle 12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0" name="Rounded Rectangle 12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1" name="Rounded Rectangle 12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2" name="Rounded Rectangle 12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3" name="Rounded Rectangle 12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4" name="Rounded Rectangle 12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5" name="Rounded Rectangle 12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6" name="Rounded Rectangle 12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7" name="Rounded Rectangle 12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8" name="Rounded Rectangle 12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39" name="Rounded Rectangle 12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0" name="Rounded Rectangle 12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1" name="Rounded Rectangle 12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2" name="Rounded Rectangle 12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3" name="Rounded Rectangle 12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4" name="Rounded Rectangle 12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5" name="Rounded Rectangle 12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6" name="Rounded Rectangle 12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7" name="Rounded Rectangle 12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8" name="Rounded Rectangle 12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49" name="Rounded Rectangle 12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0" name="Rounded Rectangle 12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1" name="Rounded Rectangle 12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2" name="Rounded Rectangle 12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3" name="Rounded Rectangle 12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4" name="Rounded Rectangle 12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5" name="Rounded Rectangle 12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6" name="Rounded Rectangle 12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7" name="Rounded Rectangle 12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8" name="Rounded Rectangle 12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59" name="Rounded Rectangle 12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0" name="Rounded Rectangle 12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1" name="Rounded Rectangle 12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2" name="Rounded Rectangle 12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3" name="Rounded Rectangle 12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4" name="Rounded Rectangle 12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5" name="Rounded Rectangle 12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6" name="Rounded Rectangle 12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7" name="Rounded Rectangle 12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8" name="Rounded Rectangle 12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69" name="Rounded Rectangle 12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0" name="Rounded Rectangle 12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1" name="Rounded Rectangle 12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2" name="Rounded Rectangle 12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3" name="Rounded Rectangle 12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4" name="Rounded Rectangle 12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5" name="Rounded Rectangle 12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6" name="Rounded Rectangle 12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7" name="Rounded Rectangle 12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8" name="Rounded Rectangle 12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79" name="Rounded Rectangle 12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0" name="Rounded Rectangle 12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1" name="Rounded Rectangle 12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2" name="Rounded Rectangle 12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3" name="Rounded Rectangle 12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4" name="Rounded Rectangle 12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5" name="Rounded Rectangle 12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6" name="Rounded Rectangle 12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7" name="Rounded Rectangle 12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8" name="Rounded Rectangle 12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89" name="Rounded Rectangle 12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0" name="Rounded Rectangle 12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1" name="Rounded Rectangle 12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2" name="Rounded Rectangle 12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3" name="Rounded Rectangle 12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4" name="Rounded Rectangle 12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5" name="Rounded Rectangle 12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6" name="Rounded Rectangle 12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7" name="Rounded Rectangle 12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8" name="Rounded Rectangle 12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299" name="Rounded Rectangle 12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0" name="Rounded Rectangle 12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1" name="Rounded Rectangle 12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2" name="Rounded Rectangle 12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3" name="Rounded Rectangle 12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4" name="Rounded Rectangle 12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5" name="Rounded Rectangle 12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6" name="Rounded Rectangle 12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7" name="Rounded Rectangle 12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8" name="Rounded Rectangle 12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09" name="Rounded Rectangle 12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0" name="Rounded Rectangle 12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1" name="Rounded Rectangle 12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2" name="Rounded Rectangle 12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3" name="Rounded Rectangle 12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4" name="Rounded Rectangle 12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5" name="Rounded Rectangle 12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6" name="Rounded Rectangle 12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7" name="Rounded Rectangle 12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8" name="Rounded Rectangle 12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19" name="Rounded Rectangle 12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0" name="Rounded Rectangle 12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1" name="Rounded Rectangle 12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2" name="Rounded Rectangle 12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3" name="Rounded Rectangle 12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4" name="Rounded Rectangle 12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5" name="Rounded Rectangle 12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6" name="Rounded Rectangle 12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7" name="Rounded Rectangle 12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8" name="Rounded Rectangle 12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29" name="Rounded Rectangle 12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0" name="Rounded Rectangle 12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1" name="Rounded Rectangle 12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2" name="Rounded Rectangle 12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3" name="Rounded Rectangle 12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4" name="Rounded Rectangle 12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5" name="Rounded Rectangle 12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6" name="Rounded Rectangle 12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7" name="Rounded Rectangle 12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8" name="Rounded Rectangle 12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39" name="Rounded Rectangle 12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0" name="Rounded Rectangle 12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1" name="Rounded Rectangle 12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2" name="Rounded Rectangle 12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3" name="Rounded Rectangle 12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4" name="Rounded Rectangle 12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5" name="Rounded Rectangle 12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6" name="Rounded Rectangle 12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7" name="Rounded Rectangle 12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8" name="Rounded Rectangle 12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49" name="Rounded Rectangle 12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0" name="Rounded Rectangle 12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1" name="Rounded Rectangle 12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2" name="Rounded Rectangle 12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3" name="Rounded Rectangle 12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4" name="Rounded Rectangle 12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5" name="Rounded Rectangle 12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6" name="Rounded Rectangle 12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7" name="Rounded Rectangle 12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8" name="Rounded Rectangle 12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59" name="Rounded Rectangle 12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0" name="Rounded Rectangle 12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1" name="Rounded Rectangle 12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2" name="Rounded Rectangle 12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3" name="Rounded Rectangle 12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4" name="Rounded Rectangle 12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5" name="Rounded Rectangle 12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6" name="Rounded Rectangle 12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7" name="Rounded Rectangle 12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8" name="Rounded Rectangle 12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69" name="Rounded Rectangle 12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0" name="Rounded Rectangle 12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1" name="Rounded Rectangle 12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2" name="Rounded Rectangle 12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3" name="Rounded Rectangle 12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4" name="Rounded Rectangle 12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5" name="Rounded Rectangle 12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6" name="Rounded Rectangle 12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7" name="Rounded Rectangle 12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8" name="Rounded Rectangle 12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79" name="Rounded Rectangle 12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0" name="Rounded Rectangle 12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1" name="Rounded Rectangle 12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2" name="Rounded Rectangle 12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3" name="Rounded Rectangle 12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4" name="Rounded Rectangle 12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5" name="Rounded Rectangle 12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6" name="Rounded Rectangle 12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7" name="Rounded Rectangle 12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8" name="Rounded Rectangle 12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89" name="Rounded Rectangle 12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0" name="Rounded Rectangle 12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1" name="Rounded Rectangle 12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2" name="Rounded Rectangle 12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3" name="Rounded Rectangle 12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4" name="Rounded Rectangle 12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5" name="Rounded Rectangle 12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6" name="Rounded Rectangle 12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7" name="Rounded Rectangle 12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8" name="Rounded Rectangle 12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399" name="Rounded Rectangle 12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0" name="Rounded Rectangle 12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1" name="Rounded Rectangle 12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2" name="Rounded Rectangle 12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3" name="Rounded Rectangle 12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4" name="Rounded Rectangle 12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5" name="Rounded Rectangle 12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6" name="Rounded Rectangle 12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7" name="Rounded Rectangle 12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8" name="Rounded Rectangle 12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09" name="Rounded Rectangle 12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0" name="Rounded Rectangle 12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1" name="Rounded Rectangle 12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2" name="Rounded Rectangle 12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3" name="Rounded Rectangle 12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4" name="Rounded Rectangle 12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5" name="Rounded Rectangle 12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6" name="Rounded Rectangle 12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7" name="Rounded Rectangle 12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8" name="Rounded Rectangle 12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19" name="Rounded Rectangle 12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0" name="Rounded Rectangle 12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1" name="Rounded Rectangle 12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2" name="Rounded Rectangle 12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3" name="Rounded Rectangle 12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4" name="Rounded Rectangle 12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5" name="Rounded Rectangle 12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6" name="Rounded Rectangle 12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7" name="Rounded Rectangle 12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8" name="Rounded Rectangle 12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29" name="Rounded Rectangle 12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0" name="Rounded Rectangle 12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1" name="Rounded Rectangle 12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2" name="Rounded Rectangle 12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3" name="Rounded Rectangle 12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4" name="Rounded Rectangle 12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5" name="Rounded Rectangle 12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6" name="Rounded Rectangle 12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7" name="Rounded Rectangle 12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8" name="Rounded Rectangle 12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39" name="Rounded Rectangle 12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0" name="Rounded Rectangle 12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1" name="Rounded Rectangle 12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2" name="Rounded Rectangle 12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3" name="Rounded Rectangle 12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4" name="Rounded Rectangle 12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5" name="Rounded Rectangle 12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6" name="Rounded Rectangle 12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7" name="Rounded Rectangle 12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8" name="Rounded Rectangle 12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49" name="Rounded Rectangle 12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0" name="Rounded Rectangle 12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1" name="Rounded Rectangle 12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2" name="Rounded Rectangle 12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3" name="Rounded Rectangle 12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4" name="Rounded Rectangle 12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5" name="Rounded Rectangle 12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6" name="Rounded Rectangle 12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7" name="Rounded Rectangle 12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8" name="Rounded Rectangle 12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59" name="Rounded Rectangle 12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0" name="Rounded Rectangle 12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1" name="Rounded Rectangle 12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2" name="Rounded Rectangle 12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3" name="Rounded Rectangle 12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4" name="Rounded Rectangle 12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5" name="Rounded Rectangle 12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6" name="Rounded Rectangle 12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7" name="Rounded Rectangle 12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8" name="Rounded Rectangle 12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69" name="Rounded Rectangle 12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0" name="Rounded Rectangle 12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1" name="Rounded Rectangle 12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2" name="Rounded Rectangle 12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3" name="Rounded Rectangle 12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4" name="Rounded Rectangle 12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5" name="Rounded Rectangle 12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6" name="Rounded Rectangle 12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7" name="Rounded Rectangle 12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8" name="Rounded Rectangle 12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79" name="Rounded Rectangle 12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0" name="Rounded Rectangle 12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1" name="Rounded Rectangle 12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2" name="Rounded Rectangle 12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3" name="Rounded Rectangle 12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4" name="Rounded Rectangle 12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5" name="Rounded Rectangle 12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6" name="Rounded Rectangle 12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7" name="Rounded Rectangle 12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8" name="Rounded Rectangle 12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89" name="Rounded Rectangle 12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0" name="Rounded Rectangle 12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1" name="Rounded Rectangle 12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2" name="Rounded Rectangle 12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3" name="Rounded Rectangle 12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4" name="Rounded Rectangle 12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5" name="Rounded Rectangle 12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6" name="Rounded Rectangle 12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7" name="Rounded Rectangle 12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8" name="Rounded Rectangle 12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499" name="Rounded Rectangle 12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0" name="Rounded Rectangle 12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1" name="Rounded Rectangle 12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2" name="Rounded Rectangle 12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3" name="Rounded Rectangle 12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4" name="Rounded Rectangle 12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5" name="Rounded Rectangle 12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6" name="Rounded Rectangle 12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7" name="Rounded Rectangle 12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8" name="Rounded Rectangle 12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09" name="Rounded Rectangle 12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0" name="Rounded Rectangle 12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1" name="Rounded Rectangle 12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2" name="Rounded Rectangle 12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3" name="Rounded Rectangle 12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4" name="Rounded Rectangle 12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5" name="Rounded Rectangle 12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6" name="Rounded Rectangle 12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7" name="Rounded Rectangle 12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8" name="Rounded Rectangle 12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19" name="Rounded Rectangle 12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0" name="Rounded Rectangle 12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1" name="Rounded Rectangle 12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2" name="Rounded Rectangle 12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3" name="Rounded Rectangle 12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4" name="Rounded Rectangle 12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5" name="Rounded Rectangle 12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6" name="Rounded Rectangle 12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7" name="Rounded Rectangle 12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8" name="Rounded Rectangle 12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29" name="Rounded Rectangle 12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0" name="Rounded Rectangle 12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1" name="Rounded Rectangle 12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2" name="Rounded Rectangle 12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3" name="Rounded Rectangle 12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4" name="Rounded Rectangle 12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5" name="Rounded Rectangle 12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6" name="Rounded Rectangle 12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7" name="Rounded Rectangle 12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8" name="Rounded Rectangle 12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39" name="Rounded Rectangle 12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0" name="Rounded Rectangle 12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1" name="Rounded Rectangle 12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2" name="Rounded Rectangle 12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3" name="Rounded Rectangle 12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4" name="Rounded Rectangle 12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5" name="Rounded Rectangle 12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6" name="Rounded Rectangle 12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7" name="Rounded Rectangle 12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8" name="Rounded Rectangle 12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49" name="Rounded Rectangle 12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0" name="Rounded Rectangle 12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1" name="Rounded Rectangle 12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2" name="Rounded Rectangle 12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3" name="Rounded Rectangle 12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4" name="Rounded Rectangle 12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5" name="Rounded Rectangle 12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6" name="Rounded Rectangle 12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7" name="Rounded Rectangle 12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8" name="Rounded Rectangle 12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59" name="Rounded Rectangle 12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0" name="Rounded Rectangle 12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1" name="Rounded Rectangle 12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2" name="Rounded Rectangle 12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3" name="Rounded Rectangle 12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4" name="Rounded Rectangle 12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5" name="Rounded Rectangle 12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6" name="Rounded Rectangle 12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7" name="Rounded Rectangle 12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8" name="Rounded Rectangle 12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69" name="Rounded Rectangle 12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0" name="Rounded Rectangle 12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1" name="Rounded Rectangle 12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2" name="Rounded Rectangle 12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3" name="Rounded Rectangle 12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4" name="Rounded Rectangle 12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5" name="Rounded Rectangle 12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6" name="Rounded Rectangle 12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7" name="Rounded Rectangle 12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8" name="Rounded Rectangle 12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79" name="Rounded Rectangle 12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0" name="Rounded Rectangle 12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1" name="Rounded Rectangle 12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2" name="Rounded Rectangle 12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3" name="Rounded Rectangle 12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4" name="Rounded Rectangle 12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5" name="Rounded Rectangle 12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6" name="Rounded Rectangle 12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7" name="Rounded Rectangle 12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8" name="Rounded Rectangle 12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89" name="Rounded Rectangle 12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0" name="Rounded Rectangle 12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1" name="Rounded Rectangle 12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2" name="Rounded Rectangle 12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3" name="Rounded Rectangle 12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4" name="Rounded Rectangle 12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5" name="Rounded Rectangle 12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6" name="Rounded Rectangle 12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7" name="Rounded Rectangle 12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8" name="Rounded Rectangle 12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599" name="Rounded Rectangle 12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0" name="Rounded Rectangle 12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1" name="Rounded Rectangle 12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2" name="Rounded Rectangle 12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3" name="Rounded Rectangle 12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4" name="Rounded Rectangle 12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5" name="Rounded Rectangle 12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6" name="Rounded Rectangle 12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7" name="Rounded Rectangle 12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8" name="Rounded Rectangle 12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09" name="Rounded Rectangle 12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0" name="Rounded Rectangle 12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1" name="Rounded Rectangle 12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2" name="Rounded Rectangle 12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3" name="Rounded Rectangle 12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4" name="Rounded Rectangle 12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5" name="Rounded Rectangle 12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6" name="Rounded Rectangle 12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7" name="Rounded Rectangle 12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8" name="Rounded Rectangle 12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19" name="Rounded Rectangle 12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0" name="Rounded Rectangle 12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1" name="Rounded Rectangle 12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2" name="Rounded Rectangle 12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3" name="Rounded Rectangle 12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4" name="Rounded Rectangle 12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5" name="Rounded Rectangle 12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6" name="Rounded Rectangle 12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7" name="Rounded Rectangle 12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8" name="Rounded Rectangle 12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29" name="Rounded Rectangle 12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0" name="Rounded Rectangle 12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1" name="Rounded Rectangle 12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2" name="Rounded Rectangle 12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3" name="Rounded Rectangle 12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4" name="Rounded Rectangle 12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5" name="Rounded Rectangle 12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6" name="Rounded Rectangle 12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7" name="Rounded Rectangle 12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8" name="Rounded Rectangle 12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39" name="Rounded Rectangle 12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0" name="Rounded Rectangle 12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1" name="Rounded Rectangle 12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2" name="Rounded Rectangle 12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3" name="Rounded Rectangle 12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4" name="Rounded Rectangle 12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5" name="Rounded Rectangle 12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6" name="Rounded Rectangle 12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7" name="Rounded Rectangle 12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8" name="Rounded Rectangle 12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49" name="Rounded Rectangle 12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0" name="Rounded Rectangle 12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1" name="Rounded Rectangle 12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2" name="Rounded Rectangle 12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3" name="Rounded Rectangle 12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4" name="Rounded Rectangle 12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5" name="Rounded Rectangle 12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6" name="Rounded Rectangle 12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7" name="Rounded Rectangle 12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8" name="Rounded Rectangle 12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59" name="Rounded Rectangle 12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0" name="Rounded Rectangle 12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1" name="Rounded Rectangle 12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2" name="Rounded Rectangle 12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3" name="Rounded Rectangle 12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4" name="Rounded Rectangle 12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5" name="Rounded Rectangle 12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6" name="Rounded Rectangle 12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7" name="Rounded Rectangle 12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8" name="Rounded Rectangle 12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69" name="Rounded Rectangle 12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0" name="Rounded Rectangle 12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1" name="Rounded Rectangle 12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2" name="Rounded Rectangle 12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3" name="Rounded Rectangle 12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4" name="Rounded Rectangle 12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5" name="Rounded Rectangle 12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6" name="Rounded Rectangle 12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7" name="Rounded Rectangle 12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8" name="Rounded Rectangle 12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79" name="Rounded Rectangle 12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0" name="Rounded Rectangle 12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1" name="Rounded Rectangle 12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2" name="Rounded Rectangle 12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3" name="Rounded Rectangle 12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4" name="Rounded Rectangle 12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5" name="Rounded Rectangle 12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6" name="Rounded Rectangle 12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7" name="Rounded Rectangle 12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8" name="Rounded Rectangle 12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89" name="Rounded Rectangle 12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0" name="Rounded Rectangle 12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1" name="Rounded Rectangle 12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2" name="Rounded Rectangle 12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3" name="Rounded Rectangle 12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4" name="Rounded Rectangle 12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5" name="Rounded Rectangle 12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6" name="Rounded Rectangle 12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7" name="Rounded Rectangle 12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8" name="Rounded Rectangle 12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699" name="Rounded Rectangle 12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0" name="Rounded Rectangle 12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1" name="Rounded Rectangle 12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2" name="Rounded Rectangle 12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3" name="Rounded Rectangle 12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4" name="Rounded Rectangle 12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5" name="Rounded Rectangle 12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6" name="Rounded Rectangle 12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7" name="Rounded Rectangle 12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8" name="Rounded Rectangle 12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09" name="Rounded Rectangle 12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0" name="Rounded Rectangle 12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1" name="Rounded Rectangle 12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2" name="Rounded Rectangle 12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3" name="Rounded Rectangle 12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4" name="Rounded Rectangle 12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5" name="Rounded Rectangle 12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6" name="Rounded Rectangle 12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7" name="Rounded Rectangle 12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8" name="Rounded Rectangle 12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19" name="Rounded Rectangle 12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0" name="Rounded Rectangle 12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1" name="Rounded Rectangle 12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2" name="Rounded Rectangle 12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3" name="Rounded Rectangle 12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4" name="Rounded Rectangle 12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5" name="Rounded Rectangle 12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6" name="Rounded Rectangle 12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7" name="Rounded Rectangle 12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8" name="Rounded Rectangle 12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29" name="Rounded Rectangle 12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0" name="Rounded Rectangle 12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1" name="Rounded Rectangle 12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2" name="Rounded Rectangle 12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3" name="Rounded Rectangle 12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4" name="Rounded Rectangle 12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5" name="Rounded Rectangle 12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6" name="Rounded Rectangle 12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7" name="Rounded Rectangle 12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8" name="Rounded Rectangle 12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39" name="Rounded Rectangle 12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0" name="Rounded Rectangle 12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1" name="Rounded Rectangle 12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2" name="Rounded Rectangle 12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3" name="Rounded Rectangle 12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4" name="Rounded Rectangle 12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5" name="Rounded Rectangle 12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6" name="Rounded Rectangle 12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7" name="Rounded Rectangle 12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8" name="Rounded Rectangle 12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49" name="Rounded Rectangle 12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0" name="Rounded Rectangle 12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1" name="Rounded Rectangle 12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2" name="Rounded Rectangle 12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3" name="Rounded Rectangle 12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4" name="Rounded Rectangle 12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5" name="Rounded Rectangle 12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6" name="Rounded Rectangle 12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7" name="Rounded Rectangle 12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8" name="Rounded Rectangle 12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59" name="Rounded Rectangle 12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0" name="Rounded Rectangle 12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1" name="Rounded Rectangle 12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2" name="Rounded Rectangle 12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3" name="Rounded Rectangle 12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4" name="Rounded Rectangle 12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5" name="Rounded Rectangle 12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6" name="Rounded Rectangle 12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7" name="Rounded Rectangle 12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8" name="Rounded Rectangle 12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69" name="Rounded Rectangle 12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0" name="Rounded Rectangle 12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1" name="Rounded Rectangle 12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2" name="Rounded Rectangle 12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3" name="Rounded Rectangle 12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4" name="Rounded Rectangle 12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5" name="Rounded Rectangle 12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6" name="Rounded Rectangle 12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7" name="Rounded Rectangle 12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8" name="Rounded Rectangle 12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79" name="Rounded Rectangle 12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0" name="Rounded Rectangle 12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1" name="Rounded Rectangle 12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2" name="Rounded Rectangle 12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3" name="Rounded Rectangle 12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4" name="Rounded Rectangle 12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5" name="Rounded Rectangle 12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6" name="Rounded Rectangle 12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7" name="Rounded Rectangle 12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8" name="Rounded Rectangle 12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89" name="Rounded Rectangle 12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0" name="Rounded Rectangle 12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1" name="Rounded Rectangle 12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2" name="Rounded Rectangle 12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3" name="Rounded Rectangle 12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4" name="Rounded Rectangle 12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5" name="Rounded Rectangle 12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6" name="Rounded Rectangle 12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7" name="Rounded Rectangle 12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8" name="Rounded Rectangle 12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799" name="Rounded Rectangle 12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0" name="Rounded Rectangle 12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1" name="Rounded Rectangle 12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2" name="Rounded Rectangle 12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3" name="Rounded Rectangle 12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4" name="Rounded Rectangle 12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5" name="Rounded Rectangle 12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6" name="Rounded Rectangle 12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7" name="Rounded Rectangle 12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8" name="Rounded Rectangle 12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09" name="Rounded Rectangle 12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0" name="Rounded Rectangle 12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1" name="Rounded Rectangle 12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2" name="Rounded Rectangle 12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3" name="Rounded Rectangle 12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4" name="Rounded Rectangle 12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5" name="Rounded Rectangle 12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6" name="Rounded Rectangle 12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7" name="Rounded Rectangle 12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8" name="Rounded Rectangle 12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19" name="Rounded Rectangle 12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0" name="Rounded Rectangle 12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1" name="Rounded Rectangle 12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2" name="Rounded Rectangle 12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3" name="Rounded Rectangle 12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4" name="Rounded Rectangle 12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5" name="Rounded Rectangle 12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6" name="Rounded Rectangle 12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7" name="Rounded Rectangle 12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8" name="Rounded Rectangle 12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29" name="Rounded Rectangle 12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0" name="Rounded Rectangle 12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1" name="Rounded Rectangle 12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2" name="Rounded Rectangle 12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3" name="Rounded Rectangle 12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4" name="Rounded Rectangle 12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5" name="Rounded Rectangle 12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6" name="Rounded Rectangle 12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7" name="Rounded Rectangle 12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8" name="Rounded Rectangle 128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39" name="Rounded Rectangle 128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0" name="Rounded Rectangle 128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1" name="Rounded Rectangle 128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2" name="Rounded Rectangle 128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3" name="Rounded Rectangle 128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4" name="Rounded Rectangle 128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5" name="Rounded Rectangle 128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6" name="Rounded Rectangle 128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7" name="Rounded Rectangle 128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8" name="Rounded Rectangle 128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49" name="Rounded Rectangle 128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0" name="Rounded Rectangle 128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1" name="Rounded Rectangle 128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2" name="Rounded Rectangle 128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3" name="Rounded Rectangle 128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4" name="Rounded Rectangle 128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5" name="Rounded Rectangle 128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6" name="Rounded Rectangle 128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7" name="Rounded Rectangle 128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8" name="Rounded Rectangle 128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59" name="Rounded Rectangle 128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0" name="Rounded Rectangle 128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1" name="Rounded Rectangle 128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2" name="Rounded Rectangle 128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3" name="Rounded Rectangle 128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4" name="Rounded Rectangle 128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5" name="Rounded Rectangle 128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6" name="Rounded Rectangle 128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7" name="Rounded Rectangle 128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8" name="Rounded Rectangle 128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69" name="Rounded Rectangle 128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0" name="Rounded Rectangle 128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1" name="Rounded Rectangle 128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2" name="Rounded Rectangle 128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3" name="Rounded Rectangle 128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4" name="Rounded Rectangle 128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5" name="Rounded Rectangle 128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6" name="Rounded Rectangle 128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7" name="Rounded Rectangle 128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8" name="Rounded Rectangle 128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79" name="Rounded Rectangle 128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0" name="Rounded Rectangle 128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1" name="Rounded Rectangle 128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2" name="Rounded Rectangle 128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3" name="Rounded Rectangle 128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4" name="Rounded Rectangle 128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5" name="Rounded Rectangle 128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6" name="Rounded Rectangle 128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7" name="Rounded Rectangle 128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8" name="Rounded Rectangle 128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89" name="Rounded Rectangle 128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0" name="Rounded Rectangle 128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1" name="Rounded Rectangle 128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2" name="Rounded Rectangle 128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3" name="Rounded Rectangle 128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4" name="Rounded Rectangle 128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5" name="Rounded Rectangle 128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6" name="Rounded Rectangle 128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7" name="Rounded Rectangle 128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8" name="Rounded Rectangle 128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899" name="Rounded Rectangle 128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0" name="Rounded Rectangle 128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1" name="Rounded Rectangle 129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2" name="Rounded Rectangle 129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3" name="Rounded Rectangle 129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4" name="Rounded Rectangle 129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5" name="Rounded Rectangle 129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6" name="Rounded Rectangle 129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7" name="Rounded Rectangle 129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8" name="Rounded Rectangle 129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09" name="Rounded Rectangle 129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0" name="Rounded Rectangle 129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1" name="Rounded Rectangle 129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2" name="Rounded Rectangle 129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3" name="Rounded Rectangle 129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4" name="Rounded Rectangle 129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5" name="Rounded Rectangle 129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6" name="Rounded Rectangle 129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7" name="Rounded Rectangle 129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8" name="Rounded Rectangle 129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19" name="Rounded Rectangle 129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0" name="Rounded Rectangle 129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1" name="Rounded Rectangle 129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2" name="Rounded Rectangle 129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3" name="Rounded Rectangle 129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4" name="Rounded Rectangle 129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5" name="Rounded Rectangle 129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6" name="Rounded Rectangle 129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7" name="Rounded Rectangle 129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8" name="Rounded Rectangle 129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29" name="Rounded Rectangle 129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0" name="Rounded Rectangle 129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1" name="Rounded Rectangle 129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2" name="Rounded Rectangle 129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3" name="Rounded Rectangle 129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4" name="Rounded Rectangle 129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5" name="Rounded Rectangle 129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6" name="Rounded Rectangle 129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7" name="Rounded Rectangle 129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8" name="Rounded Rectangle 129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39" name="Rounded Rectangle 129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0" name="Rounded Rectangle 129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1" name="Rounded Rectangle 129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2" name="Rounded Rectangle 129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3" name="Rounded Rectangle 129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4" name="Rounded Rectangle 129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5" name="Rounded Rectangle 129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6" name="Rounded Rectangle 129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7" name="Rounded Rectangle 129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8" name="Rounded Rectangle 129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49" name="Rounded Rectangle 129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0" name="Rounded Rectangle 129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1" name="Rounded Rectangle 129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2" name="Rounded Rectangle 129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3" name="Rounded Rectangle 129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4" name="Rounded Rectangle 129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5" name="Rounded Rectangle 129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6" name="Rounded Rectangle 129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7" name="Rounded Rectangle 129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8" name="Rounded Rectangle 129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59" name="Rounded Rectangle 129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0" name="Rounded Rectangle 129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1" name="Rounded Rectangle 129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2" name="Rounded Rectangle 129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3" name="Rounded Rectangle 129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4" name="Rounded Rectangle 129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5" name="Rounded Rectangle 129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6" name="Rounded Rectangle 129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7" name="Rounded Rectangle 129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8" name="Rounded Rectangle 129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69" name="Rounded Rectangle 129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0" name="Rounded Rectangle 129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1" name="Rounded Rectangle 129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2" name="Rounded Rectangle 129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3" name="Rounded Rectangle 129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4" name="Rounded Rectangle 129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5" name="Rounded Rectangle 129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6" name="Rounded Rectangle 129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7" name="Rounded Rectangle 129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8" name="Rounded Rectangle 129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79" name="Rounded Rectangle 129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0" name="Rounded Rectangle 129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1" name="Rounded Rectangle 129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2" name="Rounded Rectangle 129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3" name="Rounded Rectangle 129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4" name="Rounded Rectangle 129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5" name="Rounded Rectangle 129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6" name="Rounded Rectangle 129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7" name="Rounded Rectangle 129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8" name="Rounded Rectangle 129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89" name="Rounded Rectangle 129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0" name="Rounded Rectangle 129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1" name="Rounded Rectangle 129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2" name="Rounded Rectangle 129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3" name="Rounded Rectangle 129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4" name="Rounded Rectangle 129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5" name="Rounded Rectangle 129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6" name="Rounded Rectangle 129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7" name="Rounded Rectangle 129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8" name="Rounded Rectangle 129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2999" name="Rounded Rectangle 129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0" name="Rounded Rectangle 129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1" name="Rounded Rectangle 130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2" name="Rounded Rectangle 130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3" name="Rounded Rectangle 130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4" name="Rounded Rectangle 130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5" name="Rounded Rectangle 130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6" name="Rounded Rectangle 130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7" name="Rounded Rectangle 130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8" name="Rounded Rectangle 130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09" name="Rounded Rectangle 130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0" name="Rounded Rectangle 130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1" name="Rounded Rectangle 130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2" name="Rounded Rectangle 130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3" name="Rounded Rectangle 130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4" name="Rounded Rectangle 130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5" name="Rounded Rectangle 130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6" name="Rounded Rectangle 130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7" name="Rounded Rectangle 130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8" name="Rounded Rectangle 130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19" name="Rounded Rectangle 130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0" name="Rounded Rectangle 130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1" name="Rounded Rectangle 130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2" name="Rounded Rectangle 130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3" name="Rounded Rectangle 130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4" name="Rounded Rectangle 130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5" name="Rounded Rectangle 130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6" name="Rounded Rectangle 130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7" name="Rounded Rectangle 130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8" name="Rounded Rectangle 130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29" name="Rounded Rectangle 130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0" name="Rounded Rectangle 130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1" name="Rounded Rectangle 130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2" name="Rounded Rectangle 130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3" name="Rounded Rectangle 130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4" name="Rounded Rectangle 130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5" name="Rounded Rectangle 130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6" name="Rounded Rectangle 130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7" name="Rounded Rectangle 130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8" name="Rounded Rectangle 130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39" name="Rounded Rectangle 130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0" name="Rounded Rectangle 130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1" name="Rounded Rectangle 130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2" name="Rounded Rectangle 130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3" name="Rounded Rectangle 130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4" name="Rounded Rectangle 130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5" name="Rounded Rectangle 130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6" name="Rounded Rectangle 130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7" name="Rounded Rectangle 130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8" name="Rounded Rectangle 130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49" name="Rounded Rectangle 130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0" name="Rounded Rectangle 130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1" name="Rounded Rectangle 130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2" name="Rounded Rectangle 130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3" name="Rounded Rectangle 130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4" name="Rounded Rectangle 130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5" name="Rounded Rectangle 130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6" name="Rounded Rectangle 130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7" name="Rounded Rectangle 130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8" name="Rounded Rectangle 130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59" name="Rounded Rectangle 130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0" name="Rounded Rectangle 130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1" name="Rounded Rectangle 130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2" name="Rounded Rectangle 130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3" name="Rounded Rectangle 130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4" name="Rounded Rectangle 130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5" name="Rounded Rectangle 130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6" name="Rounded Rectangle 130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7" name="Rounded Rectangle 130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8" name="Rounded Rectangle 130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69" name="Rounded Rectangle 130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0" name="Rounded Rectangle 130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1" name="Rounded Rectangle 130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2" name="Rounded Rectangle 130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3" name="Rounded Rectangle 130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4" name="Rounded Rectangle 130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5" name="Rounded Rectangle 130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6" name="Rounded Rectangle 130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7" name="Rounded Rectangle 130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8" name="Rounded Rectangle 130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79" name="Rounded Rectangle 130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0" name="Rounded Rectangle 130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1" name="Rounded Rectangle 130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2" name="Rounded Rectangle 130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3" name="Rounded Rectangle 130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4" name="Rounded Rectangle 130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5" name="Rounded Rectangle 130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6" name="Rounded Rectangle 130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7" name="Rounded Rectangle 130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8" name="Rounded Rectangle 130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89" name="Rounded Rectangle 130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0" name="Rounded Rectangle 130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1" name="Rounded Rectangle 130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2" name="Rounded Rectangle 130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3" name="Rounded Rectangle 130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4" name="Rounded Rectangle 130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5" name="Rounded Rectangle 130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6" name="Rounded Rectangle 130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7" name="Rounded Rectangle 130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8" name="Rounded Rectangle 130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099" name="Rounded Rectangle 130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0" name="Rounded Rectangle 130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1" name="Rounded Rectangle 131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2" name="Rounded Rectangle 131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3" name="Rounded Rectangle 131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4" name="Rounded Rectangle 131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5" name="Rounded Rectangle 131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6" name="Rounded Rectangle 131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7" name="Rounded Rectangle 131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8" name="Rounded Rectangle 131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09" name="Rounded Rectangle 131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0" name="Rounded Rectangle 131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1" name="Rounded Rectangle 131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2" name="Rounded Rectangle 131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3" name="Rounded Rectangle 131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4" name="Rounded Rectangle 131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5" name="Rounded Rectangle 131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6" name="Rounded Rectangle 131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7" name="Rounded Rectangle 131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8" name="Rounded Rectangle 131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19" name="Rounded Rectangle 131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0" name="Rounded Rectangle 131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1" name="Rounded Rectangle 131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2" name="Rounded Rectangle 131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3" name="Rounded Rectangle 131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4" name="Rounded Rectangle 131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5" name="Rounded Rectangle 131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6" name="Rounded Rectangle 131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7" name="Rounded Rectangle 131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8" name="Rounded Rectangle 131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29" name="Rounded Rectangle 131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0" name="Rounded Rectangle 131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1" name="Rounded Rectangle 131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2" name="Rounded Rectangle 131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3" name="Rounded Rectangle 131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4" name="Rounded Rectangle 131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5" name="Rounded Rectangle 131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6" name="Rounded Rectangle 131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7" name="Rounded Rectangle 131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8" name="Rounded Rectangle 131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39" name="Rounded Rectangle 131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0" name="Rounded Rectangle 131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1" name="Rounded Rectangle 131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2" name="Rounded Rectangle 131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3" name="Rounded Rectangle 131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4" name="Rounded Rectangle 131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5" name="Rounded Rectangle 131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6" name="Rounded Rectangle 131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7" name="Rounded Rectangle 131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8" name="Rounded Rectangle 131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49" name="Rounded Rectangle 131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0" name="Rounded Rectangle 131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1" name="Rounded Rectangle 131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2" name="Rounded Rectangle 131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3" name="Rounded Rectangle 131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4" name="Rounded Rectangle 131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5" name="Rounded Rectangle 131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6" name="Rounded Rectangle 131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7" name="Rounded Rectangle 131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8" name="Rounded Rectangle 131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59" name="Rounded Rectangle 131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0" name="Rounded Rectangle 131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1" name="Rounded Rectangle 131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2" name="Rounded Rectangle 131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3" name="Rounded Rectangle 131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4" name="Rounded Rectangle 131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5" name="Rounded Rectangle 131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6" name="Rounded Rectangle 131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7" name="Rounded Rectangle 131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8" name="Rounded Rectangle 131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69" name="Rounded Rectangle 131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0" name="Rounded Rectangle 131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1" name="Rounded Rectangle 131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2" name="Rounded Rectangle 131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3" name="Rounded Rectangle 131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4" name="Rounded Rectangle 131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5" name="Rounded Rectangle 131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6" name="Rounded Rectangle 131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7" name="Rounded Rectangle 131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8" name="Rounded Rectangle 131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79" name="Rounded Rectangle 131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0" name="Rounded Rectangle 131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1" name="Rounded Rectangle 131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2" name="Rounded Rectangle 131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3" name="Rounded Rectangle 131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4" name="Rounded Rectangle 131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5" name="Rounded Rectangle 131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6" name="Rounded Rectangle 131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7" name="Rounded Rectangle 131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8" name="Rounded Rectangle 131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89" name="Rounded Rectangle 131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0" name="Rounded Rectangle 131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1" name="Rounded Rectangle 131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2" name="Rounded Rectangle 131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3" name="Rounded Rectangle 131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4" name="Rounded Rectangle 131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5" name="Rounded Rectangle 131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6" name="Rounded Rectangle 131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7" name="Rounded Rectangle 131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8" name="Rounded Rectangle 131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199" name="Rounded Rectangle 131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0" name="Rounded Rectangle 131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1" name="Rounded Rectangle 132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2" name="Rounded Rectangle 132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3" name="Rounded Rectangle 132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4" name="Rounded Rectangle 132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5" name="Rounded Rectangle 132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6" name="Rounded Rectangle 132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7" name="Rounded Rectangle 132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8" name="Rounded Rectangle 132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09" name="Rounded Rectangle 132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0" name="Rounded Rectangle 132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1" name="Rounded Rectangle 132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2" name="Rounded Rectangle 132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3" name="Rounded Rectangle 132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4" name="Rounded Rectangle 132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5" name="Rounded Rectangle 132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6" name="Rounded Rectangle 132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7" name="Rounded Rectangle 132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8" name="Rounded Rectangle 132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19" name="Rounded Rectangle 132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0" name="Rounded Rectangle 132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1" name="Rounded Rectangle 132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2" name="Rounded Rectangle 132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3" name="Rounded Rectangle 132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4" name="Rounded Rectangle 132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5" name="Rounded Rectangle 132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6" name="Rounded Rectangle 132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7" name="Rounded Rectangle 132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8" name="Rounded Rectangle 132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29" name="Rounded Rectangle 132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0" name="Rounded Rectangle 132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1" name="Rounded Rectangle 132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2" name="Rounded Rectangle 132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3" name="Rounded Rectangle 132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4" name="Rounded Rectangle 132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5" name="Rounded Rectangle 132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6" name="Rounded Rectangle 132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7" name="Rounded Rectangle 132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8" name="Rounded Rectangle 132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39" name="Rounded Rectangle 132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0" name="Rounded Rectangle 132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1" name="Rounded Rectangle 132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2" name="Rounded Rectangle 132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3" name="Rounded Rectangle 132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4" name="Rounded Rectangle 132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5" name="Rounded Rectangle 132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6" name="Rounded Rectangle 132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7" name="Rounded Rectangle 132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8" name="Rounded Rectangle 132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49" name="Rounded Rectangle 132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0" name="Rounded Rectangle 132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1" name="Rounded Rectangle 132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2" name="Rounded Rectangle 132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3" name="Rounded Rectangle 132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4" name="Rounded Rectangle 132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5" name="Rounded Rectangle 132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6" name="Rounded Rectangle 132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7" name="Rounded Rectangle 132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8" name="Rounded Rectangle 132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59" name="Rounded Rectangle 132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0" name="Rounded Rectangle 132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1" name="Rounded Rectangle 132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2" name="Rounded Rectangle 132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3" name="Rounded Rectangle 132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4" name="Rounded Rectangle 132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5" name="Rounded Rectangle 132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6" name="Rounded Rectangle 132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7" name="Rounded Rectangle 132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8" name="Rounded Rectangle 132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69" name="Rounded Rectangle 132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0" name="Rounded Rectangle 132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1" name="Rounded Rectangle 132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2" name="Rounded Rectangle 132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3" name="Rounded Rectangle 132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4" name="Rounded Rectangle 132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5" name="Rounded Rectangle 132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6" name="Rounded Rectangle 132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7" name="Rounded Rectangle 132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8" name="Rounded Rectangle 132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79" name="Rounded Rectangle 132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0" name="Rounded Rectangle 132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1" name="Rounded Rectangle 132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2" name="Rounded Rectangle 132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3" name="Rounded Rectangle 132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4" name="Rounded Rectangle 132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5" name="Rounded Rectangle 132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6" name="Rounded Rectangle 132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7" name="Rounded Rectangle 132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8" name="Rounded Rectangle 132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89" name="Rounded Rectangle 132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0" name="Rounded Rectangle 132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1" name="Rounded Rectangle 132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2" name="Rounded Rectangle 132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3" name="Rounded Rectangle 132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4" name="Rounded Rectangle 132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5" name="Rounded Rectangle 132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6" name="Rounded Rectangle 132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7" name="Rounded Rectangle 132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8" name="Rounded Rectangle 132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299" name="Rounded Rectangle 132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0" name="Rounded Rectangle 132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1" name="Rounded Rectangle 133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2" name="Rounded Rectangle 133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3" name="Rounded Rectangle 133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4" name="Rounded Rectangle 133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5" name="Rounded Rectangle 133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6" name="Rounded Rectangle 133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7" name="Rounded Rectangle 133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8" name="Rounded Rectangle 133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09" name="Rounded Rectangle 133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0" name="Rounded Rectangle 133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1" name="Rounded Rectangle 133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2" name="Rounded Rectangle 133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3" name="Rounded Rectangle 133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4" name="Rounded Rectangle 133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5" name="Rounded Rectangle 133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6" name="Rounded Rectangle 133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7" name="Rounded Rectangle 133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8" name="Rounded Rectangle 133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19" name="Rounded Rectangle 133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0" name="Rounded Rectangle 133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1" name="Rounded Rectangle 133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2" name="Rounded Rectangle 133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3" name="Rounded Rectangle 133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4" name="Rounded Rectangle 133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5" name="Rounded Rectangle 133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6" name="Rounded Rectangle 133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7" name="Rounded Rectangle 133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8" name="Rounded Rectangle 133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29" name="Rounded Rectangle 133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0" name="Rounded Rectangle 133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1" name="Rounded Rectangle 133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2" name="Rounded Rectangle 133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3" name="Rounded Rectangle 133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4" name="Rounded Rectangle 133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5" name="Rounded Rectangle 133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6" name="Rounded Rectangle 133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7" name="Rounded Rectangle 133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8" name="Rounded Rectangle 133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39" name="Rounded Rectangle 133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0" name="Rounded Rectangle 133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1" name="Rounded Rectangle 133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2" name="Rounded Rectangle 133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3" name="Rounded Rectangle 133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4" name="Rounded Rectangle 133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5" name="Rounded Rectangle 133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6" name="Rounded Rectangle 133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7" name="Rounded Rectangle 133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8" name="Rounded Rectangle 133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49" name="Rounded Rectangle 133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0" name="Rounded Rectangle 133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1" name="Rounded Rectangle 133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2" name="Rounded Rectangle 133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3" name="Rounded Rectangle 133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4" name="Rounded Rectangle 133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5" name="Rounded Rectangle 133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6" name="Rounded Rectangle 133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7" name="Rounded Rectangle 133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8" name="Rounded Rectangle 133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59" name="Rounded Rectangle 133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0" name="Rounded Rectangle 133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1" name="Rounded Rectangle 133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2" name="Rounded Rectangle 133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3" name="Rounded Rectangle 133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4" name="Rounded Rectangle 133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5" name="Rounded Rectangle 133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6" name="Rounded Rectangle 133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7" name="Rounded Rectangle 133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8" name="Rounded Rectangle 133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69" name="Rounded Rectangle 133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0" name="Rounded Rectangle 133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1" name="Rounded Rectangle 133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2" name="Rounded Rectangle 133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3" name="Rounded Rectangle 133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4" name="Rounded Rectangle 133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5" name="Rounded Rectangle 133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6" name="Rounded Rectangle 133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7" name="Rounded Rectangle 133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8" name="Rounded Rectangle 133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79" name="Rounded Rectangle 133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0" name="Rounded Rectangle 133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1" name="Rounded Rectangle 133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2" name="Rounded Rectangle 133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3" name="Rounded Rectangle 133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4" name="Rounded Rectangle 133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5" name="Rounded Rectangle 133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6" name="Rounded Rectangle 133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7" name="Rounded Rectangle 133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8" name="Rounded Rectangle 133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89" name="Rounded Rectangle 133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0" name="Rounded Rectangle 133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1" name="Rounded Rectangle 133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2" name="Rounded Rectangle 133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3" name="Rounded Rectangle 133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4" name="Rounded Rectangle 133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5" name="Rounded Rectangle 133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6" name="Rounded Rectangle 133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7" name="Rounded Rectangle 133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8" name="Rounded Rectangle 133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399" name="Rounded Rectangle 133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0" name="Rounded Rectangle 133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1" name="Rounded Rectangle 134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2" name="Rounded Rectangle 134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3" name="Rounded Rectangle 134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4" name="Rounded Rectangle 134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5" name="Rounded Rectangle 134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6" name="Rounded Rectangle 134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7" name="Rounded Rectangle 134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8" name="Rounded Rectangle 134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09" name="Rounded Rectangle 134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0" name="Rounded Rectangle 134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1" name="Rounded Rectangle 134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2" name="Rounded Rectangle 134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3" name="Rounded Rectangle 134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4" name="Rounded Rectangle 134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5" name="Rounded Rectangle 134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6" name="Rounded Rectangle 134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7" name="Rounded Rectangle 134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8" name="Rounded Rectangle 134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19" name="Rounded Rectangle 134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0" name="Rounded Rectangle 134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1" name="Rounded Rectangle 134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2" name="Rounded Rectangle 134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3" name="Rounded Rectangle 134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4" name="Rounded Rectangle 134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5" name="Rounded Rectangle 134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6" name="Rounded Rectangle 134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7" name="Rounded Rectangle 134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8" name="Rounded Rectangle 134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29" name="Rounded Rectangle 134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0" name="Rounded Rectangle 134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1" name="Rounded Rectangle 134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2" name="Rounded Rectangle 134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3" name="Rounded Rectangle 134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4" name="Rounded Rectangle 134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5" name="Rounded Rectangle 134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6" name="Rounded Rectangle 134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7" name="Rounded Rectangle 134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8" name="Rounded Rectangle 134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39" name="Rounded Rectangle 134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0" name="Rounded Rectangle 134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1" name="Rounded Rectangle 134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2" name="Rounded Rectangle 134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3" name="Rounded Rectangle 134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4" name="Rounded Rectangle 134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5" name="Rounded Rectangle 134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6" name="Rounded Rectangle 134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7" name="Rounded Rectangle 134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8" name="Rounded Rectangle 134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49" name="Rounded Rectangle 134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0" name="Rounded Rectangle 134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1" name="Rounded Rectangle 134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2" name="Rounded Rectangle 134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3" name="Rounded Rectangle 134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4" name="Rounded Rectangle 134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5" name="Rounded Rectangle 134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6" name="Rounded Rectangle 134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7" name="Rounded Rectangle 134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8" name="Rounded Rectangle 134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59" name="Rounded Rectangle 134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0" name="Rounded Rectangle 134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1" name="Rounded Rectangle 134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2" name="Rounded Rectangle 134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3" name="Rounded Rectangle 134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4" name="Rounded Rectangle 134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5" name="Rounded Rectangle 134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6" name="Rounded Rectangle 134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7" name="Rounded Rectangle 134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8" name="Rounded Rectangle 134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69" name="Rounded Rectangle 134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0" name="Rounded Rectangle 134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1" name="Rounded Rectangle 134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2" name="Rounded Rectangle 134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3" name="Rounded Rectangle 134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4" name="Rounded Rectangle 134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5" name="Rounded Rectangle 134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6" name="Rounded Rectangle 134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7" name="Rounded Rectangle 134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8" name="Rounded Rectangle 134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79" name="Rounded Rectangle 134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0" name="Rounded Rectangle 134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1" name="Rounded Rectangle 134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2" name="Rounded Rectangle 134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3" name="Rounded Rectangle 134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4" name="Rounded Rectangle 134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5" name="Rounded Rectangle 134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6" name="Rounded Rectangle 134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7" name="Rounded Rectangle 134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8" name="Rounded Rectangle 134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89" name="Rounded Rectangle 134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0" name="Rounded Rectangle 134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1" name="Rounded Rectangle 134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2" name="Rounded Rectangle 134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3" name="Rounded Rectangle 134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4" name="Rounded Rectangle 134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5" name="Rounded Rectangle 134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6" name="Rounded Rectangle 134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7" name="Rounded Rectangle 134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8" name="Rounded Rectangle 134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499" name="Rounded Rectangle 134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0" name="Rounded Rectangle 134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1" name="Rounded Rectangle 135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2" name="Rounded Rectangle 135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3" name="Rounded Rectangle 135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4" name="Rounded Rectangle 135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5" name="Rounded Rectangle 135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6" name="Rounded Rectangle 135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7" name="Rounded Rectangle 135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8" name="Rounded Rectangle 135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09" name="Rounded Rectangle 135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0" name="Rounded Rectangle 135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1" name="Rounded Rectangle 135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2" name="Rounded Rectangle 135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3" name="Rounded Rectangle 135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4" name="Rounded Rectangle 135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5" name="Rounded Rectangle 135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6" name="Rounded Rectangle 135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7" name="Rounded Rectangle 135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8" name="Rounded Rectangle 135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19" name="Rounded Rectangle 135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0" name="Rounded Rectangle 135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1" name="Rounded Rectangle 135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2" name="Rounded Rectangle 135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3" name="Rounded Rectangle 135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4" name="Rounded Rectangle 135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5" name="Rounded Rectangle 135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6" name="Rounded Rectangle 135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7" name="Rounded Rectangle 135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8" name="Rounded Rectangle 135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29" name="Rounded Rectangle 135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0" name="Rounded Rectangle 135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1" name="Rounded Rectangle 135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2" name="Rounded Rectangle 135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3" name="Rounded Rectangle 135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4" name="Rounded Rectangle 135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5" name="Rounded Rectangle 135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6" name="Rounded Rectangle 135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7" name="Rounded Rectangle 135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8" name="Rounded Rectangle 135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39" name="Rounded Rectangle 135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0" name="Rounded Rectangle 135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1" name="Rounded Rectangle 135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2" name="Rounded Rectangle 135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3" name="Rounded Rectangle 135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4" name="Rounded Rectangle 135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5" name="Rounded Rectangle 135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6" name="Rounded Rectangle 135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7" name="Rounded Rectangle 135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8" name="Rounded Rectangle 135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49" name="Rounded Rectangle 135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0" name="Rounded Rectangle 135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1" name="Rounded Rectangle 135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2" name="Rounded Rectangle 135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3" name="Rounded Rectangle 135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4" name="Rounded Rectangle 135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5" name="Rounded Rectangle 135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6" name="Rounded Rectangle 135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7" name="Rounded Rectangle 135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8" name="Rounded Rectangle 135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59" name="Rounded Rectangle 135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0" name="Rounded Rectangle 135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1" name="Rounded Rectangle 135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2" name="Rounded Rectangle 135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3" name="Rounded Rectangle 135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4" name="Rounded Rectangle 135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5" name="Rounded Rectangle 135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6" name="Rounded Rectangle 135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7" name="Rounded Rectangle 135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8" name="Rounded Rectangle 135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69" name="Rounded Rectangle 135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0" name="Rounded Rectangle 135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1" name="Rounded Rectangle 135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2" name="Rounded Rectangle 135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3" name="Rounded Rectangle 135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4" name="Rounded Rectangle 135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5" name="Rounded Rectangle 135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6" name="Rounded Rectangle 135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7" name="Rounded Rectangle 135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8" name="Rounded Rectangle 135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79" name="Rounded Rectangle 135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0" name="Rounded Rectangle 135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1" name="Rounded Rectangle 135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2" name="Rounded Rectangle 135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3" name="Rounded Rectangle 135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4" name="Rounded Rectangle 135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5" name="Rounded Rectangle 135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6" name="Rounded Rectangle 135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7" name="Rounded Rectangle 135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8" name="Rounded Rectangle 135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89" name="Rounded Rectangle 135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0" name="Rounded Rectangle 135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1" name="Rounded Rectangle 135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2" name="Rounded Rectangle 135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3" name="Rounded Rectangle 135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4" name="Rounded Rectangle 135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5" name="Rounded Rectangle 135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6" name="Rounded Rectangle 135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7" name="Rounded Rectangle 135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8" name="Rounded Rectangle 135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599" name="Rounded Rectangle 135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0" name="Rounded Rectangle 135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1" name="Rounded Rectangle 136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2" name="Rounded Rectangle 136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3" name="Rounded Rectangle 136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4" name="Rounded Rectangle 136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5" name="Rounded Rectangle 136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6" name="Rounded Rectangle 136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7" name="Rounded Rectangle 136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8" name="Rounded Rectangle 136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09" name="Rounded Rectangle 136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0" name="Rounded Rectangle 136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1" name="Rounded Rectangle 136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2" name="Rounded Rectangle 136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3" name="Rounded Rectangle 136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4" name="Rounded Rectangle 136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5" name="Rounded Rectangle 136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6" name="Rounded Rectangle 136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7" name="Rounded Rectangle 136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8" name="Rounded Rectangle 136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19" name="Rounded Rectangle 136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0" name="Rounded Rectangle 136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1" name="Rounded Rectangle 136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2" name="Rounded Rectangle 136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3" name="Rounded Rectangle 136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4" name="Rounded Rectangle 136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5" name="Rounded Rectangle 136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6" name="Rounded Rectangle 136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7" name="Rounded Rectangle 136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8" name="Rounded Rectangle 136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29" name="Rounded Rectangle 136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0" name="Rounded Rectangle 136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1" name="Rounded Rectangle 136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2" name="Rounded Rectangle 136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3" name="Rounded Rectangle 136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4" name="Rounded Rectangle 136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5" name="Rounded Rectangle 136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6" name="Rounded Rectangle 136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7" name="Rounded Rectangle 136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8" name="Rounded Rectangle 136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39" name="Rounded Rectangle 136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0" name="Rounded Rectangle 136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1" name="Rounded Rectangle 136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2" name="Rounded Rectangle 136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3" name="Rounded Rectangle 136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4" name="Rounded Rectangle 136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5" name="Rounded Rectangle 136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6" name="Rounded Rectangle 136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7" name="Rounded Rectangle 136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8" name="Rounded Rectangle 136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49" name="Rounded Rectangle 136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0" name="Rounded Rectangle 136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1" name="Rounded Rectangle 136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2" name="Rounded Rectangle 136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3" name="Rounded Rectangle 136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4" name="Rounded Rectangle 136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5" name="Rounded Rectangle 136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6" name="Rounded Rectangle 136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7" name="Rounded Rectangle 136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8" name="Rounded Rectangle 136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59" name="Rounded Rectangle 136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0" name="Rounded Rectangle 136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1" name="Rounded Rectangle 136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2" name="Rounded Rectangle 136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3" name="Rounded Rectangle 136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4" name="Rounded Rectangle 136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5" name="Rounded Rectangle 136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6" name="Rounded Rectangle 136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7" name="Rounded Rectangle 136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8" name="Rounded Rectangle 136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69" name="Rounded Rectangle 136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0" name="Rounded Rectangle 136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1" name="Rounded Rectangle 136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2" name="Rounded Rectangle 136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3" name="Rounded Rectangle 136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4" name="Rounded Rectangle 136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5" name="Rounded Rectangle 136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6" name="Rounded Rectangle 136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7" name="Rounded Rectangle 136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8" name="Rounded Rectangle 136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79" name="Rounded Rectangle 136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0" name="Rounded Rectangle 136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1" name="Rounded Rectangle 136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2" name="Rounded Rectangle 136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3" name="Rounded Rectangle 136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4" name="Rounded Rectangle 136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5" name="Rounded Rectangle 136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6" name="Rounded Rectangle 136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7" name="Rounded Rectangle 136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8" name="Rounded Rectangle 136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89" name="Rounded Rectangle 136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0" name="Rounded Rectangle 136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1" name="Rounded Rectangle 136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2" name="Rounded Rectangle 136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3" name="Rounded Rectangle 136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4" name="Rounded Rectangle 136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5" name="Rounded Rectangle 136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6" name="Rounded Rectangle 136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7" name="Rounded Rectangle 136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8" name="Rounded Rectangle 136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699" name="Rounded Rectangle 136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0" name="Rounded Rectangle 136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1" name="Rounded Rectangle 137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2" name="Rounded Rectangle 137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3" name="Rounded Rectangle 137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4" name="Rounded Rectangle 137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5" name="Rounded Rectangle 137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6" name="Rounded Rectangle 137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7" name="Rounded Rectangle 137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8" name="Rounded Rectangle 137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09" name="Rounded Rectangle 137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0" name="Rounded Rectangle 137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1" name="Rounded Rectangle 137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2" name="Rounded Rectangle 137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3" name="Rounded Rectangle 137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4" name="Rounded Rectangle 137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5" name="Rounded Rectangle 137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6" name="Rounded Rectangle 137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7" name="Rounded Rectangle 137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8" name="Rounded Rectangle 137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19" name="Rounded Rectangle 137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0" name="Rounded Rectangle 137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1" name="Rounded Rectangle 137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2" name="Rounded Rectangle 137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3" name="Rounded Rectangle 137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4" name="Rounded Rectangle 137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5" name="Rounded Rectangle 137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6" name="Rounded Rectangle 137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7" name="Rounded Rectangle 137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8" name="Rounded Rectangle 137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29" name="Rounded Rectangle 137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0" name="Rounded Rectangle 137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1" name="Rounded Rectangle 137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2" name="Rounded Rectangle 137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3" name="Rounded Rectangle 137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4" name="Rounded Rectangle 137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5" name="Rounded Rectangle 137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6" name="Rounded Rectangle 137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7" name="Rounded Rectangle 137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8" name="Rounded Rectangle 1373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39" name="Rounded Rectangle 1373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0" name="Rounded Rectangle 1373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1" name="Rounded Rectangle 1374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2" name="Rounded Rectangle 1374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3" name="Rounded Rectangle 1374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4" name="Rounded Rectangle 1374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5" name="Rounded Rectangle 1374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6" name="Rounded Rectangle 1374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7" name="Rounded Rectangle 1374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8" name="Rounded Rectangle 1374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49" name="Rounded Rectangle 1374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0" name="Rounded Rectangle 1374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1" name="Rounded Rectangle 1375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2" name="Rounded Rectangle 1375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3" name="Rounded Rectangle 1375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4" name="Rounded Rectangle 1375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5" name="Rounded Rectangle 1375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6" name="Rounded Rectangle 1375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7" name="Rounded Rectangle 1375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8" name="Rounded Rectangle 1375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59" name="Rounded Rectangle 1375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0" name="Rounded Rectangle 1375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1" name="Rounded Rectangle 1376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2" name="Rounded Rectangle 1376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3" name="Rounded Rectangle 1376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4" name="Rounded Rectangle 1376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5" name="Rounded Rectangle 1376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6" name="Rounded Rectangle 1376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7" name="Rounded Rectangle 1376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8" name="Rounded Rectangle 1376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69" name="Rounded Rectangle 1376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0" name="Rounded Rectangle 1376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1" name="Rounded Rectangle 1377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2" name="Rounded Rectangle 1377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3" name="Rounded Rectangle 1377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4" name="Rounded Rectangle 1377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5" name="Rounded Rectangle 1377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6" name="Rounded Rectangle 1377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7" name="Rounded Rectangle 1377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8" name="Rounded Rectangle 1377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79" name="Rounded Rectangle 1377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0" name="Rounded Rectangle 1377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1" name="Rounded Rectangle 1378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2" name="Rounded Rectangle 1378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3" name="Rounded Rectangle 1378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4" name="Rounded Rectangle 1378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5" name="Rounded Rectangle 1378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6" name="Rounded Rectangle 1378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7" name="Rounded Rectangle 1378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8" name="Rounded Rectangle 1378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89" name="Rounded Rectangle 1378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0" name="Rounded Rectangle 1378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1" name="Rounded Rectangle 1379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2" name="Rounded Rectangle 1379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3" name="Rounded Rectangle 1379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4" name="Rounded Rectangle 1379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5" name="Rounded Rectangle 1379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6" name="Rounded Rectangle 1379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7" name="Rounded Rectangle 1379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8" name="Rounded Rectangle 1379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799" name="Rounded Rectangle 1379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0" name="Rounded Rectangle 1379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1" name="Rounded Rectangle 1380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2" name="Rounded Rectangle 1380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3" name="Rounded Rectangle 1380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4" name="Rounded Rectangle 1380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5" name="Rounded Rectangle 1380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6" name="Rounded Rectangle 1380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7" name="Rounded Rectangle 1380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8" name="Rounded Rectangle 1380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09" name="Rounded Rectangle 1380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0" name="Rounded Rectangle 1380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1" name="Rounded Rectangle 1381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2" name="Rounded Rectangle 1381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3" name="Rounded Rectangle 1381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4" name="Rounded Rectangle 1381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5" name="Rounded Rectangle 1381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6" name="Rounded Rectangle 1381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7" name="Rounded Rectangle 1381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8" name="Rounded Rectangle 1381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19" name="Rounded Rectangle 1381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0" name="Rounded Rectangle 1381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1" name="Rounded Rectangle 1382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2" name="Rounded Rectangle 1382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3" name="Rounded Rectangle 1382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4" name="Rounded Rectangle 1382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5" name="Rounded Rectangle 1382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6" name="Rounded Rectangle 1382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7" name="Rounded Rectangle 1382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8" name="Rounded Rectangle 13827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29" name="Rounded Rectangle 13828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0" name="Rounded Rectangle 13829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1" name="Rounded Rectangle 13830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2" name="Rounded Rectangle 13831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3" name="Rounded Rectangle 13832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4" name="Rounded Rectangle 13833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5" name="Rounded Rectangle 13834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6" name="Rounded Rectangle 13835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  <xdr:twoCellAnchor>
    <xdr:from>
      <xdr:col>26</xdr:col>
      <xdr:colOff>161924</xdr:colOff>
      <xdr:row>0</xdr:row>
      <xdr:rowOff>47624</xdr:rowOff>
    </xdr:from>
    <xdr:to>
      <xdr:col>30</xdr:col>
      <xdr:colOff>419099</xdr:colOff>
      <xdr:row>1</xdr:row>
      <xdr:rowOff>0</xdr:rowOff>
    </xdr:to>
    <xdr:sp macro="[2]!Show_Form" textlink="">
      <xdr:nvSpPr>
        <xdr:cNvPr id="13837" name="Rounded Rectangle 13836"/>
        <xdr:cNvSpPr/>
      </xdr:nvSpPr>
      <xdr:spPr>
        <a:xfrm>
          <a:off x="32108774" y="47624"/>
          <a:ext cx="3762375" cy="1143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BACK</a:t>
          </a:r>
          <a:r>
            <a:rPr lang="en-US" sz="1500" b="1" baseline="0"/>
            <a:t> TO FORM</a:t>
          </a:r>
          <a:endParaRPr lang="en-US" sz="15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251460</xdr:colOff>
      <xdr:row>0</xdr:row>
      <xdr:rowOff>182880</xdr:rowOff>
    </xdr:from>
    <xdr:to>
      <xdr:col>33</xdr:col>
      <xdr:colOff>0</xdr:colOff>
      <xdr:row>2</xdr:row>
      <xdr:rowOff>220980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2821900" y="182880"/>
          <a:ext cx="188214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BACK TO FORM</a:t>
          </a:r>
        </a:p>
      </xdr:txBody>
    </xdr:sp>
    <xdr:clientData/>
  </xdr:twoCellAnchor>
  <xdr:twoCellAnchor>
    <xdr:from>
      <xdr:col>30</xdr:col>
      <xdr:colOff>251460</xdr:colOff>
      <xdr:row>2</xdr:row>
      <xdr:rowOff>289560</xdr:rowOff>
    </xdr:from>
    <xdr:to>
      <xdr:col>33</xdr:col>
      <xdr:colOff>0</xdr:colOff>
      <xdr:row>3</xdr:row>
      <xdr:rowOff>327660</xdr:rowOff>
    </xdr:to>
    <xdr:sp macro="[0]!Workbook_Close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8674060" y="685800"/>
          <a:ext cx="188214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Close PQSP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205740</xdr:colOff>
      <xdr:row>0</xdr:row>
      <xdr:rowOff>38100</xdr:rowOff>
    </xdr:from>
    <xdr:to>
      <xdr:col>21</xdr:col>
      <xdr:colOff>541020</xdr:colOff>
      <xdr:row>1</xdr:row>
      <xdr:rowOff>213360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5407640" y="38100"/>
          <a:ext cx="179832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r>
            <a:rPr lang="en-US" sz="15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 FORM</a:t>
          </a:r>
          <a:endParaRPr lang="en-US" sz="15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632460</xdr:colOff>
      <xdr:row>0</xdr:row>
      <xdr:rowOff>45720</xdr:rowOff>
    </xdr:from>
    <xdr:to>
      <xdr:col>24</xdr:col>
      <xdr:colOff>243840</xdr:colOff>
      <xdr:row>1</xdr:row>
      <xdr:rowOff>220980</xdr:rowOff>
    </xdr:to>
    <xdr:sp macro="[0]!Workbook_Clos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7297400" y="45720"/>
          <a:ext cx="1798320" cy="43434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Close PQSP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525780</xdr:colOff>
      <xdr:row>0</xdr:row>
      <xdr:rowOff>350520</xdr:rowOff>
    </xdr:from>
    <xdr:to>
      <xdr:col>57</xdr:col>
      <xdr:colOff>480060</xdr:colOff>
      <xdr:row>0</xdr:row>
      <xdr:rowOff>784860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36149280" y="35052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57</xdr:col>
      <xdr:colOff>556260</xdr:colOff>
      <xdr:row>0</xdr:row>
      <xdr:rowOff>335280</xdr:rowOff>
    </xdr:from>
    <xdr:to>
      <xdr:col>59</xdr:col>
      <xdr:colOff>510540</xdr:colOff>
      <xdr:row>0</xdr:row>
      <xdr:rowOff>769620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7398960" y="33528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15240</xdr:colOff>
      <xdr:row>0</xdr:row>
      <xdr:rowOff>556260</xdr:rowOff>
    </xdr:from>
    <xdr:to>
      <xdr:col>57</xdr:col>
      <xdr:colOff>579120</xdr:colOff>
      <xdr:row>0</xdr:row>
      <xdr:rowOff>990600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4152840" y="55626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58</xdr:col>
      <xdr:colOff>45720</xdr:colOff>
      <xdr:row>0</xdr:row>
      <xdr:rowOff>541020</xdr:rowOff>
    </xdr:from>
    <xdr:to>
      <xdr:col>60</xdr:col>
      <xdr:colOff>0</xdr:colOff>
      <xdr:row>0</xdr:row>
      <xdr:rowOff>975360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5402520" y="541020"/>
          <a:ext cx="11734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15240</xdr:colOff>
      <xdr:row>0</xdr:row>
      <xdr:rowOff>556260</xdr:rowOff>
    </xdr:from>
    <xdr:to>
      <xdr:col>57</xdr:col>
      <xdr:colOff>579120</xdr:colOff>
      <xdr:row>0</xdr:row>
      <xdr:rowOff>990600</xdr:rowOff>
    </xdr:to>
    <xdr:sp macro="[0]!Show_Form" textlink="">
      <xdr:nvSpPr>
        <xdr:cNvPr id="2" name="Rectangle 1">
          <a:extLst>
            <a:ext uri="{FF2B5EF4-FFF2-40B4-BE49-F238E27FC236}">
              <a16:creationId xmlns:a16="http://schemas.microsoft.com/office/drawing/2014/main" id="{88B5ACB0-AC8E-48CF-9C0E-A6AAF8B1B67C}"/>
            </a:ext>
          </a:extLst>
        </xdr:cNvPr>
        <xdr:cNvSpPr/>
      </xdr:nvSpPr>
      <xdr:spPr>
        <a:xfrm>
          <a:off x="34733865" y="556260"/>
          <a:ext cx="115443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Form</a:t>
          </a:r>
        </a:p>
      </xdr:txBody>
    </xdr:sp>
    <xdr:clientData/>
  </xdr:twoCellAnchor>
  <xdr:twoCellAnchor>
    <xdr:from>
      <xdr:col>58</xdr:col>
      <xdr:colOff>45720</xdr:colOff>
      <xdr:row>0</xdr:row>
      <xdr:rowOff>541020</xdr:rowOff>
    </xdr:from>
    <xdr:to>
      <xdr:col>60</xdr:col>
      <xdr:colOff>0</xdr:colOff>
      <xdr:row>0</xdr:row>
      <xdr:rowOff>975360</xdr:rowOff>
    </xdr:to>
    <xdr:sp macro="[0]!Workbook_Close" textlink="">
      <xdr:nvSpPr>
        <xdr:cNvPr id="3" name="Rectangle 2">
          <a:extLst>
            <a:ext uri="{FF2B5EF4-FFF2-40B4-BE49-F238E27FC236}">
              <a16:creationId xmlns:a16="http://schemas.microsoft.com/office/drawing/2014/main" id="{6DD112AC-BFF0-4727-9B6D-9003C62DE623}"/>
            </a:ext>
          </a:extLst>
        </xdr:cNvPr>
        <xdr:cNvSpPr/>
      </xdr:nvSpPr>
      <xdr:spPr>
        <a:xfrm>
          <a:off x="35945445" y="541020"/>
          <a:ext cx="1135380" cy="434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PQSP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inal%20List\OctoberASJ.PHP%20%20%20%202021..Unit%20Policy%20-%20Template%20v7.4%20%2002-02-2021%20-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faid%20Muhammad%20Khan/Desktop/Automated%20(PQSP%20V%201.2021.07.00)%20(5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D-NAME"/>
      <sheetName val="DataSheet"/>
      <sheetName val="SessionsSum"/>
      <sheetName val="CivilSum"/>
      <sheetName val="ccYw"/>
      <sheetName val="scYw"/>
      <sheetName val="Check List"/>
      <sheetName val="sc-CatYW"/>
      <sheetName val="cc-CatYW"/>
      <sheetName val="Performance"/>
      <sheetName val="Control Center"/>
      <sheetName val="SummarySessionsCourt"/>
      <sheetName val="SessionsCourt"/>
      <sheetName val="YWSessionsCourt"/>
      <sheetName val="SummaryCivilCourt"/>
      <sheetName val="CivilCourt"/>
      <sheetName val="YWCivilCourt"/>
      <sheetName val="Chronological List(Criminal)"/>
      <sheetName val="Chronological List(Civil)"/>
    </sheetNames>
    <sheetDataSet>
      <sheetData sheetId="0" refreshError="1"/>
      <sheetData sheetId="1">
        <row r="126">
          <cell r="M126" t="str">
            <v>Contested - Less than  1 Year</v>
          </cell>
        </row>
        <row r="127">
          <cell r="M127" t="str">
            <v>Contested - More than 1 and less than 2 Years</v>
          </cell>
        </row>
        <row r="128">
          <cell r="M128" t="str">
            <v>Contested - More than 2 and less than 3 Years</v>
          </cell>
        </row>
        <row r="129">
          <cell r="M129" t="str">
            <v>Contested - More than 3 and less than 4 Years</v>
          </cell>
        </row>
        <row r="130">
          <cell r="M130" t="str">
            <v>Contested - 4 years old &amp; more old</v>
          </cell>
        </row>
        <row r="131">
          <cell r="M131" t="str">
            <v>Contested - Summary Judgement</v>
          </cell>
        </row>
        <row r="132">
          <cell r="M132" t="str">
            <v>Other than Summary Judgement</v>
          </cell>
        </row>
        <row r="133">
          <cell r="M133" t="str">
            <v>U/S 89-A, order 10 R-1 (A) C.P.C.</v>
          </cell>
        </row>
        <row r="134">
          <cell r="M134" t="str">
            <v>Other un-contested</v>
          </cell>
        </row>
        <row r="135">
          <cell r="M135" t="str">
            <v>Exparte based on evidence</v>
          </cell>
        </row>
        <row r="136">
          <cell r="M136" t="str">
            <v>Default/Exparte (No units)</v>
          </cell>
        </row>
        <row r="137">
          <cell r="M137" t="str">
            <v>Dismissed in Default (DD)</v>
          </cell>
        </row>
        <row r="138">
          <cell r="M138" t="str">
            <v>Transfer Out (TO)</v>
          </cell>
        </row>
        <row r="139">
          <cell r="M139" t="str">
            <v>Remanded Out (RO)</v>
          </cell>
        </row>
        <row r="140">
          <cell r="M140" t="str">
            <v>Non-Proceeding (NP)</v>
          </cell>
        </row>
        <row r="141">
          <cell r="M141" t="str">
            <v>Other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YWSmry"/>
      <sheetName val="Database"/>
      <sheetName val="SearchData"/>
      <sheetName val="Print"/>
      <sheetName val="Support"/>
      <sheetName val="JudgeProfile"/>
      <sheetName val="Autogenerated Template"/>
      <sheetName val="Sheet1"/>
      <sheetName val="Summary Sheet"/>
      <sheetName val="Automated (PQSP V 1.2021.07"/>
    </sheetNames>
    <definedNames>
      <definedName name="Show_Form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5111.382820486113" createdVersion="6" refreshedVersion="6" minRefreshableVersion="3" recordCount="694">
  <cacheSource type="worksheet">
    <worksheetSource ref="A1:BB1048576" sheet="Database"/>
  </cacheSource>
  <cacheFields count="54">
    <cacheField name="SNo" numFmtId="0">
      <sharedItems containsString="0" containsBlank="1" containsNumber="1" containsInteger="1" minValue="1" maxValue="693"/>
    </cacheField>
    <cacheField name="Case No" numFmtId="49">
      <sharedItems containsBlank="1"/>
    </cacheField>
    <cacheField name="Case Title" numFmtId="0">
      <sharedItems containsBlank="1"/>
    </cacheField>
    <cacheField name="Court Level" numFmtId="0">
      <sharedItems containsBlank="1"/>
    </cacheField>
    <cacheField name="Case Type" numFmtId="0">
      <sharedItems containsBlank="1" count="3">
        <s v="Civil"/>
        <s v="Criminal"/>
        <m/>
      </sharedItems>
    </cacheField>
    <cacheField name="Category Per PQS" numFmtId="0">
      <sharedItems containsBlank="1" count="47">
        <s v="Civil-002-Civil Suit"/>
        <s v="Civil-003-Suits under Order 37 CPC"/>
        <s v="Civil-009-Land Acquisition Cases"/>
        <s v="Civil-015-Execution Petitions"/>
        <s v="Civil-017-Others"/>
        <s v="Civil-018-Other Civil Misc Applications"/>
        <s v="Civil-019-Application under section 12(2) CPC"/>
        <s v="Civil-021-Objection Petitions"/>
        <s v="Civil-022-Civil Appeals"/>
        <s v="Civil-023-Civil Revisions"/>
        <s v="Civil-025-Family Appeals"/>
        <s v="Civil-026-Rent Appeals"/>
        <s v="Civil-027-Civil Appeals against Orders"/>
        <s v="CR-001-Homicide"/>
        <s v="CR-002-Attempt to Murder"/>
        <s v="CR-004-Hurt Cases"/>
        <s v="CR-006-Arms &amp; Amunation"/>
        <s v="CR-010-Complaint Cases"/>
        <s v="CR-011-Norcotics Substances"/>
        <s v="CR-013-Offences against Children"/>
        <s v="CR-014-Offences Against Property"/>
        <s v="CR-015-Sexual Offences"/>
        <s v="CR-020-Bail Applications"/>
        <s v="CR-021-Other Criminal Misc Applications"/>
        <s v="CR-024-Cases under other laws"/>
        <s v="CR-026-Criminal Revisions"/>
        <s v="CR-027-Other PPC related cases(Not Listed in above Categories)"/>
        <m/>
        <s v="CR-022-Case under Forest Laws, Motor Vehicle Laws, Food Law" u="1"/>
        <s v="CR-019-Security Proceedings u/s 107/51" u="1"/>
        <s v="Civil-013-Small Claims" u="1"/>
        <s v="Civil-008-Guardianship Cases" u="1"/>
        <s v="CR-005-Abduction/Kidnapping" u="1"/>
        <s v="Civil-029-Execution Petitions Against Government" u="1"/>
        <s v="Civil-001-Civil Suits (Original Jurisdiction)" u="1"/>
        <s v="CR-025-Criminal Appeals" u="1"/>
        <s v="Civil-007-Succession Cases" u="1"/>
        <s v="CR-018-Proceedings Under Section 133 and 145 Cr. P.C " u="1"/>
        <s v="CR-018-Proceedings Under Section 133 and 145 Cr. P.C" u="1"/>
        <s v="Civil-006-Family Court Cases" u="1"/>
        <s v="Civil-014-Execution in which periodic payments are made" u="1"/>
        <s v="Civil-010-Rent Cases" u="1"/>
        <s v="CR-017-Proceedings u/s 514 Cr. P.C" u="1"/>
        <s v="CR-023-Other Local and Special Laws" u="1"/>
        <s v="CR-007-Hudood Laws" u="1"/>
        <s v="CR-028-Financial Crimes-489-F PPC" u="1"/>
        <s v="Civil-017-Other Civil Misc. Applications" u="1"/>
      </sharedItems>
    </cacheField>
    <cacheField name="Date of Institution " numFmtId="0">
      <sharedItems containsNonDate="0" containsDate="1" containsString="0" containsBlank="1" minDate="2004-06-04T00:00:00" maxDate="2023-06-27T00:00:00"/>
    </cacheField>
    <cacheField name="Date of Transfer In" numFmtId="0">
      <sharedItems containsNonDate="0" containsDate="1" containsString="0" containsBlank="1" minDate="2020-06-13T00:00:00" maxDate="2022-12-07T00:00:00"/>
    </cacheField>
    <cacheField name="Date of Other Institution" numFmtId="0">
      <sharedItems containsNonDate="0" containsDate="1" containsString="0" containsBlank="1" minDate="2022-10-06T00:00:00" maxDate="2023-06-27T00:00:00"/>
    </cacheField>
    <cacheField name="Institution Flag" numFmtId="0">
      <sharedItems containsBlank="1"/>
    </cacheField>
    <cacheField name="Date of Disposal Transfer Out" numFmtId="0">
      <sharedItems containsNonDate="0" containsDate="1" containsString="0" containsBlank="1" minDate="2023-06-03T00:00:00" maxDate="2023-06-28T00:00:00"/>
    </cacheField>
    <cacheField name="Disposal OR Transfer Out Flag" numFmtId="0">
      <sharedItems containsBlank="1"/>
    </cacheField>
    <cacheField name="Disposal Mode Flag" numFmtId="0">
      <sharedItems containsBlank="1"/>
    </cacheField>
    <cacheField name="Current Pendency Stage" numFmtId="0">
      <sharedItems containsBlank="1"/>
    </cacheField>
    <cacheField name="Remarks" numFmtId="0">
      <sharedItems containsBlank="1"/>
    </cacheField>
    <cacheField name="Institution Status" numFmtId="0">
      <sharedItems containsBlank="1"/>
    </cacheField>
    <cacheField name="Submitted By" numFmtId="0">
      <sharedItems containsBlank="1"/>
    </cacheField>
    <cacheField name="Submitted On" numFmtId="0">
      <sharedItems containsDate="1" containsBlank="1" containsMixedTypes="1" minDate="2022-01-10T10:51:31" maxDate="2023-03-07T15:35:01"/>
    </cacheField>
    <cacheField name="Institution Year" numFmtId="0">
      <sharedItems containsDate="1" containsString="0" containsBlank="1" containsMixedTypes="1" minDate="1900-01-01T10:40:04" maxDate="1900-01-05T02:40:04" count="18">
        <n v="2018"/>
        <n v="2019"/>
        <n v="2020"/>
        <n v="2021"/>
        <n v="2022"/>
        <n v="2023"/>
        <n v="2017"/>
        <n v="2004"/>
        <n v="2011"/>
        <n v="2013"/>
        <n v="2015"/>
        <n v="2016"/>
        <m/>
        <n v="1992" u="1"/>
        <n v="2002" u="1"/>
        <d v="1905-07-13T00:00:00" u="1"/>
        <n v="2014" u="1"/>
        <n v="2012" u="1"/>
      </sharedItems>
    </cacheField>
    <cacheField name="PendingStatus" numFmtId="0">
      <sharedItems containsBlank="1" count="3">
        <s v="Pending"/>
        <s v="Not Pending"/>
        <m/>
      </sharedItems>
    </cacheField>
    <cacheField name="PID" numFmtId="0">
      <sharedItems containsBlank="1"/>
    </cacheField>
    <cacheField name="Pname" numFmtId="0">
      <sharedItems containsBlank="1"/>
    </cacheField>
    <cacheField name="CourtID" numFmtId="0">
      <sharedItems containsBlank="1"/>
    </cacheField>
    <cacheField name="Station" numFmtId="0">
      <sharedItems containsBlank="1"/>
    </cacheField>
    <cacheField name="MonthYear" numFmtId="0">
      <sharedItems containsNonDate="0" containsDate="1" containsString="0" containsBlank="1" minDate="2023-06-01T00:00:00" maxDate="2023-06-02T00:00:00"/>
    </cacheField>
    <cacheField name="Related To" numFmtId="0">
      <sharedItems containsBlank="1"/>
    </cacheField>
    <cacheField name="Thana" numFmtId="0">
      <sharedItems containsBlank="1"/>
    </cacheField>
    <cacheField name="Designation" numFmtId="0">
      <sharedItems containsBlank="1"/>
    </cacheField>
    <cacheField name="Court Status" numFmtId="0">
      <sharedItems containsBlank="1"/>
    </cacheField>
    <cacheField name="TehsilCode" numFmtId="0">
      <sharedItems containsBlank="1" containsMixedTypes="1" containsNumber="1" containsInteger="1" minValue="900" maxValue="900"/>
    </cacheField>
    <cacheField name="DIstrictCOde" numFmtId="0">
      <sharedItems containsBlank="1" containsMixedTypes="1" containsNumber="1" containsInteger="1" minValue="900" maxValue="900"/>
    </cacheField>
    <cacheField name="Council Party 1" numFmtId="0">
      <sharedItems containsBlank="1"/>
    </cacheField>
    <cacheField name="Council Party 2" numFmtId="0">
      <sharedItems containsBlank="1"/>
    </cacheField>
    <cacheField name="Act" numFmtId="0">
      <sharedItems containsBlank="1"/>
    </cacheField>
    <cacheField name="Section" numFmtId="0">
      <sharedItems containsBlank="1"/>
    </cacheField>
    <cacheField name="Next Hearing Date" numFmtId="0">
      <sharedItems containsDate="1" containsBlank="1" containsMixedTypes="1" minDate="2022-11-05T00:00:00" maxDate="2025-03-14T00:00:00"/>
    </cacheField>
    <cacheField name="FIR NO" numFmtId="0">
      <sharedItems containsBlank="1"/>
    </cacheField>
    <cacheField name="FIR Date" numFmtId="0">
      <sharedItems containsDate="1" containsBlank="1" containsMixedTypes="1" minDate="2017-04-30T00:00:00" maxDate="2023-02-05T00:00:00"/>
    </cacheField>
    <cacheField name="Zone" numFmtId="0">
      <sharedItems containsBlank="1"/>
    </cacheField>
    <cacheField name="Is UTP Case" numFmtId="0">
      <sharedItems containsBlank="1"/>
    </cacheField>
    <cacheField name="Date _When case was put to Trial (dd-mmm-yyyy)" numFmtId="0">
      <sharedItems containsNonDate="0" containsDate="1" containsString="0" containsBlank="1" minDate="2017-07-06T00:00:00" maxDate="2023-02-15T00:00:00"/>
    </cacheField>
    <cacheField name="Male" numFmtId="0">
      <sharedItems containsString="0" containsBlank="1" containsNumber="1" containsInteger="1" minValue="1" maxValue="4"/>
    </cacheField>
    <cacheField name="Female" numFmtId="0">
      <sharedItems containsString="0" containsBlank="1" containsNumber="1" containsInteger="1" minValue="0" maxValue="0"/>
    </cacheField>
    <cacheField name="Juvenile" numFmtId="0">
      <sharedItems containsString="0" containsBlank="1" containsNumber="1" containsInteger="1" minValue="0" maxValue="0"/>
    </cacheField>
    <cacheField name="Total UTPS" numFmtId="0">
      <sharedItems containsString="0" containsBlank="1" containsNumber="1" containsInteger="1" minValue="1" maxValue="4"/>
    </cacheField>
    <cacheField name="65 Years &amp; Above in Total#" numFmtId="2">
      <sharedItems containsString="0" containsBlank="1" containsNumber="1" containsInteger="1" minValue="0" maxValue="1"/>
    </cacheField>
    <cacheField name="Remaining Witness to be Examined" numFmtId="0">
      <sharedItems containsString="0" containsBlank="1" containsNumber="1" containsInteger="1" minValue="3" maxValue="25"/>
    </cacheField>
    <cacheField name="Last _Hearing Date_(dd-mm-yyyy)" numFmtId="0">
      <sharedItems containsDate="1" containsBlank="1" containsMixedTypes="1" minDate="2022-10-12T00:00:00" maxDate="2023-02-28T00:00:00"/>
    </cacheField>
    <cacheField name="Number of hearing since case is put in trial" numFmtId="0">
      <sharedItems containsString="0" containsBlank="1" containsNumber="1" containsInteger="1" minValue="1" maxValue="41"/>
    </cacheField>
    <cacheField name="Number of hearing since case is in current stage" numFmtId="0">
      <sharedItems containsString="0" containsBlank="1" containsNumber="1" containsInteger="1" minValue="1" maxValue="25"/>
    </cacheField>
    <cacheField name="Reason for _Delay or No Proceedings" numFmtId="0">
      <sharedItems containsBlank="1"/>
    </cacheField>
    <cacheField name="If, Other _then write down the detail" numFmtId="0">
      <sharedItems containsBlank="1"/>
    </cacheField>
    <cacheField name="Incumbency Status" numFmtId="0">
      <sharedItems containsBlank="1"/>
    </cacheField>
    <cacheField name="Judge Designation Categari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4">
  <r>
    <n v="1"/>
    <s v="29/1 Neem"/>
    <s v="Malak Ihsan Rauf Vs Govt etc"/>
    <s v="Session"/>
    <x v="0"/>
    <x v="0"/>
    <d v="2018-07-20T00:00:00"/>
    <m/>
    <d v="2023-02-11T00:00:00"/>
    <s v="Remanded"/>
    <m/>
    <s v=""/>
    <s v=""/>
    <s v="Attendance"/>
    <s v=""/>
    <s v="Last Month Pendency"/>
    <s v="Windows User"/>
    <s v="24-02-2023 10:23:17"/>
    <x v="0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"/>
    <s v="33/1"/>
    <s v="Muhammad Said etc Vs Govt kpk etc"/>
    <s v="Session"/>
    <x v="0"/>
    <x v="0"/>
    <d v="2018-09-15T00:00:00"/>
    <d v="2020-10-01T00:00:00"/>
    <m/>
    <m/>
    <m/>
    <m/>
    <m/>
    <s v="Attendance"/>
    <m/>
    <s v="Last Month Pendency"/>
    <s v="Windows User"/>
    <d v="2022-01-10T10:51:31"/>
    <x v="0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"/>
    <s v="13/1"/>
    <s v="Haji Muhammad Iqbal Vs govt kpk etc"/>
    <s v="Session"/>
    <x v="0"/>
    <x v="0"/>
    <d v="2018-11-29T00:00:00"/>
    <d v="2020-06-18T00:00:00"/>
    <m/>
    <m/>
    <m/>
    <m/>
    <m/>
    <s v="Attendance"/>
    <m/>
    <s v="Last Month Pendency"/>
    <s v="Windows User"/>
    <d v="2022-01-10T10:53:49"/>
    <x v="0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4"/>
    <s v="14/1"/>
    <s v="Syed Afzal Mabood Jan Vs DC dir"/>
    <s v="Session"/>
    <x v="0"/>
    <x v="0"/>
    <d v="2018-12-29T00:00:00"/>
    <d v="2020-06-18T00:00:00"/>
    <m/>
    <m/>
    <m/>
    <m/>
    <m/>
    <s v="Attendance"/>
    <m/>
    <s v="Last Month Pendency"/>
    <s v="Windows User"/>
    <d v="2022-01-10T10:55:17"/>
    <x v="0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5"/>
    <s v="24/1"/>
    <s v="Nazir Muhammad Vs Saif Ullah"/>
    <s v="Session"/>
    <x v="0"/>
    <x v="0"/>
    <d v="2019-04-19T00:00:00"/>
    <d v="2020-07-03T00:00:00"/>
    <m/>
    <m/>
    <m/>
    <m/>
    <m/>
    <s v="Attendance"/>
    <m/>
    <s v="Last Month Pendency"/>
    <s v="Windows User"/>
    <d v="2022-01-10T11:00:30"/>
    <x v="1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"/>
    <s v="34/1"/>
    <s v="Ubaid Ur Rehman Vs Govt etc"/>
    <s v="Session"/>
    <x v="0"/>
    <x v="0"/>
    <d v="2020-10-27T00:00:00"/>
    <m/>
    <m/>
    <m/>
    <m/>
    <m/>
    <m/>
    <s v="Attendance"/>
    <m/>
    <s v="Last Month Pendency"/>
    <s v="Windows User"/>
    <d v="2022-01-10T11:25:34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"/>
    <s v="35/1"/>
    <s v="Gul Hamid Jan Vs Govt KPK etc"/>
    <s v="Session"/>
    <x v="0"/>
    <x v="0"/>
    <d v="2020-11-04T00:00:00"/>
    <m/>
    <m/>
    <m/>
    <m/>
    <m/>
    <m/>
    <s v="Attendance"/>
    <m/>
    <s v="Last Month Pendency"/>
    <s v="Windows User"/>
    <d v="2022-01-10T11:39:3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"/>
    <s v="37/1"/>
    <s v="Malak Gul Sheren Zada Vs Govt etc"/>
    <s v="Session"/>
    <x v="0"/>
    <x v="0"/>
    <d v="2020-11-18T00:00:00"/>
    <m/>
    <m/>
    <m/>
    <m/>
    <m/>
    <m/>
    <s v="Attendance"/>
    <m/>
    <s v="Last Month Pendency"/>
    <s v="Windows User"/>
    <d v="2022-01-10T11:40:5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"/>
    <s v="34/1"/>
    <s v="Inayat Ul Haq Vs Hayat Muhammad Khan etc"/>
    <s v="Session"/>
    <x v="0"/>
    <x v="0"/>
    <d v="2021-02-28T00:00:00"/>
    <d v="2021-10-02T00:00:00"/>
    <m/>
    <m/>
    <m/>
    <m/>
    <m/>
    <s v="Attendance"/>
    <m/>
    <s v="Last Month Pendency"/>
    <s v="Windows User"/>
    <d v="2022-01-10T11:44:07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"/>
    <s v="9/1"/>
    <s v="Amir Afzal Vs Govt etc"/>
    <s v="Session"/>
    <x v="0"/>
    <x v="0"/>
    <d v="2021-03-19T00:00:00"/>
    <m/>
    <m/>
    <m/>
    <m/>
    <m/>
    <m/>
    <s v="Attendance"/>
    <m/>
    <s v="Last Month Pendency"/>
    <s v="Windows User"/>
    <d v="2022-01-10T11:44:48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"/>
    <s v="16/1"/>
    <s v="Syed Karim Shah Vs Govt etc"/>
    <s v="Session"/>
    <x v="0"/>
    <x v="0"/>
    <d v="2021-06-10T00:00:00"/>
    <m/>
    <m/>
    <m/>
    <m/>
    <m/>
    <m/>
    <s v="Attendance"/>
    <m/>
    <s v="Last Month Pendency"/>
    <s v="Windows User"/>
    <d v="2022-01-10T11:51:58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"/>
    <s v="19/1"/>
    <s v="Muhammad Ibrahim etc Vs Waqas Khan etc"/>
    <s v="Session"/>
    <x v="0"/>
    <x v="0"/>
    <d v="2021-06-21T00:00:00"/>
    <m/>
    <m/>
    <m/>
    <m/>
    <m/>
    <m/>
    <s v="Defendant Evidence"/>
    <m/>
    <s v="Last Month Pendency"/>
    <s v="Windows User"/>
    <d v="2022-01-10T11:52:55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"/>
    <s v="20/1"/>
    <s v="Shah Nawaz Vs Zia Ul Islam"/>
    <s v="Session"/>
    <x v="0"/>
    <x v="0"/>
    <d v="2021-06-25T00:00:00"/>
    <m/>
    <m/>
    <m/>
    <m/>
    <m/>
    <m/>
    <s v="Attendance"/>
    <m/>
    <s v="Last Month Pendency"/>
    <s v="Windows User"/>
    <d v="2022-01-10T11:53:37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"/>
    <s v="23/1"/>
    <s v="Mahboob Zada Vs She Ullah"/>
    <s v="Session"/>
    <x v="0"/>
    <x v="0"/>
    <d v="2021-09-06T00:00:00"/>
    <m/>
    <m/>
    <m/>
    <m/>
    <m/>
    <m/>
    <s v="Attendance"/>
    <m/>
    <s v="Last Month Pendency"/>
    <s v="Windows User"/>
    <d v="2022-01-10T11:54:14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5"/>
    <s v="25/1"/>
    <s v="Amin Ur Rehman Vs Haider Shah"/>
    <s v="Session"/>
    <x v="0"/>
    <x v="0"/>
    <d v="2021-09-06T00:00:00"/>
    <m/>
    <m/>
    <m/>
    <m/>
    <m/>
    <m/>
    <s v="Attendance"/>
    <m/>
    <s v="Last Month Pendency"/>
    <s v="Windows User"/>
    <d v="2022-01-10T11:55:42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6"/>
    <s v="29/1"/>
    <s v="Shafi Ur Rehman Vs Nagin Khan"/>
    <s v="Session"/>
    <x v="0"/>
    <x v="0"/>
    <d v="2021-10-20T00:00:00"/>
    <m/>
    <m/>
    <m/>
    <m/>
    <m/>
    <m/>
    <s v="Attendance"/>
    <m/>
    <s v="Last Month Pendency"/>
    <s v="Windows User"/>
    <d v="2022-01-10T11:57:17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7"/>
    <s v="33/1"/>
    <s v="Gul Sheren Zada Vs Govt kpk etc"/>
    <s v="Session"/>
    <x v="0"/>
    <x v="0"/>
    <d v="2021-11-16T00:00:00"/>
    <m/>
    <m/>
    <m/>
    <m/>
    <m/>
    <m/>
    <s v="Attendance"/>
    <m/>
    <s v="Last Month Pendency"/>
    <s v="Windows User"/>
    <d v="2022-01-10T12:03:04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8"/>
    <s v="2/1"/>
    <s v="Farid Ullah Vs Ajmir Khan"/>
    <s v="Session"/>
    <x v="0"/>
    <x v="0"/>
    <d v="2022-01-05T00:00:00"/>
    <m/>
    <m/>
    <m/>
    <m/>
    <m/>
    <m/>
    <s v="Attendance"/>
    <m/>
    <s v="Last Month Pendency"/>
    <s v="Windows User"/>
    <d v="2022-01-10T12:08:30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9"/>
    <s v="5/1"/>
    <s v="Ali Akbar Vs Anwar Ali"/>
    <s v="Session"/>
    <x v="0"/>
    <x v="0"/>
    <d v="2022-02-15T00:00:00"/>
    <m/>
    <m/>
    <m/>
    <d v="2023-06-17T00:00:00"/>
    <s v="Disposed"/>
    <s v="Contested- Non Trial Based"/>
    <m/>
    <m/>
    <s v="Last Month Pendency"/>
    <s v="Windows User"/>
    <d v="2023-03-07T13:10:02"/>
    <x v="4"/>
    <x v="1"/>
    <s v="PHC0290-73-1"/>
    <s v="Mr Amin Said"/>
    <s v="ADSJ-1"/>
    <s v="Lower Dir - Timergara"/>
    <d v="2023-06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"/>
  </r>
  <r>
    <n v="20"/>
    <s v="6/1"/>
    <s v="Bakht Muhammad Vs Akmal Abbasi"/>
    <s v="Session"/>
    <x v="0"/>
    <x v="0"/>
    <d v="2022-03-09T00:00:00"/>
    <m/>
    <m/>
    <m/>
    <m/>
    <m/>
    <m/>
    <s v="Attendance"/>
    <m/>
    <s v="Last Month Pendency"/>
    <s v="Windows User"/>
    <d v="2022-01-10T12:20:02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1"/>
    <s v="9/1"/>
    <s v="Muhammad Islam Vs Islam Muhammad"/>
    <s v="Session"/>
    <x v="0"/>
    <x v="0"/>
    <d v="2022-06-01T00:00:00"/>
    <m/>
    <m/>
    <m/>
    <m/>
    <m/>
    <m/>
    <s v="Attendance"/>
    <m/>
    <s v="Last Month Pendency"/>
    <s v="Windows User"/>
    <d v="2022-01-10T12:22:34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2"/>
    <s v="11/1"/>
    <s v="Husnul Maab VS Govt kpk etc"/>
    <s v="Session"/>
    <x v="0"/>
    <x v="0"/>
    <d v="2022-06-22T00:00:00"/>
    <m/>
    <m/>
    <m/>
    <m/>
    <m/>
    <m/>
    <s v="Attendance"/>
    <m/>
    <s v="Last Month Pendency"/>
    <s v="Windows User"/>
    <d v="2022-01-10T12:23:18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3"/>
    <s v="12/1"/>
    <s v="Siraj Hamid Vs Govt kpk etc"/>
    <s v="Session"/>
    <x v="0"/>
    <x v="0"/>
    <d v="2022-06-27T00:00:00"/>
    <m/>
    <m/>
    <m/>
    <m/>
    <m/>
    <m/>
    <s v="Attendance"/>
    <m/>
    <s v="Last Month Pendency"/>
    <s v="Windows User"/>
    <d v="2022-01-10T12:23:58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4"/>
    <s v="13/1"/>
    <s v="Husain Muhamamd Vs Govt kpk etc"/>
    <s v="Session"/>
    <x v="0"/>
    <x v="0"/>
    <d v="2022-07-04T00:00:00"/>
    <m/>
    <m/>
    <m/>
    <m/>
    <m/>
    <m/>
    <s v="Attendance"/>
    <m/>
    <s v="Last Month Pendency"/>
    <s v="Windows User"/>
    <d v="2022-01-10T12:24:44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5"/>
    <s v="14/1"/>
    <s v="Ikram Ullah Vs Govt kpk etc"/>
    <s v="Session"/>
    <x v="0"/>
    <x v="0"/>
    <d v="2022-07-04T00:00:00"/>
    <m/>
    <m/>
    <m/>
    <m/>
    <m/>
    <m/>
    <s v="Written Statement"/>
    <m/>
    <s v="Last Month Pendency"/>
    <s v="Windows User"/>
    <d v="2022-01-10T12:25:22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"/>
    <s v="15/1"/>
    <s v="Muhammad Ghulam Vs Govt kpk etc"/>
    <s v="Session"/>
    <x v="0"/>
    <x v="0"/>
    <d v="2022-07-04T00:00:00"/>
    <m/>
    <m/>
    <m/>
    <m/>
    <m/>
    <m/>
    <s v="Attendance"/>
    <m/>
    <s v="Last Month Pendency"/>
    <s v="Windows User"/>
    <d v="2022-01-10T12:25:58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7"/>
    <s v="16/1"/>
    <s v="Qayoum Shah Vs Govt kpk etc"/>
    <s v="Session"/>
    <x v="0"/>
    <x v="0"/>
    <d v="2022-07-04T00:00:00"/>
    <m/>
    <m/>
    <m/>
    <m/>
    <m/>
    <m/>
    <s v="Attendance"/>
    <m/>
    <s v="Last Month Pendency"/>
    <s v="Windows User"/>
    <d v="2022-01-10T12:26:36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8"/>
    <s v="17/1"/>
    <s v="Shah Zamin Vs Govt kpk etc"/>
    <s v="Session"/>
    <x v="0"/>
    <x v="0"/>
    <d v="2022-07-04T00:00:00"/>
    <m/>
    <m/>
    <m/>
    <m/>
    <m/>
    <m/>
    <s v="Attendance"/>
    <m/>
    <s v="Last Month Pendency"/>
    <s v="Windows User"/>
    <d v="2022-01-10T12:27:21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9"/>
    <s v="18/1"/>
    <s v="Haya Said Vs Govt kpk etc"/>
    <s v="Session"/>
    <x v="0"/>
    <x v="0"/>
    <d v="2022-07-04T00:00:00"/>
    <m/>
    <m/>
    <m/>
    <m/>
    <m/>
    <m/>
    <s v="Attendance"/>
    <m/>
    <s v="Last Month Pendency"/>
    <s v="Windows User"/>
    <d v="2022-01-10T12:27:50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0"/>
    <s v="19/1"/>
    <s v="Altaf Husain Vs Dc etc"/>
    <s v="Session"/>
    <x v="0"/>
    <x v="0"/>
    <d v="2022-07-04T00:00:00"/>
    <m/>
    <m/>
    <m/>
    <m/>
    <m/>
    <m/>
    <s v="Attendance"/>
    <m/>
    <s v="Last Month Pendency"/>
    <s v="Windows User"/>
    <d v="2022-01-10T12:28:26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1"/>
    <s v="20/1"/>
    <s v="Dr Amin Ul Haq Vs DC etc"/>
    <s v="Session"/>
    <x v="0"/>
    <x v="0"/>
    <d v="2022-07-04T00:00:00"/>
    <m/>
    <m/>
    <m/>
    <m/>
    <m/>
    <m/>
    <s v="Attendance"/>
    <m/>
    <s v="Last Month Pendency"/>
    <s v="Windows User"/>
    <d v="2022-01-10T12:28:55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2"/>
    <s v="22/1"/>
    <s v="Said Afzal Vs DC etc"/>
    <s v="Session"/>
    <x v="0"/>
    <x v="0"/>
    <d v="2022-08-12T00:00:00"/>
    <m/>
    <m/>
    <m/>
    <m/>
    <m/>
    <m/>
    <s v="Attendance"/>
    <m/>
    <s v="Last Month Pendency"/>
    <s v="Windows User"/>
    <d v="2022-01-10T12:29:56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3"/>
    <s v="24/1"/>
    <s v="Dr Shoib Ahmad Vs Govt etc"/>
    <s v="Session"/>
    <x v="0"/>
    <x v="0"/>
    <d v="2022-08-12T00:00:00"/>
    <m/>
    <m/>
    <m/>
    <m/>
    <m/>
    <m/>
    <s v="Attendance"/>
    <m/>
    <s v="Last Month Pendency"/>
    <s v="Windows User"/>
    <d v="2022-01-10T12:30:31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4"/>
    <s v="23/1"/>
    <s v="Muhammad Afzal khan Vs govt etc"/>
    <s v="Session"/>
    <x v="0"/>
    <x v="0"/>
    <d v="2022-08-20T00:00:00"/>
    <m/>
    <m/>
    <m/>
    <m/>
    <m/>
    <m/>
    <s v="Attendance"/>
    <m/>
    <s v="Last Month Pendency"/>
    <s v="Windows User"/>
    <d v="2022-01-10T12:31:01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35"/>
    <s v="26/1"/>
    <s v="Atha Ur Rehman Vs DC etc"/>
    <s v="Session"/>
    <x v="0"/>
    <x v="0"/>
    <d v="2022-09-06T00:00:00"/>
    <m/>
    <m/>
    <m/>
    <m/>
    <s v=""/>
    <s v=""/>
    <s v="Attendance"/>
    <s v=""/>
    <s v="Last Month Pendency"/>
    <s v="Windows User"/>
    <d v="2022-03-10T12:43:0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"/>
    <s v="27/1"/>
    <s v="Atha Ur Rehman Vs Govt etc"/>
    <s v="Session"/>
    <x v="0"/>
    <x v="0"/>
    <d v="2022-09-06T00:00:00"/>
    <m/>
    <m/>
    <m/>
    <m/>
    <s v=""/>
    <s v=""/>
    <s v="Attendance"/>
    <s v=""/>
    <s v="Last Month Pendency"/>
    <s v="Windows User"/>
    <d v="2022-03-10T12:43:3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"/>
    <s v="25/1"/>
    <s v="Muhammad Israr Khan Vs Govt etc"/>
    <s v="Session"/>
    <x v="0"/>
    <x v="0"/>
    <d v="2022-09-10T00:00:00"/>
    <m/>
    <m/>
    <m/>
    <m/>
    <s v=""/>
    <s v=""/>
    <s v="Attendance"/>
    <s v=""/>
    <s v="Last Month Pendency"/>
    <s v="Windows User"/>
    <d v="2022-03-10T12:42:2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"/>
    <s v="35/1"/>
    <s v="Dilawar Said Vs Inayat Ullah"/>
    <s v="Session"/>
    <x v="0"/>
    <x v="0"/>
    <d v="2022-10-12T00:00:00"/>
    <m/>
    <m/>
    <m/>
    <m/>
    <s v=""/>
    <s v=""/>
    <s v="Attendance"/>
    <s v=""/>
    <s v="Last Month Pendency"/>
    <s v="Windows User"/>
    <s v="31-10-2022 11:46:4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"/>
    <s v="37/1"/>
    <s v="Muhammad Raziq Vs govt etc"/>
    <s v="Session"/>
    <x v="0"/>
    <x v="0"/>
    <d v="2022-10-28T00:00:00"/>
    <m/>
    <m/>
    <m/>
    <m/>
    <s v=""/>
    <s v=""/>
    <s v="Attendance"/>
    <s v=""/>
    <s v="Last Month Pendency"/>
    <s v="Windows User"/>
    <s v="31-10-2022 11:48:3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"/>
    <s v="38/1"/>
    <s v="Hayat Muhammad Vs Govt etc"/>
    <s v="Session"/>
    <x v="0"/>
    <x v="0"/>
    <d v="2022-11-02T00:00:00"/>
    <m/>
    <m/>
    <m/>
    <m/>
    <s v=""/>
    <s v=""/>
    <s v="Attendance"/>
    <s v=""/>
    <s v="Last Month Pendency"/>
    <s v="Windows User"/>
    <s v="29-11-2022 14:16:3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1"/>
    <s v="39/1"/>
    <s v="Shad Muhammad Vs Govt etc"/>
    <s v="Session"/>
    <x v="0"/>
    <x v="0"/>
    <d v="2022-11-02T00:00:00"/>
    <m/>
    <m/>
    <m/>
    <m/>
    <s v=""/>
    <s v=""/>
    <s v="Attendance"/>
    <s v=""/>
    <s v="Last Month Pendency"/>
    <s v="Windows User"/>
    <s v="29-11-2022 14:17:0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"/>
    <s v="40/1"/>
    <s v="Fazal Rehman Vs Dc etc"/>
    <s v="Session"/>
    <x v="0"/>
    <x v="0"/>
    <d v="2022-12-07T00:00:00"/>
    <m/>
    <m/>
    <m/>
    <m/>
    <s v=""/>
    <s v=""/>
    <s v="Attendance"/>
    <s v=""/>
    <s v="Last Month Pendency"/>
    <s v="Windows User"/>
    <s v="24-12-2022 14:23:4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"/>
    <s v="41/1"/>
    <s v="Muhammad Farooq Vs Umar Zada"/>
    <s v="Session"/>
    <x v="0"/>
    <x v="0"/>
    <d v="2022-12-16T00:00:00"/>
    <m/>
    <m/>
    <m/>
    <d v="2023-06-22T00:00:00"/>
    <s v="Disposed"/>
    <s v="Uncontested"/>
    <s v=""/>
    <s v=""/>
    <s v="Last Month Pendency"/>
    <s v="Windows User"/>
    <d v="2023-03-07T13:06:41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4"/>
    <s v="42/1"/>
    <s v="Suliman Khan Vs Govt kpk etc"/>
    <s v="Session"/>
    <x v="0"/>
    <x v="0"/>
    <d v="2022-12-20T00:00:00"/>
    <m/>
    <m/>
    <m/>
    <m/>
    <s v=""/>
    <s v=""/>
    <s v="Attendance"/>
    <s v=""/>
    <s v="Last Month Pendency"/>
    <s v="Windows User"/>
    <s v="24-12-2022 15:10:3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"/>
    <s v="1/1"/>
    <s v="Hidayat Ullah Vs Govt etc"/>
    <s v="Session"/>
    <x v="0"/>
    <x v="0"/>
    <d v="2023-01-03T00:00:00"/>
    <m/>
    <m/>
    <m/>
    <m/>
    <s v=""/>
    <s v=""/>
    <s v="Attendance"/>
    <s v=""/>
    <s v="Last Month Pendency"/>
    <s v="Windows User"/>
    <s v="30-01-2023 13:15:3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"/>
    <s v="2/1"/>
    <s v="Dawood Shah Vs Haider Naseer"/>
    <s v="Session"/>
    <x v="0"/>
    <x v="0"/>
    <d v="2023-01-03T00:00:00"/>
    <m/>
    <m/>
    <m/>
    <m/>
    <s v=""/>
    <s v=""/>
    <s v="Attendance"/>
    <s v=""/>
    <s v="Last Month Pendency"/>
    <s v="Windows User"/>
    <s v="30-01-2023 13:15:5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"/>
    <s v="3/1"/>
    <s v="Bashir Ali Vs Govt etc"/>
    <s v="Session"/>
    <x v="0"/>
    <x v="0"/>
    <d v="2023-01-23T00:00:00"/>
    <m/>
    <m/>
    <m/>
    <m/>
    <s v=""/>
    <s v=""/>
    <s v="Attendance"/>
    <s v=""/>
    <s v="Last Month Pendency"/>
    <s v="Windows User"/>
    <s v="30-01-2023 13:16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"/>
    <s v="4/1"/>
    <s v="Malak Shah Azam Vs Govt KPK etc"/>
    <s v="Session"/>
    <x v="0"/>
    <x v="0"/>
    <d v="2023-02-07T00:00:00"/>
    <m/>
    <m/>
    <m/>
    <m/>
    <s v=""/>
    <s v=""/>
    <s v="Attendance"/>
    <s v=""/>
    <s v="Last Month Pendency"/>
    <s v="Windows User"/>
    <d v="2023-01-06T11:56:5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"/>
    <s v="6/1"/>
    <s v="Qasim Khan Vs Shakeel Khan"/>
    <s v="Session"/>
    <x v="0"/>
    <x v="0"/>
    <d v="2023-02-14T00:00:00"/>
    <m/>
    <m/>
    <m/>
    <m/>
    <s v=""/>
    <s v=""/>
    <s v="Attendance"/>
    <s v=""/>
    <s v="Last Month Pendency"/>
    <s v="Windows User"/>
    <s v="23-02-2023 11:44:0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"/>
    <s v="8/1"/>
    <s v="Ikramul Haq etc Vs Govt etc"/>
    <s v="Session"/>
    <x v="0"/>
    <x v="0"/>
    <d v="2023-02-15T00:00:00"/>
    <m/>
    <m/>
    <m/>
    <m/>
    <s v=""/>
    <s v=""/>
    <s v="Attendance"/>
    <s v=""/>
    <s v="Last Month Pendency"/>
    <s v="Windows User"/>
    <s v="23-02-2023 11:46:2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"/>
    <s v="9/1"/>
    <s v="Malak Ihsan Rauf Vs govt kpk etc"/>
    <s v="Session"/>
    <x v="0"/>
    <x v="0"/>
    <d v="2023-02-27T00:00:00"/>
    <m/>
    <m/>
    <m/>
    <m/>
    <s v=""/>
    <s v=""/>
    <s v="Attendance"/>
    <s v=""/>
    <s v="Last Month Pendency"/>
    <s v="Windows User"/>
    <d v="2023-01-03T10:26:2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"/>
    <s v="11/1"/>
    <s v="Muhammad Anwar Vs Govt etc"/>
    <s v="Session"/>
    <x v="0"/>
    <x v="0"/>
    <d v="2023-04-01T00:00:00"/>
    <m/>
    <m/>
    <m/>
    <d v="2023-06-09T00:00:00"/>
    <s v="Disposed"/>
    <s v="In Default"/>
    <s v=""/>
    <s v=""/>
    <s v="Last Month Pendency"/>
    <s v="Windows User"/>
    <d v="2023-03-07T12:41:33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3"/>
    <s v="12/1"/>
    <s v="ibad Ur Rehman Vs Govt etc"/>
    <s v="Session"/>
    <x v="0"/>
    <x v="0"/>
    <d v="2023-04-01T00:00:00"/>
    <m/>
    <m/>
    <m/>
    <d v="2023-06-09T00:00:00"/>
    <s v="Disposed"/>
    <s v="In Default"/>
    <s v=""/>
    <s v=""/>
    <s v="Last Month Pendency"/>
    <s v="Windows User"/>
    <d v="2023-03-07T12:42:36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4"/>
    <s v="13/1"/>
    <s v="Abidin Vs Qaiser Khalil"/>
    <s v="Session"/>
    <x v="0"/>
    <x v="0"/>
    <d v="2023-05-02T00:00:00"/>
    <m/>
    <m/>
    <m/>
    <m/>
    <s v=""/>
    <s v=""/>
    <s v="Attendance"/>
    <s v=""/>
    <s v="Last Month Pendency"/>
    <s v="Windows User"/>
    <d v="2023-01-06T11:01:3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"/>
    <s v="14/1"/>
    <s v="Alima Bibi etc Vs Kheyal Zamin"/>
    <s v="Session"/>
    <x v="0"/>
    <x v="0"/>
    <d v="2023-05-10T00:00:00"/>
    <m/>
    <m/>
    <m/>
    <m/>
    <s v=""/>
    <s v=""/>
    <s v="Attendance"/>
    <s v=""/>
    <s v="Last Month Pendency"/>
    <s v="Windows User"/>
    <d v="2023-01-06T11:02:0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"/>
    <s v="15/1"/>
    <s v="Muhammad Ibrahim Vs Rashid Minhas etc"/>
    <s v="Session"/>
    <x v="0"/>
    <x v="0"/>
    <d v="2023-05-17T00:00:00"/>
    <m/>
    <m/>
    <m/>
    <m/>
    <s v=""/>
    <s v=""/>
    <s v="Attendance"/>
    <s v=""/>
    <s v="Last Month Pendency"/>
    <s v="Windows User"/>
    <d v="2023-01-06T11:02:4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"/>
    <s v="16/1"/>
    <s v="Shah Room Khan etc Vs Govt etc"/>
    <s v="Session"/>
    <x v="0"/>
    <x v="0"/>
    <d v="2023-05-30T00:00:00"/>
    <m/>
    <m/>
    <m/>
    <m/>
    <s v=""/>
    <s v=""/>
    <s v="Attendance"/>
    <s v=""/>
    <s v="Last Month Pendency"/>
    <s v="Windows User"/>
    <d v="2023-01-06T11:03:2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"/>
    <s v="1/1 Neem"/>
    <s v="Imran Khan Vs Umar Zada"/>
    <s v="Session"/>
    <x v="0"/>
    <x v="0"/>
    <d v="2022-01-08T00:00:00"/>
    <m/>
    <d v="2023-06-09T00:00:00"/>
    <s v="Restored"/>
    <m/>
    <s v=""/>
    <s v=""/>
    <s v="Attendance"/>
    <s v=""/>
    <s v="Other Institution"/>
    <s v="Windows User"/>
    <d v="2023-03-07T11:48:2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9"/>
    <s v="7/1 Neem"/>
    <s v="Sardar Bacha Vs Govt etc"/>
    <s v="Session"/>
    <x v="0"/>
    <x v="0"/>
    <d v="2023-02-14T00:00:00"/>
    <m/>
    <d v="2023-06-21T00:00:00"/>
    <s v="Restored"/>
    <m/>
    <s v=""/>
    <s v=""/>
    <s v="Attendance"/>
    <s v=""/>
    <s v="Other Institution"/>
    <s v="Windows User"/>
    <d v="2023-03-07T12:00:0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0"/>
    <s v="34/1 Neem"/>
    <s v="Muhammad Ilyas Khan Vs Govt etc"/>
    <s v="Session"/>
    <x v="0"/>
    <x v="0"/>
    <d v="2022-10-04T00:00:00"/>
    <m/>
    <d v="2023-06-26T00:00:00"/>
    <s v="Restored"/>
    <m/>
    <s v=""/>
    <s v=""/>
    <s v="Attendance"/>
    <s v=""/>
    <s v="Other Institution"/>
    <s v="Windows User"/>
    <d v="2023-03-07T12:01:0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1"/>
    <s v="Suit No 10/1"/>
    <s v="Hidayat Ullah Vs Yahya Khan"/>
    <s v="Session"/>
    <x v="0"/>
    <x v="1"/>
    <d v="2023-03-10T00:00:00"/>
    <m/>
    <m/>
    <m/>
    <m/>
    <s v=""/>
    <s v=""/>
    <s v="Attendance"/>
    <s v=""/>
    <s v="Last Month Pendency"/>
    <s v="Windows User"/>
    <d v="2023-01-04T10:09:4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"/>
    <s v="18/1"/>
    <s v="Muhammad Khan etc Vs Saeed Naeem etc"/>
    <s v="Session"/>
    <x v="0"/>
    <x v="1"/>
    <d v="2023-06-02T00:00:00"/>
    <m/>
    <m/>
    <m/>
    <m/>
    <s v=""/>
    <s v=""/>
    <s v="Attendance"/>
    <s v=""/>
    <s v="Fresh Month Institution"/>
    <s v="Windows User"/>
    <d v="2023-03-07T09:43:1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"/>
    <s v="19/1"/>
    <s v="Riyaz Ullah Vs Dr Shaukat Ali"/>
    <s v="Session"/>
    <x v="0"/>
    <x v="1"/>
    <d v="2023-06-20T00:00:00"/>
    <m/>
    <m/>
    <m/>
    <m/>
    <s v=""/>
    <s v=""/>
    <s v="Attendance"/>
    <s v=""/>
    <s v="Fresh Month Institution"/>
    <s v="Windows User"/>
    <d v="2023-03-07T09:46:3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"/>
    <s v="84/4"/>
    <s v="Sajad Ali Khan Vs Govt kpk etc"/>
    <s v="Session"/>
    <x v="0"/>
    <x v="2"/>
    <d v="2018-03-23T00:00:00"/>
    <d v="2020-06-26T00:00:00"/>
    <m/>
    <m/>
    <d v="2023-06-23T00:00:00"/>
    <s v="Disposed"/>
    <s v="Contested- Trial Based"/>
    <m/>
    <m/>
    <s v="Last Month Pendency"/>
    <s v="Windows User"/>
    <d v="2023-03-07T14:43:02"/>
    <x v="0"/>
    <x v="1"/>
    <s v="PHC0290-73-1"/>
    <s v="Mr Amin Said"/>
    <s v="ADSJ-1"/>
    <s v="Lower Dir - Timergara"/>
    <d v="2023-06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"/>
  </r>
  <r>
    <n v="65"/>
    <s v="110/4"/>
    <s v="Room Badshah Vs Govt kpk etc"/>
    <s v="Session"/>
    <x v="0"/>
    <x v="2"/>
    <d v="2018-07-04T00:00:00"/>
    <d v="2020-07-02T00:00:00"/>
    <m/>
    <m/>
    <m/>
    <m/>
    <m/>
    <s v="Attendance"/>
    <m/>
    <s v="Last Month Pendency"/>
    <s v="Windows User"/>
    <d v="2022-01-10T12:33:42"/>
    <x v="0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6"/>
    <s v="85/4"/>
    <s v="Fazal Mehmood Vs Govt kpk etc"/>
    <s v="Session"/>
    <x v="0"/>
    <x v="2"/>
    <d v="2018-09-04T00:00:00"/>
    <d v="2020-06-24T00:00:00"/>
    <m/>
    <m/>
    <m/>
    <m/>
    <m/>
    <s v="Attendance"/>
    <m/>
    <s v="Last Month Pendency"/>
    <s v="Windows User"/>
    <d v="2022-01-10T12:34:47"/>
    <x v="0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7"/>
    <s v="13/4"/>
    <s v="Mukhtiar Ahmad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5:5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8"/>
    <s v="14/4"/>
    <s v="Aman Ullah Kh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6:41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69"/>
    <s v="15/4"/>
    <s v="Malangay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7:3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0"/>
    <s v="16/4"/>
    <s v="Akram Kh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8:20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1"/>
    <s v="17/4"/>
    <s v="Muhammad Shahab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9:1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2"/>
    <s v="18/4"/>
    <s v="Gr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39:5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3"/>
    <s v="19/4"/>
    <s v="Noor Muhammad Khan Vs Govt kpk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0:3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4"/>
    <s v="20/4"/>
    <s v="Gulzar Ali Kh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1:27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5"/>
    <s v="21/4"/>
    <s v="Ikram Ullah Vs Govt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2:0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6"/>
    <s v="22/4"/>
    <s v="Fazal Mabood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2:54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7"/>
    <s v="23/4"/>
    <s v="Naimat Ullah Vs Govt kpk et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3:4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8"/>
    <s v="24/4"/>
    <s v="Muhammad Khalid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4:36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79"/>
    <s v="25/4"/>
    <s v="Maqsood Ur Rehm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5:21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0"/>
    <s v="26/4"/>
    <s v="Said Muhammad Waris Jan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6:06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1"/>
    <s v="27/4"/>
    <s v="Muhammad Rafiq Vs Govt kpk etc"/>
    <s v="Session"/>
    <x v="0"/>
    <x v="2"/>
    <d v="2020-03-16T00:00:00"/>
    <d v="2020-06-13T00:00:00"/>
    <m/>
    <m/>
    <m/>
    <m/>
    <m/>
    <s v="Attendance"/>
    <m/>
    <s v="Last Month Pendency"/>
    <s v="Windows User"/>
    <d v="2022-01-10T12:46:53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2"/>
    <s v="37/4"/>
    <s v="Zia Ul Haq VS Govt kpk etc"/>
    <s v="Session"/>
    <x v="0"/>
    <x v="2"/>
    <d v="2020-06-24T00:00:00"/>
    <m/>
    <m/>
    <m/>
    <m/>
    <m/>
    <m/>
    <s v="Attendance"/>
    <m/>
    <s v="Last Month Pendency"/>
    <s v="Windows User"/>
    <d v="2022-01-10T12:55:47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3"/>
    <s v="39/4"/>
    <s v="Sarbiland Khan Vs Govt etc"/>
    <s v="Session"/>
    <x v="0"/>
    <x v="2"/>
    <d v="2020-06-24T00:00:00"/>
    <m/>
    <m/>
    <m/>
    <m/>
    <m/>
    <m/>
    <s v="Attendance"/>
    <m/>
    <s v="Last Month Pendency"/>
    <s v="Windows User"/>
    <d v="2022-01-10T12:57:1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4"/>
    <s v="40/4"/>
    <s v="Zubair Shah Vs Govt kpk etc"/>
    <s v="Session"/>
    <x v="0"/>
    <x v="2"/>
    <d v="2020-06-24T00:00:00"/>
    <m/>
    <m/>
    <m/>
    <m/>
    <m/>
    <m/>
    <s v="Attendance"/>
    <m/>
    <s v="Last Month Pendency"/>
    <s v="Windows User"/>
    <d v="2022-01-10T12:57:57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5"/>
    <s v="41/4"/>
    <s v="Babar Khan Vs Govt kpk etc"/>
    <s v="Session"/>
    <x v="0"/>
    <x v="2"/>
    <d v="2020-06-24T00:00:00"/>
    <m/>
    <m/>
    <m/>
    <m/>
    <m/>
    <m/>
    <s v="Attendance"/>
    <m/>
    <s v="Last Month Pendency"/>
    <s v="Windows User"/>
    <d v="2022-01-10T12:58:2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6"/>
    <s v="42/4"/>
    <s v="Nair Zaman Vs Govt kpk etc"/>
    <s v="Session"/>
    <x v="0"/>
    <x v="2"/>
    <d v="2020-06-24T00:00:00"/>
    <m/>
    <m/>
    <m/>
    <m/>
    <m/>
    <m/>
    <s v="Attendance"/>
    <m/>
    <s v="Last Month Pendency"/>
    <s v="Windows User"/>
    <d v="2022-01-10T12:59:02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7"/>
    <s v="43/4"/>
    <s v="Ahmad Kamal Vs Govt kpk etc"/>
    <s v="Session"/>
    <x v="0"/>
    <x v="2"/>
    <d v="2020-06-24T00:00:00"/>
    <m/>
    <m/>
    <m/>
    <m/>
    <m/>
    <m/>
    <s v="Attendance"/>
    <m/>
    <s v="Last Month Pendency"/>
    <s v="Windows User"/>
    <d v="2022-01-10T13:00:13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8"/>
    <s v="44/4"/>
    <s v="Ghufran Khan Vs Govt kpk etc"/>
    <s v="Session"/>
    <x v="0"/>
    <x v="2"/>
    <d v="2020-06-24T00:00:00"/>
    <m/>
    <m/>
    <m/>
    <m/>
    <m/>
    <m/>
    <s v="Attendance"/>
    <m/>
    <s v="Last Month Pendency"/>
    <s v="Windows User"/>
    <d v="2022-01-10T13:00:43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89"/>
    <s v="45/4"/>
    <s v="Said Ghafoor Vs govt kpk etc"/>
    <s v="Session"/>
    <x v="0"/>
    <x v="2"/>
    <d v="2020-06-24T00:00:00"/>
    <m/>
    <m/>
    <m/>
    <m/>
    <m/>
    <m/>
    <s v="Attendance"/>
    <m/>
    <s v="Last Month Pendency"/>
    <s v="Windows User"/>
    <d v="2022-01-10T13:01:13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0"/>
    <s v="46/4"/>
    <s v="Muhammad Ikram Khan Vs Govt kpk etc"/>
    <s v="Session"/>
    <x v="0"/>
    <x v="2"/>
    <d v="2020-06-24T00:00:00"/>
    <m/>
    <m/>
    <m/>
    <m/>
    <m/>
    <m/>
    <s v="Attendance"/>
    <m/>
    <s v="Last Month Pendency"/>
    <s v="Windows User"/>
    <d v="2022-01-10T13:01:51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1"/>
    <s v="47/4"/>
    <s v="Muhammad Nawaz Khan Vs Govt kpk etc"/>
    <s v="Session"/>
    <x v="0"/>
    <x v="2"/>
    <d v="2020-06-24T00:00:00"/>
    <m/>
    <m/>
    <m/>
    <m/>
    <m/>
    <m/>
    <s v="Attendance"/>
    <m/>
    <s v="Last Month Pendency"/>
    <s v="Windows User"/>
    <d v="2022-01-10T13:02:2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2"/>
    <s v="48/4"/>
    <s v="Muhammad Yousuf Vs Govt kpk etc"/>
    <s v="Session"/>
    <x v="0"/>
    <x v="2"/>
    <d v="2020-06-24T00:00:00"/>
    <m/>
    <m/>
    <m/>
    <m/>
    <m/>
    <m/>
    <s v="Attendance"/>
    <m/>
    <s v="Last Month Pendency"/>
    <s v="Windows User"/>
    <d v="2022-01-10T13:02:5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3"/>
    <s v="119/4"/>
    <s v="Miraj Ul Hasan Vs Govt kpk etc"/>
    <s v="Session"/>
    <x v="0"/>
    <x v="2"/>
    <d v="2020-07-15T00:00:00"/>
    <m/>
    <m/>
    <m/>
    <m/>
    <m/>
    <m/>
    <s v="Attendance"/>
    <m/>
    <s v="Last Month Pendency"/>
    <s v="Windows User"/>
    <d v="2022-01-10T13:03:43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4"/>
    <s v="120/4"/>
    <s v="Mst Ajmania bibi Vs govt kpk etc"/>
    <s v="Session"/>
    <x v="0"/>
    <x v="2"/>
    <d v="2020-07-16T00:00:00"/>
    <m/>
    <m/>
    <m/>
    <m/>
    <m/>
    <m/>
    <s v="Attendance"/>
    <m/>
    <s v="Last Month Pendency"/>
    <s v="Windows User"/>
    <d v="2022-01-10T13:04:2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5"/>
    <s v="121/4"/>
    <s v="Badshah Ali Vs Govt kpk etc"/>
    <s v="Session"/>
    <x v="0"/>
    <x v="2"/>
    <d v="2020-07-16T00:00:00"/>
    <m/>
    <m/>
    <m/>
    <m/>
    <m/>
    <m/>
    <s v="Attendance"/>
    <m/>
    <s v="Last Month Pendency"/>
    <s v="Windows User"/>
    <d v="2022-01-10T13:04:5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6"/>
    <s v="122/4"/>
    <s v="Rahim Dad Khan Vs Govt kpk etc"/>
    <s v="Session"/>
    <x v="0"/>
    <x v="2"/>
    <d v="2020-07-16T00:00:00"/>
    <m/>
    <m/>
    <m/>
    <m/>
    <m/>
    <m/>
    <s v="Attendance"/>
    <m/>
    <s v="Last Month Pendency"/>
    <s v="Windows User"/>
    <d v="2022-01-10T13:06:46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7"/>
    <s v="123/4"/>
    <s v="Ajab Khan Vs Govt kpk etc"/>
    <s v="Session"/>
    <x v="0"/>
    <x v="2"/>
    <d v="2020-07-16T00:00:00"/>
    <m/>
    <m/>
    <m/>
    <m/>
    <m/>
    <m/>
    <s v="Attendance"/>
    <m/>
    <s v="Last Month Pendency"/>
    <s v="Windows User"/>
    <d v="2022-01-10T13:07:16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8"/>
    <s v="124/4"/>
    <s v="Zarawar Khan Vs Govt kpk etc"/>
    <s v="Session"/>
    <x v="0"/>
    <x v="2"/>
    <d v="2020-07-16T00:00:00"/>
    <m/>
    <m/>
    <m/>
    <m/>
    <m/>
    <m/>
    <s v="Attendance"/>
    <m/>
    <s v="Last Month Pendency"/>
    <s v="Windows User"/>
    <d v="2022-01-10T13:07:51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99"/>
    <s v="125/4"/>
    <s v="Yousufzai Vs Govt kpk etc"/>
    <s v="Session"/>
    <x v="0"/>
    <x v="2"/>
    <d v="2020-07-16T00:00:00"/>
    <m/>
    <m/>
    <m/>
    <m/>
    <m/>
    <m/>
    <s v="Attendance"/>
    <m/>
    <s v="Last Month Pendency"/>
    <s v="Windows User"/>
    <d v="2022-01-10T13:08:1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0"/>
    <s v="126/4"/>
    <s v="Taj Muhammad Vs Govt kpk etc"/>
    <s v="Session"/>
    <x v="0"/>
    <x v="2"/>
    <d v="2020-07-16T00:00:00"/>
    <m/>
    <m/>
    <m/>
    <m/>
    <m/>
    <m/>
    <s v="Attendance"/>
    <m/>
    <s v="Last Month Pendency"/>
    <s v="Windows User"/>
    <d v="2022-01-10T13:08:53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1"/>
    <s v="127/4"/>
    <s v="Sar Zamin Vs Govt kpk etc"/>
    <s v="Session"/>
    <x v="0"/>
    <x v="2"/>
    <d v="2020-07-16T00:00:00"/>
    <m/>
    <m/>
    <m/>
    <m/>
    <m/>
    <m/>
    <s v="Attendance"/>
    <m/>
    <s v="Last Month Pendency"/>
    <s v="Windows User"/>
    <d v="2022-01-10T13:09:21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2"/>
    <s v="128/4"/>
    <s v="Ikram Muhammad Vs Govt kpk etc"/>
    <s v="Session"/>
    <x v="0"/>
    <x v="2"/>
    <d v="2020-07-16T00:00:00"/>
    <m/>
    <m/>
    <m/>
    <m/>
    <m/>
    <m/>
    <s v="Attendance"/>
    <m/>
    <s v="Last Month Pendency"/>
    <s v="Windows User"/>
    <d v="2022-01-10T13:10:0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3"/>
    <s v="129/4"/>
    <s v="Asfandyar Vs Govt kpk etc"/>
    <s v="Session"/>
    <x v="0"/>
    <x v="2"/>
    <d v="2020-07-16T00:00:00"/>
    <m/>
    <m/>
    <m/>
    <m/>
    <m/>
    <m/>
    <s v="Attendance"/>
    <m/>
    <s v="Last Month Pendency"/>
    <s v="Windows User"/>
    <d v="2022-01-10T13:10:3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4"/>
    <s v="13/4"/>
    <s v="Gul Rehman Vs Govt kpk etc"/>
    <s v="Session"/>
    <x v="0"/>
    <x v="2"/>
    <d v="2020-07-16T00:00:00"/>
    <m/>
    <m/>
    <m/>
    <m/>
    <m/>
    <m/>
    <s v="Attendance"/>
    <m/>
    <s v="Last Month Pendency"/>
    <s v="Windows User"/>
    <d v="2022-01-10T13:13:47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5"/>
    <s v="130/4"/>
    <s v="Hazrat Umar Vs Govt kpk etc"/>
    <s v="Session"/>
    <x v="0"/>
    <x v="2"/>
    <d v="2020-07-16T00:00:00"/>
    <m/>
    <m/>
    <m/>
    <m/>
    <m/>
    <m/>
    <s v="Attendance"/>
    <m/>
    <s v="Last Month Pendency"/>
    <s v="Windows User"/>
    <d v="2022-01-10T13:11:0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6"/>
    <s v="131/4"/>
    <s v="Anwar Baig Vs Govt kpk etc"/>
    <s v="Session"/>
    <x v="0"/>
    <x v="2"/>
    <d v="2020-07-16T00:00:00"/>
    <m/>
    <m/>
    <m/>
    <m/>
    <m/>
    <m/>
    <s v="Attendance"/>
    <m/>
    <s v="Last Month Pendency"/>
    <s v="Windows User"/>
    <d v="2022-01-10T13:11:40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7"/>
    <s v="132/4"/>
    <s v="Muhammad Shah Vs Govt kpk etc"/>
    <s v="Session"/>
    <x v="0"/>
    <x v="2"/>
    <d v="2020-07-16T00:00:00"/>
    <m/>
    <m/>
    <m/>
    <m/>
    <m/>
    <m/>
    <s v="Attendance"/>
    <m/>
    <s v="Last Month Pendency"/>
    <s v="Windows User"/>
    <d v="2022-01-10T13:12:1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8"/>
    <s v="133/4"/>
    <s v="Rahman Said Vs Govt kpk etc"/>
    <s v="Session"/>
    <x v="0"/>
    <x v="2"/>
    <d v="2020-07-16T00:00:00"/>
    <m/>
    <m/>
    <m/>
    <m/>
    <m/>
    <m/>
    <s v="Attendance"/>
    <m/>
    <s v="Last Month Pendency"/>
    <s v="Windows User"/>
    <d v="2022-01-10T13:12:4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09"/>
    <s v="134/4"/>
    <s v="Ubaid Ullah Vs Govt kpk etc"/>
    <s v="Session"/>
    <x v="0"/>
    <x v="2"/>
    <d v="2020-07-16T00:00:00"/>
    <m/>
    <m/>
    <m/>
    <m/>
    <m/>
    <m/>
    <s v="Attendance"/>
    <m/>
    <s v="Last Month Pendency"/>
    <s v="Windows User"/>
    <d v="2022-01-10T13:13:17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0"/>
    <s v="38/4"/>
    <s v="Mushtaq Ali Vs Govt kpk etc"/>
    <s v="Session"/>
    <x v="0"/>
    <x v="2"/>
    <d v="2020-07-24T00:00:00"/>
    <m/>
    <m/>
    <m/>
    <m/>
    <m/>
    <m/>
    <s v="Attendance"/>
    <m/>
    <s v="Last Month Pendency"/>
    <s v="Windows User"/>
    <d v="2022-01-10T12:56:21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1"/>
    <s v="1/4"/>
    <s v="Muhammad Khan Vs Govt kpk etc"/>
    <s v="Session"/>
    <x v="0"/>
    <x v="2"/>
    <d v="2021-01-07T00:00:00"/>
    <m/>
    <m/>
    <m/>
    <m/>
    <m/>
    <m/>
    <s v="Attendance"/>
    <m/>
    <s v="Last Month Pendency"/>
    <s v="Windows User"/>
    <d v="2022-01-10T13:14:29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2"/>
    <s v="2/4"/>
    <s v="Badsha Umar Vs Govt kpk etc"/>
    <s v="Session"/>
    <x v="0"/>
    <x v="2"/>
    <d v="2021-03-16T00:00:00"/>
    <m/>
    <m/>
    <m/>
    <m/>
    <m/>
    <m/>
    <s v="Attendance"/>
    <m/>
    <s v="Last Month Pendency"/>
    <s v="Windows User"/>
    <d v="2022-01-10T13:15:11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3"/>
    <s v="3/4"/>
    <s v="Bakht Biland Khan Vs Govt kpk etc"/>
    <s v="Session"/>
    <x v="0"/>
    <x v="2"/>
    <d v="2021-04-07T00:00:00"/>
    <m/>
    <m/>
    <m/>
    <m/>
    <m/>
    <m/>
    <s v="Attendance"/>
    <m/>
    <s v="Last Month Pendency"/>
    <s v="Windows User"/>
    <d v="2022-01-10T13:15:46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4"/>
    <s v="4/4"/>
    <s v="Saeed Muhammad Vs Govt kpk etc"/>
    <s v="Session"/>
    <x v="0"/>
    <x v="2"/>
    <d v="2021-04-07T00:00:00"/>
    <m/>
    <m/>
    <m/>
    <m/>
    <m/>
    <m/>
    <s v="Attendance"/>
    <m/>
    <s v="Last Month Pendency"/>
    <s v="Windows User"/>
    <d v="2022-01-10T13:16:19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5"/>
    <s v="5/4"/>
    <s v="Abdul Hamid Vs Govt kpk etc"/>
    <s v="Session"/>
    <x v="0"/>
    <x v="2"/>
    <d v="2021-04-07T00:00:00"/>
    <m/>
    <m/>
    <m/>
    <m/>
    <m/>
    <m/>
    <s v="Attendance"/>
    <m/>
    <s v="Last Month Pendency"/>
    <s v="Windows User"/>
    <d v="2022-01-10T13:16:56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6"/>
    <s v="6/4"/>
    <s v="Aziz Ullah Vs Govt kpk etc"/>
    <s v="Session"/>
    <x v="0"/>
    <x v="2"/>
    <d v="2021-04-07T00:00:00"/>
    <m/>
    <m/>
    <m/>
    <m/>
    <m/>
    <m/>
    <s v="Attendance"/>
    <m/>
    <s v="Last Month Pendency"/>
    <s v="Windows User"/>
    <d v="2022-01-10T13:17:24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7"/>
    <s v="7/4"/>
    <s v="Habib Ullah Vs Govt kpk etc"/>
    <s v="Session"/>
    <x v="0"/>
    <x v="2"/>
    <d v="2021-04-07T00:00:00"/>
    <m/>
    <m/>
    <m/>
    <m/>
    <m/>
    <m/>
    <s v="Attendance"/>
    <m/>
    <s v="Last Month Pendency"/>
    <s v="Windows User"/>
    <d v="2022-01-10T13:17:54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8"/>
    <s v="9/4"/>
    <s v="Muhammad Haris Vs Govt kpk etc"/>
    <s v="Session"/>
    <x v="0"/>
    <x v="2"/>
    <d v="2021-04-07T00:00:00"/>
    <m/>
    <m/>
    <m/>
    <m/>
    <m/>
    <m/>
    <s v="Attendance"/>
    <m/>
    <s v="Last Month Pendency"/>
    <s v="Windows User"/>
    <d v="2022-01-10T13:18:52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19"/>
    <s v="8/4"/>
    <s v="Jamil Khan Vs Govt kpk etc"/>
    <s v="Session"/>
    <x v="0"/>
    <x v="2"/>
    <d v="2022-06-01T00:00:00"/>
    <m/>
    <m/>
    <m/>
    <m/>
    <m/>
    <m/>
    <s v="Attendance"/>
    <m/>
    <s v="Last Month Pendency"/>
    <s v="Windows User"/>
    <d v="2022-01-10T13:19:38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0"/>
    <s v="LLA No 2/4"/>
    <s v="Asad Ullah Jan Vs Govt"/>
    <s v="Session"/>
    <x v="0"/>
    <x v="2"/>
    <d v="2022-09-26T00:00:00"/>
    <m/>
    <m/>
    <m/>
    <m/>
    <s v=""/>
    <s v=""/>
    <s v="Attendance"/>
    <s v=""/>
    <s v="Last Month Pendency"/>
    <s v="Windows User"/>
    <d v="2022-03-10T13:04:2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21"/>
    <s v="2/4"/>
    <s v="Alam Zeb etc Vs Govt etc"/>
    <s v="Session"/>
    <x v="0"/>
    <x v="2"/>
    <d v="2023-04-01T00:00:00"/>
    <m/>
    <m/>
    <m/>
    <m/>
    <s v=""/>
    <s v=""/>
    <s v="Attendance"/>
    <s v=""/>
    <s v="Last Month Pendency"/>
    <s v="Windows User"/>
    <s v="29-04-2023 13:30:3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22"/>
    <s v="3/4"/>
    <s v="Muzamil Khan etc Vs Govt etc"/>
    <s v="Session"/>
    <x v="0"/>
    <x v="2"/>
    <d v="2023-04-06T00:00:00"/>
    <m/>
    <m/>
    <m/>
    <m/>
    <s v=""/>
    <s v=""/>
    <s v="Attendance"/>
    <s v=""/>
    <s v="Last Month Pendency"/>
    <s v="Windows User"/>
    <s v="29-04-2023 13:31:1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23"/>
    <s v="88/4"/>
    <s v="Haji Latif Zada Vs Govt etc"/>
    <s v="Session"/>
    <x v="0"/>
    <x v="2"/>
    <d v="2017-01-13T00:00:00"/>
    <m/>
    <d v="2023-06-05T00:00:00"/>
    <s v="Restored"/>
    <m/>
    <s v=""/>
    <s v=""/>
    <s v="Attendance"/>
    <s v=""/>
    <s v="Other Institution"/>
    <s v="Windows User"/>
    <d v="2023-03-07T11:41:59"/>
    <x v="6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24"/>
    <s v="3/4 Neem"/>
    <s v="Jamshed Khan Vs Govt etc"/>
    <s v="Session"/>
    <x v="0"/>
    <x v="2"/>
    <d v="2023-01-02T00:00:00"/>
    <m/>
    <d v="2023-06-15T00:00:00"/>
    <s v="Restored"/>
    <m/>
    <s v=""/>
    <s v=""/>
    <s v="Attendance"/>
    <s v=""/>
    <s v="Other Institution"/>
    <s v="Windows User"/>
    <d v="2023-03-07T11:51:1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25"/>
    <s v="12/10"/>
    <s v="Nawab Zada Shahab ud din Vs Govt etc"/>
    <s v="Session"/>
    <x v="0"/>
    <x v="3"/>
    <d v="2004-06-04T00:00:00"/>
    <d v="2020-07-08T00:00:00"/>
    <m/>
    <m/>
    <m/>
    <m/>
    <m/>
    <s v="Others"/>
    <s v="Periodic delvery of possession of land"/>
    <s v="Last Month Pendency"/>
    <s v="Windows User"/>
    <d v="2023-01-06T11:25:07"/>
    <x v="7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6"/>
    <s v="13/10"/>
    <s v="Asad Ullah Vs Govt etc"/>
    <s v="Session"/>
    <x v="0"/>
    <x v="3"/>
    <d v="2011-11-04T00:00:00"/>
    <d v="2020-07-08T00:00:00"/>
    <m/>
    <m/>
    <m/>
    <m/>
    <m/>
    <s v="Others"/>
    <s v="Periodic delvery of possession of land"/>
    <s v="Last Month Pendency"/>
    <s v="Windows User"/>
    <d v="2022-02-11T14:15:27"/>
    <x v="8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7"/>
    <s v="15/10"/>
    <s v="Mumtaz Mahal Vs Govt etc"/>
    <s v="Session"/>
    <x v="0"/>
    <x v="3"/>
    <d v="2013-04-24T00:00:00"/>
    <d v="2020-07-08T00:00:00"/>
    <m/>
    <m/>
    <m/>
    <m/>
    <m/>
    <s v="Arguments"/>
    <s v="Periodic delvery of possession of land"/>
    <s v="Last Month Pendency"/>
    <s v="Windows User"/>
    <d v="2022-02-11T14:15:41"/>
    <x v="9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28"/>
    <s v="2/10 Neem"/>
    <s v="Dr M Rehman Vs Govt etc"/>
    <s v="Session"/>
    <x v="0"/>
    <x v="3"/>
    <d v="2015-02-16T00:00:00"/>
    <m/>
    <d v="2023-02-09T00:00:00"/>
    <s v="Remanded"/>
    <m/>
    <s v=""/>
    <s v=""/>
    <s v="Attendance"/>
    <s v=""/>
    <s v="Last Month Pendency"/>
    <s v="Windows User"/>
    <s v="24-02-2023 10:22:06"/>
    <x v="10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29"/>
    <s v="14/10"/>
    <s v="Mehreen Khan Vs Govt etc"/>
    <s v="Session"/>
    <x v="0"/>
    <x v="3"/>
    <d v="2016-11-18T00:00:00"/>
    <d v="2020-07-08T00:00:00"/>
    <m/>
    <m/>
    <m/>
    <m/>
    <m/>
    <s v="Arguments"/>
    <s v="Periodic delvery of possession of land"/>
    <s v="Last Month Pendency"/>
    <s v="Windows User"/>
    <d v="2022-02-11T14:15:54"/>
    <x v="11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0"/>
    <s v="18/10 Neem"/>
    <s v="Mia ZarinKhan Vs Mumtaz Ahmad Jan"/>
    <s v="Session"/>
    <x v="0"/>
    <x v="3"/>
    <d v="2020-10-06T00:00:00"/>
    <m/>
    <m/>
    <m/>
    <m/>
    <m/>
    <m/>
    <s v="Attendance"/>
    <m/>
    <s v="Last Month Pendency"/>
    <s v="Windows User"/>
    <d v="2022-01-10T13:56:55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1"/>
    <s v="Ex No 26/10 Neem of 2020"/>
    <s v="Sarir Shah Vs Govt"/>
    <s v="Session"/>
    <x v="0"/>
    <x v="3"/>
    <d v="2020-11-02T00:00:00"/>
    <m/>
    <d v="2023-03-21T00:00:00"/>
    <s v="Restored"/>
    <m/>
    <s v=""/>
    <s v=""/>
    <s v="Attendance"/>
    <s v=""/>
    <s v="Last Month Pendency"/>
    <s v="Windows User"/>
    <s v="31-03-2023 12:01:48"/>
    <x v="2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32"/>
    <s v="20/10"/>
    <s v="Lal Badshah VS Muhammad Fayaz"/>
    <s v="Session"/>
    <x v="0"/>
    <x v="3"/>
    <d v="2020-11-05T00:00:00"/>
    <m/>
    <m/>
    <m/>
    <m/>
    <m/>
    <m/>
    <s v="Attendance"/>
    <m/>
    <s v="Last Month Pendency"/>
    <s v="Windows User"/>
    <d v="2022-01-10T13:57:3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3"/>
    <s v="Ex No 23/10 Nem of 2020"/>
    <s v="Nasar Shah VS Govt etc"/>
    <s v="Session"/>
    <x v="0"/>
    <x v="3"/>
    <d v="2020-11-26T00:00:00"/>
    <m/>
    <d v="2023-03-21T00:00:00"/>
    <s v="Restored"/>
    <d v="2023-06-27T00:00:00"/>
    <s v="Disposed"/>
    <s v="Uncontested"/>
    <s v=""/>
    <s v=""/>
    <s v="Last Month Pendency"/>
    <s v="Windows User"/>
    <d v="2023-03-07T15:19:38"/>
    <x v="2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34"/>
    <s v="Ex No 25/10 Neem of 2020"/>
    <s v="Zahir Shah Vs Govt etc"/>
    <s v="Session"/>
    <x v="0"/>
    <x v="3"/>
    <d v="2020-11-27T00:00:00"/>
    <m/>
    <d v="2023-03-22T00:00:00"/>
    <s v="Restored"/>
    <d v="2023-06-27T00:00:00"/>
    <s v="Disposed"/>
    <s v="Uncontested"/>
    <s v=""/>
    <s v=""/>
    <s v="Last Month Pendency"/>
    <s v="Windows User"/>
    <d v="2023-03-07T14:57:30"/>
    <x v="2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35"/>
    <s v="Ex No 27/10 Neem of 2020"/>
    <s v="Kiramat Shah Vs Govt etc"/>
    <s v="Session"/>
    <x v="0"/>
    <x v="3"/>
    <d v="2020-12-02T00:00:00"/>
    <m/>
    <d v="2023-03-21T00:00:00"/>
    <s v="Restored"/>
    <m/>
    <s v=""/>
    <s v=""/>
    <s v="Attendance"/>
    <s v=""/>
    <s v="Last Month Pendency"/>
    <s v="Windows User"/>
    <s v="31-03-2023 12:06:33"/>
    <x v="2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36"/>
    <s v="Ex No 1/10 Neem of 2021"/>
    <s v="Shahensha Khan Vs Govt etc"/>
    <s v="Session"/>
    <x v="0"/>
    <x v="3"/>
    <d v="2021-01-02T00:00:00"/>
    <m/>
    <d v="2023-03-21T00:00:00"/>
    <s v="Restored"/>
    <d v="2023-06-27T00:00:00"/>
    <s v="Disposed"/>
    <s v="Uncontested"/>
    <s v=""/>
    <s v=""/>
    <s v="Last Month Pendency"/>
    <s v="Windows User"/>
    <d v="2023-03-07T15:11:48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37"/>
    <s v="20/10"/>
    <s v="Hamad Siraj Vs Anwar Shah"/>
    <s v="Session"/>
    <x v="0"/>
    <x v="3"/>
    <d v="2021-04-03T00:00:00"/>
    <m/>
    <m/>
    <m/>
    <m/>
    <m/>
    <m/>
    <s v="Attendance"/>
    <m/>
    <s v="Last Month Pendency"/>
    <s v="Windows User"/>
    <d v="2022-01-10T13:59:31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38"/>
    <s v="Ex No 49/10 Neem of 2021"/>
    <s v="Bakht Biland Khan Vs Govt etc"/>
    <s v="Session"/>
    <x v="0"/>
    <x v="3"/>
    <d v="2021-06-16T00:00:00"/>
    <m/>
    <d v="2023-03-24T00:00:00"/>
    <s v="Restored"/>
    <m/>
    <s v=""/>
    <s v=""/>
    <s v="Attendance"/>
    <s v=""/>
    <s v="Last Month Pendency"/>
    <s v="Windows User"/>
    <s v="31-03-2023 12:04:57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39"/>
    <s v="51/10"/>
    <s v="Shahd Muhammad Vs Rahaq Iqbal"/>
    <s v="Session"/>
    <x v="0"/>
    <x v="3"/>
    <d v="2021-10-15T00:00:00"/>
    <m/>
    <m/>
    <m/>
    <m/>
    <m/>
    <m/>
    <s v="Attendance"/>
    <m/>
    <s v="Last Month Pendency"/>
    <s v="Windows User"/>
    <d v="2022-01-10T14:01:38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0"/>
    <s v="3/10"/>
    <s v="Akbar Muhammad Vs Rahman said"/>
    <s v="Session"/>
    <x v="0"/>
    <x v="3"/>
    <d v="2022-01-16T00:00:00"/>
    <m/>
    <m/>
    <m/>
    <m/>
    <m/>
    <m/>
    <s v="Attendance"/>
    <m/>
    <s v="Last Month Pendency"/>
    <s v="Windows User"/>
    <d v="2022-01-10T14:03:43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1"/>
    <s v="1/10"/>
    <s v="Fazal Ghafoor Vs Akbar"/>
    <s v="Session"/>
    <x v="0"/>
    <x v="3"/>
    <d v="2022-01-20T00:00:00"/>
    <m/>
    <m/>
    <m/>
    <m/>
    <m/>
    <m/>
    <s v="Attendance"/>
    <m/>
    <s v="Last Month Pendency"/>
    <s v="Windows User"/>
    <d v="2022-01-10T14:03:04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2"/>
    <s v="4/10"/>
    <s v="Tajbar Khan Vs Atha Ullah"/>
    <s v="Session"/>
    <x v="0"/>
    <x v="3"/>
    <d v="2022-01-21T00:00:00"/>
    <m/>
    <m/>
    <m/>
    <m/>
    <m/>
    <m/>
    <s v="Attendance"/>
    <m/>
    <s v="Last Month Pendency"/>
    <s v="Windows User"/>
    <d v="2022-01-10T14:04:14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3"/>
    <s v="5/10"/>
    <s v="Mukamal Said Vs Usman Ghani"/>
    <s v="Session"/>
    <x v="0"/>
    <x v="3"/>
    <d v="2022-06-21T00:00:00"/>
    <m/>
    <m/>
    <m/>
    <m/>
    <m/>
    <m/>
    <s v="Attendance"/>
    <m/>
    <s v="Last Month Pendency"/>
    <s v="Windows User"/>
    <d v="2022-01-10T14:05:33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144"/>
    <s v="Ex No 6/10 Neem of 2022"/>
    <s v="Ali Rehman etc Vs Govt etc"/>
    <s v="Session"/>
    <x v="0"/>
    <x v="3"/>
    <d v="2022-09-13T00:00:00"/>
    <m/>
    <d v="2023-03-25T00:00:00"/>
    <s v="Restored"/>
    <m/>
    <s v=""/>
    <s v=""/>
    <s v="Attendance"/>
    <s v=""/>
    <s v="Last Month Pendency"/>
    <s v="Windows User"/>
    <s v="31-03-2023 12:11:4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5"/>
    <s v="7/10"/>
    <s v="Noor Hayat Vs Muhamad Reyaz"/>
    <s v="Session"/>
    <x v="0"/>
    <x v="3"/>
    <d v="2022-11-24T00:00:00"/>
    <m/>
    <m/>
    <m/>
    <m/>
    <s v=""/>
    <s v=""/>
    <s v="Attendance"/>
    <s v=""/>
    <s v="Last Month Pendency"/>
    <s v="Windows User"/>
    <s v="29-11-2022 14:48:0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6"/>
    <s v="8/10"/>
    <s v="Zaheer Ullah Vs Irshad Ul Haq"/>
    <s v="Session"/>
    <x v="0"/>
    <x v="3"/>
    <d v="2022-11-30T00:00:00"/>
    <m/>
    <m/>
    <m/>
    <m/>
    <s v=""/>
    <s v=""/>
    <s v="Attendance"/>
    <s v=""/>
    <s v="Last Month Pendency"/>
    <s v="Windows User"/>
    <s v="30-11-2022 14:18:2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7"/>
    <s v="9/10"/>
    <s v="Ghafoor Ahmad Vs Iftekhar Ali"/>
    <s v="Session"/>
    <x v="0"/>
    <x v="3"/>
    <d v="2022-12-09T00:00:00"/>
    <m/>
    <m/>
    <m/>
    <m/>
    <s v=""/>
    <s v=""/>
    <s v="Attendance"/>
    <s v=""/>
    <s v="Last Month Pendency"/>
    <s v="Windows User"/>
    <s v="26-12-2022 11:54:4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8"/>
    <s v="10/10"/>
    <s v="Shah Husain Vs Muhammad Wali"/>
    <s v="Session"/>
    <x v="0"/>
    <x v="3"/>
    <d v="2022-12-19T00:00:00"/>
    <m/>
    <m/>
    <m/>
    <m/>
    <s v=""/>
    <s v=""/>
    <s v="Attendance"/>
    <s v=""/>
    <s v="Last Month Pendency"/>
    <s v="Windows User"/>
    <s v="26-12-2022 11:55:2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49"/>
    <s v="2/10"/>
    <s v="Ali Akbar Vs Govt KPK etc"/>
    <s v="Session"/>
    <x v="0"/>
    <x v="3"/>
    <d v="2023-02-11T00:00:00"/>
    <m/>
    <m/>
    <m/>
    <m/>
    <s v=""/>
    <s v=""/>
    <s v="Attendance"/>
    <s v=""/>
    <s v="Last Month Pendency"/>
    <s v="Windows User"/>
    <s v="23-02-2023 11:59:0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0"/>
    <s v="Ex No 4/10"/>
    <s v="Ali Khan etc Vs Govt kpk"/>
    <s v="Session"/>
    <x v="0"/>
    <x v="3"/>
    <d v="2023-03-10T00:00:00"/>
    <m/>
    <m/>
    <m/>
    <d v="2023-06-27T00:00:00"/>
    <s v="Disposed"/>
    <s v="Uncontested"/>
    <s v=""/>
    <s v=""/>
    <s v="Last Month Pendency"/>
    <s v="Windows User"/>
    <d v="2023-03-07T14:55:14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51"/>
    <s v="Ex No 5/10"/>
    <s v="Muhammad Munir Khan etc Vs Govt kpk"/>
    <s v="Session"/>
    <x v="0"/>
    <x v="3"/>
    <d v="2023-03-10T00:00:00"/>
    <m/>
    <m/>
    <m/>
    <d v="2023-06-27T00:00:00"/>
    <s v="Disposed"/>
    <s v="Uncontested"/>
    <s v=""/>
    <s v=""/>
    <s v="Last Month Pendency"/>
    <s v="Windows User"/>
    <d v="2023-03-07T15:03:2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52"/>
    <s v="Ex No 6/10"/>
    <s v="Inayat Ullah Vs Inam Ullah"/>
    <s v="Session"/>
    <x v="0"/>
    <x v="3"/>
    <d v="2023-03-17T00:00:00"/>
    <m/>
    <m/>
    <m/>
    <m/>
    <s v=""/>
    <s v=""/>
    <s v="Attendance"/>
    <s v=""/>
    <s v="Last Month Pendency"/>
    <s v="Windows User"/>
    <d v="2023-01-04T09:57:0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3"/>
    <s v="Ex No 7/10"/>
    <s v="Qasim Jan Vs Haif Ur Rehman"/>
    <s v="Session"/>
    <x v="0"/>
    <x v="3"/>
    <d v="2023-03-22T00:00:00"/>
    <m/>
    <m/>
    <m/>
    <m/>
    <s v=""/>
    <s v=""/>
    <s v="Attendance"/>
    <s v=""/>
    <s v="Last Month Pendency"/>
    <s v="Windows User"/>
    <d v="2023-01-04T09:58:5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4"/>
    <s v="Ex No 10/10"/>
    <s v="Sher Afzal Khan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4:4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5"/>
    <s v="Ex No 11/10"/>
    <s v="Hasan Zada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5:3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6"/>
    <s v="Ex No 12/10"/>
    <s v="Jehan Badshah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6:1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7"/>
    <s v="Ex No 13/10"/>
    <s v="Shehreyar Khan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7:0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8"/>
    <s v="Ex No 14/10"/>
    <s v="Malak Khan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7:5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59"/>
    <s v="Ex No 15/10"/>
    <s v="Inayat khan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8:2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0"/>
    <s v="Ex No 16/10"/>
    <s v="Rahmat Badshah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9:0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1"/>
    <s v="Ex No 17/10"/>
    <s v="Inayat Said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9:4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2"/>
    <s v="Ex No 18/10"/>
    <s v="Mula Gul Vs Govt etc"/>
    <s v="Session"/>
    <x v="0"/>
    <x v="3"/>
    <d v="2023-04-01T00:00:00"/>
    <m/>
    <m/>
    <m/>
    <d v="2023-06-27T00:00:00"/>
    <s v="Disposed"/>
    <s v="Uncontested"/>
    <s v=""/>
    <s v=""/>
    <s v="Last Month Pendency"/>
    <s v="Windows User"/>
    <d v="2023-03-07T14:55:4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63"/>
    <s v="Ex No 19/10"/>
    <s v="Nauman Khan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3:0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4"/>
    <s v="Ex No 20/10"/>
    <s v="Wahab Ullah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3:4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5"/>
    <s v="Ex No 21/10"/>
    <s v="Malak Zada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4:2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6"/>
    <s v="Ex No 22/10"/>
    <s v="Azam Khan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5:0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7"/>
    <s v="Ex No 23/10"/>
    <s v="Shahab Ud Din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5:4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8"/>
    <s v="Ex No 24/10"/>
    <s v="Munir Badshah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6:1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69"/>
    <s v="Ex No 25/10"/>
    <s v="Muhammad Ibad Ullah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7:0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0"/>
    <s v="Ex No 26/10"/>
    <s v="Abdur Razaq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37:5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1"/>
    <s v="Ex No 8/10"/>
    <s v="Abdul Waris Vs Govt etc"/>
    <s v="Session"/>
    <x v="0"/>
    <x v="3"/>
    <d v="2023-04-01T00:00:00"/>
    <m/>
    <m/>
    <m/>
    <m/>
    <s v=""/>
    <s v=""/>
    <s v="Attendance"/>
    <s v=""/>
    <s v="Last Month Pendency"/>
    <s v="Windows User"/>
    <s v="29-04-2023 12:22:5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2"/>
    <s v="Ex No 9/10"/>
    <s v="Ahmad Din Vs govt etc"/>
    <s v="Session"/>
    <x v="0"/>
    <x v="3"/>
    <d v="2023-04-01T00:00:00"/>
    <m/>
    <m/>
    <m/>
    <d v="2023-06-27T00:00:00"/>
    <s v="Disposed"/>
    <s v="Uncontested"/>
    <s v=""/>
    <s v=""/>
    <s v="Last Month Pendency"/>
    <s v="Windows User"/>
    <d v="2023-03-07T15:04:24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73"/>
    <s v="Ex No 27/10"/>
    <s v="Roidad Husain Vs Govt etc"/>
    <s v="Session"/>
    <x v="0"/>
    <x v="3"/>
    <d v="2023-04-14T00:00:00"/>
    <m/>
    <m/>
    <m/>
    <d v="2023-06-19T00:00:00"/>
    <s v="Disposed"/>
    <s v="Uncontested"/>
    <s v=""/>
    <s v=""/>
    <s v="Last Month Pendency"/>
    <s v="Windows User"/>
    <d v="2023-03-07T14:54:21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74"/>
    <s v="43/13"/>
    <s v="Ikram Ullah Vs Mst Meher Taj etc"/>
    <s v="Session"/>
    <x v="0"/>
    <x v="3"/>
    <d v="2023-04-18T00:00:00"/>
    <m/>
    <m/>
    <m/>
    <m/>
    <s v=""/>
    <s v=""/>
    <s v="Attendance"/>
    <s v=""/>
    <s v="Last Month Pendency"/>
    <s v="Windows User"/>
    <s v="29-04-2023 13:07:2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5"/>
    <s v="28/10"/>
    <s v="Nasir Ullah Vs Govt etc"/>
    <s v="Session"/>
    <x v="0"/>
    <x v="3"/>
    <d v="2023-05-02T00:00:00"/>
    <m/>
    <m/>
    <m/>
    <m/>
    <s v=""/>
    <s v=""/>
    <s v="Attendance"/>
    <s v=""/>
    <s v="Last Month Pendency"/>
    <s v="Windows User"/>
    <d v="2023-01-06T10:43:4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76"/>
    <s v="29/10"/>
    <s v="Naseeb Khan Vs Govt etc"/>
    <s v="Session"/>
    <x v="0"/>
    <x v="3"/>
    <d v="2023-05-02T00:00:00"/>
    <m/>
    <m/>
    <m/>
    <d v="2023-06-27T00:00:00"/>
    <s v="Disposed"/>
    <s v="Uncontested"/>
    <s v=""/>
    <s v=""/>
    <s v="Last Month Pendency"/>
    <s v="Windows User"/>
    <d v="2023-03-07T15:01:4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77"/>
    <s v="30/10"/>
    <s v="Majid Ullah Vs Govt etc"/>
    <s v="Session"/>
    <x v="0"/>
    <x v="3"/>
    <d v="2023-05-02T00:00:00"/>
    <m/>
    <m/>
    <m/>
    <d v="2023-06-27T00:00:00"/>
    <s v="Disposed"/>
    <s v="Uncontested"/>
    <s v=""/>
    <s v=""/>
    <s v="Last Month Pendency"/>
    <s v="Windows User"/>
    <d v="2023-03-07T15:02:06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78"/>
    <s v="31/10"/>
    <s v="Sher Hayat Vs Govt etc"/>
    <s v="Session"/>
    <x v="0"/>
    <x v="3"/>
    <d v="2023-05-02T00:00:00"/>
    <m/>
    <m/>
    <m/>
    <d v="2023-06-27T00:00:00"/>
    <s v="Disposed"/>
    <s v="Uncontested"/>
    <s v=""/>
    <s v=""/>
    <s v="Last Month Pendency"/>
    <s v="Windows User"/>
    <d v="2023-03-07T15:02:3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79"/>
    <s v="32/10"/>
    <s v="Sadiq Ur Rehman Vs Muhammad Nageen khan"/>
    <s v="Session"/>
    <x v="0"/>
    <x v="3"/>
    <d v="2023-05-03T00:00:00"/>
    <m/>
    <m/>
    <m/>
    <m/>
    <s v=""/>
    <s v=""/>
    <s v="Attendance"/>
    <s v=""/>
    <s v="Last Month Pendency"/>
    <s v="Windows User"/>
    <d v="2023-01-06T10:46:2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0"/>
    <s v="33/10"/>
    <s v="Maqbool Muhammad Vs Imran Khan"/>
    <s v="Session"/>
    <x v="0"/>
    <x v="3"/>
    <d v="2023-05-03T00:00:00"/>
    <m/>
    <m/>
    <m/>
    <m/>
    <s v=""/>
    <s v=""/>
    <s v="Attendance"/>
    <s v=""/>
    <s v="Last Month Pendency"/>
    <s v="Windows User"/>
    <d v="2023-01-06T10:47:0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1"/>
    <s v="34/10"/>
    <s v="Hazrat Rehman Vs Govt etc"/>
    <s v="Session"/>
    <x v="0"/>
    <x v="3"/>
    <d v="2023-05-17T00:00:00"/>
    <m/>
    <m/>
    <m/>
    <m/>
    <s v=""/>
    <s v=""/>
    <s v="Attendance"/>
    <s v=""/>
    <s v="Last Month Pendency"/>
    <s v="Windows User"/>
    <d v="2023-01-06T10:47:3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2"/>
    <s v="35/10"/>
    <s v="Badshah Ameer Vs Govt etc"/>
    <s v="Session"/>
    <x v="0"/>
    <x v="3"/>
    <d v="2023-05-17T00:00:00"/>
    <m/>
    <m/>
    <m/>
    <m/>
    <s v=""/>
    <s v=""/>
    <s v="Attendance"/>
    <s v=""/>
    <s v="Last Month Pendency"/>
    <s v="Windows User"/>
    <d v="2023-01-06T10:48:1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3"/>
    <s v="36/10"/>
    <s v="Hazrat Rehman Vs Govt etc"/>
    <s v="Session"/>
    <x v="0"/>
    <x v="3"/>
    <d v="2023-05-17T00:00:00"/>
    <m/>
    <m/>
    <m/>
    <m/>
    <s v=""/>
    <s v=""/>
    <s v="Attendance"/>
    <s v=""/>
    <s v="Last Month Pendency"/>
    <s v="Windows User"/>
    <d v="2023-01-06T10:48:4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4"/>
    <s v="37/10"/>
    <s v="Hazrat Rehman Vs Govt etc"/>
    <s v="Session"/>
    <x v="0"/>
    <x v="3"/>
    <d v="2023-05-18T00:00:00"/>
    <m/>
    <m/>
    <m/>
    <m/>
    <s v=""/>
    <s v=""/>
    <s v="Attendance"/>
    <s v=""/>
    <s v="Last Month Pendency"/>
    <s v="Windows User"/>
    <d v="2023-01-06T10:49:2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5"/>
    <s v="38/10"/>
    <s v="Muhammad Ayoub Vs Govt etc"/>
    <s v="Session"/>
    <x v="0"/>
    <x v="3"/>
    <d v="2023-05-18T00:00:00"/>
    <m/>
    <m/>
    <m/>
    <m/>
    <s v=""/>
    <s v=""/>
    <s v="Attendance"/>
    <s v=""/>
    <s v="Last Month Pendency"/>
    <s v="Windows User"/>
    <d v="2023-01-06T10:49:5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86"/>
    <s v="39/10"/>
    <s v="Wali Rehman etcc Vs Govt etc"/>
    <s v="Session"/>
    <x v="0"/>
    <x v="3"/>
    <d v="2023-06-07T00:00:00"/>
    <m/>
    <m/>
    <m/>
    <m/>
    <s v=""/>
    <s v=""/>
    <s v="Attendance"/>
    <s v=""/>
    <s v="Fresh Month Institution"/>
    <s v="Windows User"/>
    <d v="2023-03-07T09:07:2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87"/>
    <s v="40/10"/>
    <s v="Ghulam Haider Vs Govt etc"/>
    <s v="Session"/>
    <x v="0"/>
    <x v="3"/>
    <d v="2023-06-07T00:00:00"/>
    <m/>
    <m/>
    <m/>
    <m/>
    <s v=""/>
    <s v=""/>
    <s v="Attendance"/>
    <s v=""/>
    <s v="Fresh Month Institution"/>
    <s v="Windows User"/>
    <d v="2023-03-07T09:08:0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88"/>
    <s v="25/10 Neem"/>
    <s v="Zahir Shah Vs Govt etc"/>
    <s v="Session"/>
    <x v="0"/>
    <x v="3"/>
    <d v="2020-11-27T00:00:00"/>
    <m/>
    <d v="2023-06-05T00:00:00"/>
    <s v="Restored"/>
    <d v="2023-06-27T00:00:00"/>
    <s v="Disposed"/>
    <s v="Uncontested"/>
    <s v=""/>
    <s v=""/>
    <s v="Other Institution"/>
    <s v="Windows User"/>
    <d v="2023-03-07T14:57:57"/>
    <x v="2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89"/>
    <s v="10/10 Neem"/>
    <s v="Badshah Wahid Vs Govt etc"/>
    <s v="Session"/>
    <x v="0"/>
    <x v="3"/>
    <d v="2021-03-17T00:00:00"/>
    <m/>
    <d v="2023-06-05T00:00:00"/>
    <s v="Restored"/>
    <m/>
    <s v=""/>
    <s v=""/>
    <s v="Attendance"/>
    <s v=""/>
    <s v="Other Institution"/>
    <s v="Windows User"/>
    <d v="2023-03-07T11:44:2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90"/>
    <s v="1/10 Neem"/>
    <s v="Jehan Alam Vs Govt etc"/>
    <s v="Session"/>
    <x v="0"/>
    <x v="3"/>
    <d v="2022-02-07T00:00:00"/>
    <m/>
    <d v="2023-06-01T00:00:00"/>
    <s v="Restored"/>
    <m/>
    <s v=""/>
    <s v=""/>
    <s v="Attendance"/>
    <s v=""/>
    <s v="Other Institution"/>
    <s v="Windows User"/>
    <d v="2023-03-07T11:47:2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91"/>
    <s v="2/10 Neem"/>
    <s v="Sami Ullah Vs Govt etc"/>
    <s v="Session"/>
    <x v="0"/>
    <x v="3"/>
    <d v="2021-06-29T00:00:00"/>
    <m/>
    <d v="2023-06-23T00:00:00"/>
    <s v="Restored"/>
    <m/>
    <s v=""/>
    <s v=""/>
    <s v="Attendance"/>
    <s v=""/>
    <s v="Other Institution"/>
    <s v="Windows User"/>
    <d v="2023-03-07T11:55:4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92"/>
    <s v="19/10 Neem Dar Neem"/>
    <s v="Ahmad Ullah Vs Muhammad Sohail"/>
    <s v="Session"/>
    <x v="0"/>
    <x v="3"/>
    <d v="2021-03-31T00:00:00"/>
    <m/>
    <d v="2023-06-23T00:00:00"/>
    <s v="Restored"/>
    <m/>
    <s v=""/>
    <s v=""/>
    <s v="Attendance"/>
    <s v=""/>
    <s v="Other Institution"/>
    <s v="Windows User"/>
    <d v="2023-03-07T11:57:42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93"/>
    <s v="1/14-c"/>
    <s v="Mst Anisa Vs Mst Alia"/>
    <s v="Session"/>
    <x v="0"/>
    <x v="4"/>
    <d v="2023-01-03T00:00:00"/>
    <m/>
    <m/>
    <m/>
    <d v="2023-06-15T00:00:00"/>
    <s v="Disposed"/>
    <s v="Contested- Non Trial Based"/>
    <s v=""/>
    <s v=""/>
    <s v="Last Month Pendency"/>
    <s v="Windows User"/>
    <d v="2023-03-07T13:00:4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94"/>
    <s v="2/14-c"/>
    <s v="Abdur Rahim Khan etc Vs Gul Sheren Zada etc"/>
    <s v="Session"/>
    <x v="0"/>
    <x v="4"/>
    <d v="2023-01-11T00:00:00"/>
    <m/>
    <m/>
    <m/>
    <m/>
    <s v=""/>
    <s v=""/>
    <s v="Attendance"/>
    <s v=""/>
    <s v="Last Month Pendency"/>
    <s v="Windows User"/>
    <s v="30-01-2023 13:18:3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95"/>
    <s v="4/14-c"/>
    <s v="Khan Zaman Khan etc Vs Muhammad Sher jan"/>
    <s v="Session"/>
    <x v="0"/>
    <x v="4"/>
    <d v="2023-01-23T00:00:00"/>
    <m/>
    <m/>
    <m/>
    <m/>
    <s v=""/>
    <s v=""/>
    <s v="Attendance"/>
    <s v=""/>
    <s v="Last Month Pendency"/>
    <s v="Windows User"/>
    <s v="30-01-2023 13:19:3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96"/>
    <s v="1/6`"/>
    <s v="Attaurahman Vs DC etc"/>
    <s v="Session"/>
    <x v="0"/>
    <x v="4"/>
    <d v="2023-02-14T00:00:00"/>
    <m/>
    <m/>
    <m/>
    <m/>
    <s v=""/>
    <s v=""/>
    <s v="Attendance"/>
    <s v=""/>
    <s v="Last Month Pendency"/>
    <s v="Windows User"/>
    <s v="23-02-2023 11:27:3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97"/>
    <s v="6/6"/>
    <s v="Sardar Bacha Vs Assistant Eng etc"/>
    <s v="Session"/>
    <x v="0"/>
    <x v="4"/>
    <d v="2023-05-02T00:00:00"/>
    <m/>
    <m/>
    <m/>
    <d v="2023-06-21T00:00:00"/>
    <s v="Disposed"/>
    <s v="Uncontested"/>
    <s v=""/>
    <s v=""/>
    <s v="Last Month Pendency"/>
    <s v="Windows User"/>
    <d v="2023-03-07T13:04:1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198"/>
    <s v="7/6"/>
    <s v="Naeem Ullah Vs Managing Director etc"/>
    <s v="Session"/>
    <x v="0"/>
    <x v="4"/>
    <d v="2023-05-02T00:00:00"/>
    <m/>
    <m/>
    <m/>
    <m/>
    <s v=""/>
    <s v=""/>
    <s v="Attendance"/>
    <s v=""/>
    <s v="Last Month Pendency"/>
    <s v="Windows User"/>
    <d v="2023-01-06T11:31:3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199"/>
    <s v="11/6"/>
    <s v="Mst Hamseeda VS Anwar Ali"/>
    <s v="Session"/>
    <x v="0"/>
    <x v="4"/>
    <d v="2023-05-17T00:00:00"/>
    <m/>
    <m/>
    <m/>
    <d v="2023-06-06T00:00:00"/>
    <s v="Disposed"/>
    <s v="Uncontested"/>
    <s v=""/>
    <s v=""/>
    <s v="Last Month Pendency"/>
    <s v="Windows User"/>
    <d v="2023-03-07T12:40:0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0"/>
    <s v="8/6"/>
    <s v="Imran Khan Vs Umar Zada"/>
    <s v="Session"/>
    <x v="0"/>
    <x v="4"/>
    <d v="2023-05-20T00:00:00"/>
    <m/>
    <m/>
    <m/>
    <d v="2023-06-09T00:00:00"/>
    <s v="Disposed"/>
    <s v="Uncontested"/>
    <s v=""/>
    <s v=""/>
    <s v="Last Month Pendency"/>
    <s v="Windows User"/>
    <d v="2023-03-07T12:40:55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1"/>
    <s v="9/6"/>
    <s v="Farid Gul Vs Mst Khalida bibi etc"/>
    <s v="Session"/>
    <x v="0"/>
    <x v="4"/>
    <d v="2023-05-23T00:00:00"/>
    <m/>
    <m/>
    <m/>
    <d v="2023-06-15T00:00:00"/>
    <s v="Disposed"/>
    <s v="Uncontested"/>
    <s v=""/>
    <s v=""/>
    <s v="Last Month Pendency"/>
    <s v="Windows User"/>
    <d v="2023-03-07T12:53:36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2"/>
    <s v="10/6"/>
    <s v="Ahmad Ullah VS Sohail Ahmad"/>
    <s v="Session"/>
    <x v="0"/>
    <x v="4"/>
    <d v="2023-05-24T00:00:00"/>
    <m/>
    <m/>
    <m/>
    <d v="2023-06-23T00:00:00"/>
    <s v="Disposed"/>
    <s v="Uncontested"/>
    <s v=""/>
    <s v=""/>
    <s v="Last Month Pendency"/>
    <s v="Windows User"/>
    <d v="2023-03-07T13:07:2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3"/>
    <s v="13/6"/>
    <s v="Mst Anisa bibi Vs Khesro etc"/>
    <s v="Session"/>
    <x v="0"/>
    <x v="4"/>
    <d v="2023-05-29T00:00:00"/>
    <m/>
    <m/>
    <m/>
    <d v="2023-06-24T00:00:00"/>
    <s v="Disposed"/>
    <s v="Uncontested"/>
    <s v=""/>
    <s v=""/>
    <s v="Last Month Pendency"/>
    <s v="Windows User"/>
    <d v="2023-03-07T13:07:51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4"/>
    <s v="14/6"/>
    <s v="Amir Nawab Khan Vs Govt et c"/>
    <s v="Session"/>
    <x v="0"/>
    <x v="4"/>
    <d v="2023-06-05T00:00:00"/>
    <m/>
    <m/>
    <m/>
    <d v="2023-06-15T00:00:00"/>
    <s v="Disposed"/>
    <s v="Uncontested"/>
    <s v=""/>
    <s v=""/>
    <s v="Fresh Month Institution"/>
    <s v="Windows User"/>
    <d v="2023-03-07T12:52:19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5"/>
    <s v="15/6"/>
    <s v="Farid Shah Vs Govt etc"/>
    <s v="Session"/>
    <x v="0"/>
    <x v="4"/>
    <d v="2023-06-05T00:00:00"/>
    <m/>
    <m/>
    <m/>
    <d v="2023-06-14T00:00:00"/>
    <s v="Disposed"/>
    <s v="Uncontested"/>
    <s v=""/>
    <s v=""/>
    <s v="Fresh Month Institution"/>
    <s v="Windows User"/>
    <d v="2023-03-07T12:48:04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6"/>
    <s v="16/6"/>
    <s v="Bahadar Zeb Vs Govt etc"/>
    <s v="Session"/>
    <x v="0"/>
    <x v="4"/>
    <d v="2023-06-05T00:00:00"/>
    <m/>
    <m/>
    <m/>
    <d v="2023-06-15T00:00:00"/>
    <s v="Disposed"/>
    <s v="Uncontested"/>
    <s v=""/>
    <s v=""/>
    <s v="Fresh Month Institution"/>
    <s v="Windows User"/>
    <d v="2023-03-07T12:53:5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7"/>
    <s v="17/6"/>
    <s v="Muhammad Jalat Khan Vs Govt etc"/>
    <s v="Session"/>
    <x v="0"/>
    <x v="4"/>
    <d v="2023-06-05T00:00:00"/>
    <m/>
    <m/>
    <m/>
    <d v="2023-06-15T00:00:00"/>
    <s v="Disposed"/>
    <s v="Uncontested"/>
    <s v=""/>
    <s v=""/>
    <s v="Fresh Month Institution"/>
    <s v="Windows User"/>
    <d v="2023-03-07T12:54:2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8"/>
    <s v="18/6"/>
    <s v="Haji Nawab Khan Vs Govt etc"/>
    <s v="Session"/>
    <x v="0"/>
    <x v="4"/>
    <d v="2023-06-05T00:00:00"/>
    <m/>
    <m/>
    <m/>
    <d v="2023-06-15T00:00:00"/>
    <s v="Disposed"/>
    <s v="Uncontested"/>
    <s v=""/>
    <s v=""/>
    <s v="Fresh Month Institution"/>
    <s v="Windows User"/>
    <d v="2023-03-07T15:12:23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09"/>
    <s v="19/6"/>
    <s v="Abdul Hameed Khan Vs Naik Zada"/>
    <s v="Session"/>
    <x v="0"/>
    <x v="4"/>
    <d v="2023-06-05T00:00:00"/>
    <m/>
    <m/>
    <m/>
    <m/>
    <s v=""/>
    <s v=""/>
    <s v="Attendance"/>
    <s v=""/>
    <s v="Fresh Month Institution"/>
    <s v="Windows User"/>
    <d v="2023-03-07T09:52:0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0"/>
    <s v="20/6"/>
    <s v="Muhammad Ilyas Khan Vs Govt etc"/>
    <s v="Session"/>
    <x v="0"/>
    <x v="4"/>
    <d v="2023-06-09T00:00:00"/>
    <m/>
    <m/>
    <m/>
    <d v="2023-06-26T00:00:00"/>
    <s v="Disposed"/>
    <s v="Uncontested"/>
    <s v=""/>
    <s v=""/>
    <s v="Fresh Month Institution"/>
    <s v="Windows User"/>
    <d v="2023-03-07T14:40:01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1"/>
    <s v="21/6"/>
    <s v="Shad Muhammd Khan Vs Hayat Khan etc"/>
    <s v="Session"/>
    <x v="0"/>
    <x v="4"/>
    <d v="2023-06-13T00:00:00"/>
    <m/>
    <m/>
    <m/>
    <d v="2023-06-13T00:00:00"/>
    <s v="Disposed"/>
    <s v="Uncontested"/>
    <s v=""/>
    <s v=""/>
    <s v="Fresh Month Institution"/>
    <s v="Windows User"/>
    <d v="2023-03-07T12:49:33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2"/>
    <s v="22/6"/>
    <s v="Ibad Ur Rehman Vs Govt etc"/>
    <s v="Session"/>
    <x v="0"/>
    <x v="4"/>
    <d v="2023-06-15T00:00:00"/>
    <m/>
    <m/>
    <m/>
    <m/>
    <s v=""/>
    <s v=""/>
    <s v="Attendance"/>
    <s v=""/>
    <s v="Fresh Month Institution"/>
    <s v="Windows User"/>
    <d v="2023-03-07T09:53:5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3"/>
    <s v="23/6"/>
    <s v="Muhammad Anwar Vs Govt etc"/>
    <s v="Session"/>
    <x v="0"/>
    <x v="4"/>
    <d v="2023-06-15T00:00:00"/>
    <m/>
    <m/>
    <m/>
    <m/>
    <s v=""/>
    <s v=""/>
    <s v="Attendance"/>
    <s v=""/>
    <s v="Fresh Month Institution"/>
    <s v="Windows User"/>
    <d v="2023-03-07T09:54:3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4"/>
    <s v="24/6"/>
    <s v="Kabir Khan Vs Shahab Ud Din"/>
    <s v="Session"/>
    <x v="0"/>
    <x v="4"/>
    <d v="2023-06-16T00:00:00"/>
    <m/>
    <m/>
    <m/>
    <m/>
    <s v=""/>
    <s v=""/>
    <s v="Attendance"/>
    <s v=""/>
    <s v="Fresh Month Institution"/>
    <s v="Windows User"/>
    <d v="2023-03-07T09:55:0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5"/>
    <s v="25/6"/>
    <s v="Muhib Ur Rehman Vs Govt etc"/>
    <s v="Session"/>
    <x v="0"/>
    <x v="4"/>
    <d v="2023-06-19T00:00:00"/>
    <m/>
    <m/>
    <m/>
    <d v="2023-06-19T00:00:00"/>
    <s v="Disposed"/>
    <s v="Uncontested"/>
    <s v=""/>
    <s v=""/>
    <s v="Fresh Month Institution"/>
    <s v="Windows User"/>
    <d v="2023-03-07T12:59:54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6"/>
    <s v="26/6"/>
    <s v="Nasar Shah Vs Govt etc"/>
    <s v="Session"/>
    <x v="0"/>
    <x v="4"/>
    <d v="2023-06-16T00:00:00"/>
    <m/>
    <m/>
    <m/>
    <d v="2023-06-16T00:00:00"/>
    <s v="Disposed"/>
    <s v="Uncontested"/>
    <s v=""/>
    <s v=""/>
    <s v="Fresh Month Institution"/>
    <s v="Windows User"/>
    <d v="2023-03-07T12:54:51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7"/>
    <s v="27/6"/>
    <s v="Kiramat Shah Vs Govt etc"/>
    <s v="Session"/>
    <x v="0"/>
    <x v="4"/>
    <d v="2023-06-16T00:00:00"/>
    <m/>
    <m/>
    <m/>
    <d v="2023-06-16T00:00:00"/>
    <s v="Disposed"/>
    <s v="Uncontested"/>
    <s v=""/>
    <s v=""/>
    <s v="Fresh Month Institution"/>
    <s v="Windows User"/>
    <d v="2023-03-07T12:55:19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8"/>
    <s v="28/6"/>
    <s v="Bakht Biland Khan Vs Govt etc"/>
    <s v="Session"/>
    <x v="0"/>
    <x v="4"/>
    <d v="2023-06-16T00:00:00"/>
    <m/>
    <m/>
    <m/>
    <m/>
    <s v=""/>
    <s v=""/>
    <s v="Attendance"/>
    <s v=""/>
    <s v="Fresh Month Institution"/>
    <s v="Windows User"/>
    <d v="2023-03-07T09:57:5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19"/>
    <s v="29/6"/>
    <s v="Shahensha Khan VS govt etc"/>
    <s v="Session"/>
    <x v="0"/>
    <x v="4"/>
    <d v="2023-06-16T00:00:00"/>
    <m/>
    <m/>
    <m/>
    <d v="2023-06-16T00:00:00"/>
    <s v="Disposed"/>
    <s v="Uncontested"/>
    <s v=""/>
    <s v=""/>
    <s v="Fresh Month Institution"/>
    <s v="Windows User"/>
    <d v="2023-03-07T12:55:4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20"/>
    <s v="30/6"/>
    <s v="Surir Shah Vs Govt etc"/>
    <s v="Session"/>
    <x v="0"/>
    <x v="4"/>
    <d v="2023-06-16T00:00:00"/>
    <m/>
    <m/>
    <m/>
    <d v="2023-06-16T00:00:00"/>
    <s v="Disposed"/>
    <s v="Uncontested"/>
    <s v=""/>
    <s v=""/>
    <s v="Fresh Month Institution"/>
    <s v="Windows User"/>
    <d v="2023-03-07T12:56:03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21"/>
    <s v="31/6"/>
    <s v="Shafiq Ur Rehman Vs Govt etc"/>
    <s v="Session"/>
    <x v="0"/>
    <x v="4"/>
    <d v="2023-06-16T00:00:00"/>
    <m/>
    <m/>
    <m/>
    <d v="2023-06-16T00:00:00"/>
    <s v="Disposed"/>
    <s v="Uncontested"/>
    <s v=""/>
    <s v=""/>
    <s v="Fresh Month Institution"/>
    <s v="Windows User"/>
    <d v="2023-03-07T13:01:5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22"/>
    <s v="32/6"/>
    <s v="Sami Ullah Vs Govt etc"/>
    <s v="Session"/>
    <x v="0"/>
    <x v="4"/>
    <d v="2023-06-23T00:00:00"/>
    <m/>
    <m/>
    <m/>
    <d v="2023-06-23T00:00:00"/>
    <s v="Disposed"/>
    <s v="Uncontested"/>
    <s v=""/>
    <s v=""/>
    <s v="Fresh Month Institution"/>
    <s v="Windows User"/>
    <d v="2023-03-07T13:07:05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23"/>
    <s v="33/6"/>
    <s v="Shakir Ullah etc Vs Govt etc"/>
    <s v="Session"/>
    <x v="0"/>
    <x v="4"/>
    <d v="2023-06-21T00:00:00"/>
    <m/>
    <m/>
    <m/>
    <d v="2023-06-21T00:00:00"/>
    <s v="Disposed"/>
    <s v="Uncontested"/>
    <s v=""/>
    <s v=""/>
    <s v="Fresh Month Institution"/>
    <s v="Windows User"/>
    <d v="2023-03-07T13:04:4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24"/>
    <s v="34/6"/>
    <s v="Muhammad Nazir Khan Vs Govt etc"/>
    <s v="Session"/>
    <x v="0"/>
    <x v="4"/>
    <d v="2023-06-21T00:00:00"/>
    <m/>
    <m/>
    <m/>
    <d v="2023-06-21T00:00:00"/>
    <s v="Disposed"/>
    <s v="Uncontested"/>
    <s v=""/>
    <s v=""/>
    <s v="Fresh Month Institution"/>
    <s v="Windows User"/>
    <d v="2023-03-07T13:05:05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25"/>
    <s v="5/6"/>
    <s v="Asad Ullah Vs Govt kpk"/>
    <s v="Session"/>
    <x v="0"/>
    <x v="5"/>
    <d v="2021-06-07T00:00:00"/>
    <m/>
    <m/>
    <m/>
    <m/>
    <m/>
    <m/>
    <s v="Attendance"/>
    <m/>
    <s v="Last Month Pendency"/>
    <s v="Windows User"/>
    <d v="2022-01-10T14:06:05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26"/>
    <s v="12/6"/>
    <s v="Abdul Samad Bacha Vs Abdul Ahad Bacha"/>
    <s v="Session"/>
    <x v="0"/>
    <x v="5"/>
    <d v="2021-07-12T00:00:00"/>
    <m/>
    <m/>
    <m/>
    <m/>
    <m/>
    <m/>
    <s v="Attendance"/>
    <m/>
    <s v="Last Month Pendency"/>
    <s v="Windows User"/>
    <d v="2022-01-10T14:06:45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27"/>
    <s v="27/6"/>
    <s v="DG ISI Vs Haji Latif Zada etc"/>
    <s v="Session"/>
    <x v="0"/>
    <x v="5"/>
    <d v="2021-12-10T00:00:00"/>
    <m/>
    <m/>
    <m/>
    <d v="2023-06-22T00:00:00"/>
    <s v="Disposed"/>
    <s v="Uncontested"/>
    <m/>
    <m/>
    <s v="Last Month Pendency"/>
    <s v="Windows User"/>
    <d v="2023-03-07T13:06:05"/>
    <x v="3"/>
    <x v="1"/>
    <s v="PHC0290-73-1"/>
    <s v="Mr Amin Said"/>
    <s v="ADSJ-1"/>
    <s v="Lower Dir - Timergara"/>
    <d v="2023-06-01T00:00:00"/>
    <s v="Regular"/>
    <m/>
    <s v="Addl: District &amp; Sessions Judge"/>
    <s v="Regular"/>
    <n v="900"/>
    <n v="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"/>
  </r>
  <r>
    <n v="228"/>
    <s v="28/6"/>
    <s v="Syed Karim Shah Vs Govt kpk etc"/>
    <s v="Session"/>
    <x v="0"/>
    <x v="5"/>
    <d v="2021-12-11T00:00:00"/>
    <m/>
    <m/>
    <m/>
    <m/>
    <m/>
    <m/>
    <s v="Attendance"/>
    <m/>
    <s v="Last Month Pendency"/>
    <s v="Windows User"/>
    <d v="2022-01-10T14:08:07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29"/>
    <s v="26/6"/>
    <s v="Razmin Khan Vs DC etc"/>
    <s v="Session"/>
    <x v="0"/>
    <x v="5"/>
    <d v="2022-07-18T00:00:00"/>
    <m/>
    <m/>
    <m/>
    <m/>
    <m/>
    <m/>
    <s v="Attendance"/>
    <m/>
    <s v="Last Month Pendency"/>
    <s v="Windows User"/>
    <d v="2022-01-10T14:12:16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30"/>
    <s v="24/6"/>
    <s v="Ahmad Shah Vs DC etc"/>
    <s v="Session"/>
    <x v="0"/>
    <x v="5"/>
    <d v="2022-08-13T00:00:00"/>
    <m/>
    <m/>
    <m/>
    <m/>
    <m/>
    <m/>
    <s v="Attendance"/>
    <m/>
    <s v="Last Month Pendency"/>
    <s v="Windows User"/>
    <d v="2022-01-10T14:13:37"/>
    <x v="4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31"/>
    <s v="13/6"/>
    <s v="Mst Shabina bibi etc Vs Alamger etc"/>
    <s v="Session"/>
    <x v="0"/>
    <x v="5"/>
    <d v="2022-10-19T00:00:00"/>
    <m/>
    <m/>
    <m/>
    <m/>
    <s v=""/>
    <s v=""/>
    <s v="Attendance"/>
    <s v=""/>
    <s v="Last Month Pendency"/>
    <s v="Windows User"/>
    <s v="31-10-2022 12:12:5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2"/>
    <s v="17/6"/>
    <s v="Muhammad Nisar Vs State"/>
    <s v="Session"/>
    <x v="0"/>
    <x v="5"/>
    <d v="2022-10-29T00:00:00"/>
    <m/>
    <m/>
    <m/>
    <m/>
    <s v=""/>
    <s v=""/>
    <s v="Attendance"/>
    <s v=""/>
    <s v="Last Month Pendency"/>
    <s v="Windows User"/>
    <s v="31-10-2022 12:15:4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3"/>
    <s v="MA 19/6"/>
    <s v="Pairas Khan Vs Liaqat Ali etc"/>
    <s v="Session"/>
    <x v="0"/>
    <x v="5"/>
    <d v="2022-11-01T00:00:00"/>
    <m/>
    <m/>
    <m/>
    <m/>
    <s v=""/>
    <s v=""/>
    <s v="Attendance"/>
    <s v=""/>
    <s v="Last Month Pendency"/>
    <s v="Windows User"/>
    <s v="29-11-2022 13:25:4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4"/>
    <s v="MA 20/6"/>
    <s v="Bakht Zamin Vs Liaqat Ali"/>
    <s v="Session"/>
    <x v="0"/>
    <x v="5"/>
    <d v="2022-11-01T00:00:00"/>
    <m/>
    <m/>
    <m/>
    <m/>
    <s v=""/>
    <s v=""/>
    <s v="Attendance"/>
    <s v=""/>
    <s v="Last Month Pendency"/>
    <s v="Windows User"/>
    <s v="29-11-2022 13:26:5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5"/>
    <s v="56/14"/>
    <s v="Mst Hifsa bibi Vs Chairman etc"/>
    <s v="Session"/>
    <x v="0"/>
    <x v="5"/>
    <d v="2022-12-02T00:00:00"/>
    <m/>
    <m/>
    <m/>
    <m/>
    <s v=""/>
    <s v=""/>
    <s v="Attendance"/>
    <s v=""/>
    <s v="Last Month Pendency"/>
    <s v="Windows User"/>
    <s v="26-12-2022 12:09:4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6"/>
    <s v="54/14"/>
    <s v="Azhar Sultan Vs General Manager etc"/>
    <s v="Session"/>
    <x v="0"/>
    <x v="5"/>
    <d v="2022-12-30T00:00:00"/>
    <m/>
    <m/>
    <m/>
    <m/>
    <s v=""/>
    <s v=""/>
    <s v="Attendance"/>
    <s v=""/>
    <s v="Last Month Pendency"/>
    <s v="Windows User"/>
    <s v="26-12-2022 12:08:0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7"/>
    <s v="5/14"/>
    <s v="Haji Noor Ullah jan Vs Haji Habib Ullah"/>
    <s v="Session"/>
    <x v="0"/>
    <x v="5"/>
    <d v="2023-01-23T00:00:00"/>
    <m/>
    <m/>
    <m/>
    <m/>
    <s v=""/>
    <s v=""/>
    <s v="Attendance"/>
    <s v=""/>
    <s v="Last Month Pendency"/>
    <s v="Windows User"/>
    <s v="30-01-2023 13:12:4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8"/>
    <s v="6/14"/>
    <s v="Nizam ud din etc Vs Gul Muhammad etc"/>
    <s v="Session"/>
    <x v="0"/>
    <x v="5"/>
    <d v="2023-01-25T00:00:00"/>
    <m/>
    <m/>
    <m/>
    <m/>
    <s v=""/>
    <s v=""/>
    <s v="Attendance"/>
    <s v=""/>
    <s v="Last Month Pendency"/>
    <s v="Windows User"/>
    <s v="30-01-2023 13:13:2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39"/>
    <s v="8/14"/>
    <s v="Sultanuddin etc Vs Mosaleem Khan"/>
    <s v="Session"/>
    <x v="0"/>
    <x v="5"/>
    <d v="2023-02-08T00:00:00"/>
    <m/>
    <m/>
    <m/>
    <d v="2023-06-13T00:00:00"/>
    <s v="Disposed"/>
    <s v="Contested- Non Trial Based"/>
    <s v=""/>
    <s v=""/>
    <s v="Last Month Pendency"/>
    <s v="Windows User"/>
    <d v="2023-03-07T12:57:46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40"/>
    <s v="10/14"/>
    <s v="Gul Amin etc Vs Malak Muhammad Naeem etc"/>
    <s v="Session"/>
    <x v="0"/>
    <x v="5"/>
    <d v="2023-02-27T00:00:00"/>
    <m/>
    <m/>
    <m/>
    <m/>
    <s v=""/>
    <s v=""/>
    <s v="Attendance"/>
    <s v=""/>
    <s v="Last Month Pendency"/>
    <s v="Windows User"/>
    <d v="2023-01-03T10:35:5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1"/>
    <s v="9/14"/>
    <s v="Hasan Zadgai Vs Alim Ul Haq"/>
    <s v="Session"/>
    <x v="0"/>
    <x v="5"/>
    <d v="2023-02-27T00:00:00"/>
    <m/>
    <m/>
    <m/>
    <m/>
    <s v=""/>
    <s v=""/>
    <s v="Attendance"/>
    <s v=""/>
    <s v="Last Month Pendency"/>
    <s v="Windows User"/>
    <d v="2023-01-03T10:36:4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2"/>
    <s v="12/14"/>
    <s v="Muhammad Yaseen Azhar etc Vs Najma Begum"/>
    <s v="Session"/>
    <x v="0"/>
    <x v="5"/>
    <d v="2023-03-02T00:00:00"/>
    <m/>
    <m/>
    <m/>
    <m/>
    <s v=""/>
    <s v=""/>
    <s v="Attendance"/>
    <s v=""/>
    <s v="Last Month Pendency"/>
    <s v="Windows User"/>
    <d v="2023-01-04T10:12:0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3"/>
    <s v="16/14"/>
    <s v="Abdur Raziq Vs Mst Jehan Khaista"/>
    <s v="Session"/>
    <x v="0"/>
    <x v="5"/>
    <d v="2023-03-10T00:00:00"/>
    <m/>
    <m/>
    <m/>
    <m/>
    <s v=""/>
    <s v=""/>
    <s v="Attendance"/>
    <s v=""/>
    <s v="Last Month Pendency"/>
    <s v="Windows User"/>
    <d v="2023-01-04T10:16:5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4"/>
    <s v="17/14"/>
    <s v="Abdul Satar Vs Mst Halima bibi etc"/>
    <s v="Session"/>
    <x v="0"/>
    <x v="5"/>
    <d v="2023-03-11T00:00:00"/>
    <m/>
    <m/>
    <m/>
    <m/>
    <s v=""/>
    <s v=""/>
    <s v="Attendance"/>
    <s v=""/>
    <s v="Last Month Pendency"/>
    <s v="Windows User"/>
    <d v="2023-01-04T10:17:5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5"/>
    <s v="18/14"/>
    <s v="Sher Zamin Vs Govt KPK etc"/>
    <s v="Session"/>
    <x v="0"/>
    <x v="5"/>
    <d v="2023-03-15T00:00:00"/>
    <m/>
    <m/>
    <m/>
    <m/>
    <s v=""/>
    <s v=""/>
    <s v="Attendance"/>
    <s v=""/>
    <s v="Last Month Pendency"/>
    <s v="Windows User"/>
    <d v="2023-01-04T10:18:5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6"/>
    <s v="19/14"/>
    <s v="Reyaz Ud Din Vs Insaf Khan etc"/>
    <s v="Session"/>
    <x v="0"/>
    <x v="5"/>
    <d v="2023-03-16T00:00:00"/>
    <m/>
    <m/>
    <m/>
    <m/>
    <s v=""/>
    <s v=""/>
    <s v="Attendance"/>
    <s v=""/>
    <s v="Last Month Pendency"/>
    <s v="Windows User"/>
    <d v="2023-01-04T10:19:5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7"/>
    <s v="17/14-c"/>
    <s v="Dawalat Khan etc VS Noor Badshah etc"/>
    <s v="Session"/>
    <x v="0"/>
    <x v="5"/>
    <d v="2023-04-01T00:00:00"/>
    <m/>
    <m/>
    <m/>
    <m/>
    <s v=""/>
    <s v=""/>
    <s v="Attendance"/>
    <s v=""/>
    <s v="Last Month Pendency"/>
    <s v="Windows User"/>
    <s v="29-04-2023 12:58:1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8"/>
    <s v="20/14-c"/>
    <s v="Ayaz Muhammad Vs Said Ayaz etc"/>
    <s v="Session"/>
    <x v="0"/>
    <x v="5"/>
    <d v="2023-04-19T00:00:00"/>
    <m/>
    <m/>
    <m/>
    <m/>
    <s v=""/>
    <s v=""/>
    <s v="Attendance"/>
    <s v=""/>
    <s v="Last Month Pendency"/>
    <s v="Windows User"/>
    <s v="29-04-2023 13:01:3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49"/>
    <s v="25/14"/>
    <s v="Subhan Ullah Vs Mst Saira Begum"/>
    <s v="Session"/>
    <x v="0"/>
    <x v="5"/>
    <d v="2023-05-18T00:00:00"/>
    <m/>
    <m/>
    <m/>
    <d v="2023-06-17T00:00:00"/>
    <s v="Disposed"/>
    <s v="Contested- Non Trial Based"/>
    <s v=""/>
    <s v=""/>
    <s v="Last Month Pendency"/>
    <s v="Windows User"/>
    <d v="2023-03-07T12:58:09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50"/>
    <s v="26/14"/>
    <s v="Atha Ullah Vs Muhammad Ibrahim etc"/>
    <s v="Session"/>
    <x v="0"/>
    <x v="5"/>
    <d v="2023-05-22T00:00:00"/>
    <m/>
    <m/>
    <m/>
    <m/>
    <s v=""/>
    <s v=""/>
    <s v="Attendance"/>
    <s v=""/>
    <s v="Last Month Pendency"/>
    <s v="Windows User"/>
    <d v="2023-01-06T11:23:4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1"/>
    <s v="27/14"/>
    <s v="Sher Kamin Khan Vs Momin Khan etc"/>
    <s v="Session"/>
    <x v="0"/>
    <x v="5"/>
    <d v="2023-06-14T00:00:00"/>
    <m/>
    <m/>
    <m/>
    <m/>
    <s v=""/>
    <s v=""/>
    <s v="Attendance"/>
    <s v=""/>
    <s v="Fresh Month Institution"/>
    <s v="Windows User"/>
    <d v="2023-03-07T09:01:2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52"/>
    <s v="28/14"/>
    <s v="Abdur Rehman Vs Sumbal bibi etc"/>
    <s v="Session"/>
    <x v="0"/>
    <x v="5"/>
    <d v="2023-06-17T00:00:00"/>
    <m/>
    <m/>
    <m/>
    <d v="2023-06-17T00:00:00"/>
    <s v="Disposed"/>
    <s v="Uncontested"/>
    <s v=""/>
    <s v=""/>
    <s v="Fresh Month Institution"/>
    <s v="Windows User"/>
    <d v="2023-03-07T12:58:3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53"/>
    <s v="29/14"/>
    <s v="Habib Ur Rehman etc Vs Mst Aqal bibi etc"/>
    <s v="Session"/>
    <x v="0"/>
    <x v="5"/>
    <d v="2023-06-13T00:00:00"/>
    <m/>
    <m/>
    <m/>
    <d v="2023-06-13T00:00:00"/>
    <s v="Disposed"/>
    <s v="Uncontested"/>
    <s v=""/>
    <s v=""/>
    <s v="Fresh Month Institution"/>
    <s v="Windows User"/>
    <d v="2023-03-07T12:50:29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54"/>
    <s v="30/14"/>
    <s v="Farid Gul etc Vs Mst Khalida bibi etc"/>
    <s v="Session"/>
    <x v="0"/>
    <x v="5"/>
    <d v="2023-06-05T00:00:00"/>
    <m/>
    <m/>
    <m/>
    <d v="2023-06-19T00:00:00"/>
    <s v="Disposed"/>
    <s v="Uncontested"/>
    <s v=""/>
    <s v=""/>
    <s v="Fresh Month Institution"/>
    <s v="Windows User"/>
    <d v="2023-03-07T12:59:1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55"/>
    <s v="12/2"/>
    <s v="Dr Anwar Zada vs Muhammad Murad etc"/>
    <s v="Session"/>
    <x v="0"/>
    <x v="6"/>
    <d v="2021-06-23T00:00:00"/>
    <m/>
    <m/>
    <m/>
    <m/>
    <m/>
    <m/>
    <s v="Attendance"/>
    <m/>
    <s v="Last Month Pendency"/>
    <s v="Windows User"/>
    <d v="2022-01-10T14:14:27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56"/>
    <s v="1/12(2)"/>
    <s v="Mst Behri Falak etc VS Khaista Sardar etc"/>
    <s v="Session"/>
    <x v="0"/>
    <x v="6"/>
    <d v="2023-03-06T00:00:00"/>
    <m/>
    <m/>
    <m/>
    <m/>
    <s v=""/>
    <s v=""/>
    <s v="Attendance"/>
    <s v=""/>
    <s v="Last Month Pendency"/>
    <s v="Windows User"/>
    <d v="2023-01-04T10:28:4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7"/>
    <s v="1/11"/>
    <s v="Mehmood Jan Vs Mst Shah Merman etc"/>
    <s v="Session"/>
    <x v="0"/>
    <x v="7"/>
    <d v="2023-01-24T00:00:00"/>
    <m/>
    <m/>
    <m/>
    <m/>
    <s v=""/>
    <s v=""/>
    <s v="Attendance"/>
    <s v=""/>
    <s v="Last Month Pendency"/>
    <s v="Windows User"/>
    <s v="30-01-2023 14:02:5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58"/>
    <s v="36/13"/>
    <s v="Waliyat said Vs Ziarat said"/>
    <s v="Session"/>
    <x v="0"/>
    <x v="8"/>
    <d v="2020-09-21T00:00:00"/>
    <m/>
    <m/>
    <m/>
    <m/>
    <m/>
    <m/>
    <s v="Attendance"/>
    <m/>
    <s v="Last Month Pendency"/>
    <s v="Windows User"/>
    <d v="2022-01-10T14:22:24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59"/>
    <s v="51/13"/>
    <s v="Syed Badshah etc Vs Govt etc"/>
    <s v="Session"/>
    <x v="0"/>
    <x v="8"/>
    <d v="2020-10-22T00:00:00"/>
    <m/>
    <m/>
    <m/>
    <m/>
    <m/>
    <m/>
    <s v="Attendance"/>
    <m/>
    <s v="Last Month Pendency"/>
    <s v="Windows User"/>
    <d v="2022-01-10T14:30:58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0"/>
    <s v="60/13"/>
    <s v="Sultanat Khan VS Mst Begum etc"/>
    <s v="Session"/>
    <x v="0"/>
    <x v="8"/>
    <d v="2020-11-06T00:00:00"/>
    <m/>
    <m/>
    <m/>
    <m/>
    <m/>
    <m/>
    <s v="Attendance"/>
    <m/>
    <s v="Last Month Pendency"/>
    <s v="Windows User"/>
    <d v="2022-01-10T14:31:36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1"/>
    <s v="55/13"/>
    <s v="Muhammad Idress VS Govt etc"/>
    <s v="Session"/>
    <x v="0"/>
    <x v="8"/>
    <d v="2020-11-16T00:00:00"/>
    <m/>
    <m/>
    <m/>
    <m/>
    <m/>
    <m/>
    <s v="Attendance"/>
    <m/>
    <s v="Last Month Pendency"/>
    <s v="Windows User"/>
    <d v="2022-01-10T14:32:12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2"/>
    <s v="57/13"/>
    <s v="Muhammad Jan etc Vs Gul Shehzada etc"/>
    <s v="Session"/>
    <x v="0"/>
    <x v="8"/>
    <d v="2020-11-17T00:00:00"/>
    <m/>
    <m/>
    <m/>
    <m/>
    <m/>
    <m/>
    <s v="Attendance"/>
    <m/>
    <s v="Last Month Pendency"/>
    <s v="Windows User"/>
    <d v="2022-01-10T14:32:59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3"/>
    <s v="62/13"/>
    <s v="Gul Shehzada Vs Muhammad Jan etc"/>
    <s v="Session"/>
    <x v="0"/>
    <x v="8"/>
    <d v="2020-11-28T00:00:00"/>
    <m/>
    <m/>
    <m/>
    <m/>
    <m/>
    <m/>
    <s v="Attendance"/>
    <m/>
    <s v="Last Month Pendency"/>
    <s v="Windows User"/>
    <d v="2022-01-10T14:34:12"/>
    <x v="2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4"/>
    <s v="10/13"/>
    <s v="Sadar Said Bacha Vs Jehan Bahadar Bacha etc"/>
    <s v="Session"/>
    <x v="0"/>
    <x v="8"/>
    <d v="2021-02-11T00:00:00"/>
    <m/>
    <m/>
    <m/>
    <m/>
    <m/>
    <m/>
    <s v="Attendance"/>
    <m/>
    <s v="Last Month Pendency"/>
    <s v="Windows User"/>
    <d v="2022-01-10T14:34:58"/>
    <x v="3"/>
    <x v="0"/>
    <s v="PHC0290-73-1"/>
    <s v="Mr Amin Said"/>
    <s v="ADSJ-1"/>
    <s v="Lower Dir - Timergara"/>
    <d v="2023-06-01T00:00:00"/>
    <s v="Regular"/>
    <m/>
    <s v="Addl: District &amp; Sessions Judge"/>
    <s v="Regular"/>
    <s v="0900"/>
    <s v="0900"/>
    <m/>
    <m/>
    <m/>
    <m/>
    <s v="  "/>
    <m/>
    <s v=" "/>
    <s v="Zone B"/>
    <b v="0"/>
    <m/>
    <m/>
    <m/>
    <m/>
    <m/>
    <m/>
    <m/>
    <m/>
    <m/>
    <m/>
    <m/>
    <m/>
    <s v="1 - Remains in this court full month"/>
    <s v="Addl: District &amp; Sessions Judge (Both Civil and Criminal Matter)"/>
  </r>
  <r>
    <n v="265"/>
    <s v="18/13"/>
    <s v="Jehan Dost Vs Yousuf Khan"/>
    <s v="Session"/>
    <x v="0"/>
    <x v="8"/>
    <d v="2021-03-03T00:00:00"/>
    <m/>
    <m/>
    <m/>
    <m/>
    <s v=""/>
    <s v=""/>
    <s v="Attendance"/>
    <s v=""/>
    <s v="Last Month Pendency"/>
    <s v="Windows User"/>
    <d v="2022-01-10T14:35:4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6"/>
    <s v="19/13"/>
    <s v="Walayat Khan Vs Said Jamal"/>
    <s v="Session"/>
    <x v="0"/>
    <x v="8"/>
    <d v="2021-03-03T00:00:00"/>
    <m/>
    <m/>
    <m/>
    <m/>
    <s v=""/>
    <s v=""/>
    <s v="Attendance"/>
    <s v=""/>
    <s v="Last Month Pendency"/>
    <s v="Windows User"/>
    <d v="2022-01-10T14:36:3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7"/>
    <s v="20/13"/>
    <s v="Sherin Zada Vs Shah Sakhyan"/>
    <s v="Session"/>
    <x v="0"/>
    <x v="8"/>
    <d v="2021-03-06T00:00:00"/>
    <m/>
    <m/>
    <m/>
    <d v="2023-06-26T00:00:00"/>
    <s v="Disposed"/>
    <s v="In Default"/>
    <s v=""/>
    <s v=""/>
    <s v="Last Month Pendency"/>
    <s v="Windows User"/>
    <d v="2023-03-07T14:35:01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268"/>
    <s v="21/13"/>
    <s v="Dost Muhammad Vs Yousuf Khan"/>
    <s v="Session"/>
    <x v="0"/>
    <x v="8"/>
    <d v="2021-03-08T00:00:00"/>
    <m/>
    <m/>
    <m/>
    <m/>
    <s v=""/>
    <s v=""/>
    <s v="Attendance"/>
    <s v=""/>
    <s v="Last Month Pendency"/>
    <s v="Windows User"/>
    <d v="2022-01-10T14:38:03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69"/>
    <s v="26/13"/>
    <s v="Amir Zahid Vs Gul Saqib"/>
    <s v="Session"/>
    <x v="0"/>
    <x v="8"/>
    <d v="2021-03-31T00:00:00"/>
    <m/>
    <m/>
    <m/>
    <m/>
    <s v=""/>
    <s v=""/>
    <s v="Attendance"/>
    <s v=""/>
    <s v="Last Month Pendency"/>
    <s v="Windows User"/>
    <d v="2022-01-10T14:38:45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0"/>
    <s v="28/13"/>
    <s v="Atha Ur Rehman Vs Muhammad Qadeem"/>
    <s v="Session"/>
    <x v="0"/>
    <x v="8"/>
    <d v="2021-04-07T00:00:00"/>
    <m/>
    <m/>
    <m/>
    <m/>
    <s v=""/>
    <s v=""/>
    <s v="Attendance"/>
    <s v=""/>
    <s v="Last Month Pendency"/>
    <s v="Windows User"/>
    <d v="2022-01-10T14:40:4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1"/>
    <s v="30/13"/>
    <s v="Obaid Ullah Vs bakht Zamin"/>
    <s v="Session"/>
    <x v="0"/>
    <x v="8"/>
    <d v="2021-04-19T00:00:00"/>
    <m/>
    <m/>
    <m/>
    <m/>
    <s v=""/>
    <s v=""/>
    <s v="Attendance"/>
    <s v=""/>
    <s v="Last Month Pendency"/>
    <s v="Windows User"/>
    <d v="2022-01-10T14:41:2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2"/>
    <s v="31/13"/>
    <s v="Bakht Zamin s Mst Sundara Bibi"/>
    <s v="Session"/>
    <x v="0"/>
    <x v="8"/>
    <d v="2021-04-19T00:00:00"/>
    <m/>
    <m/>
    <m/>
    <m/>
    <s v=""/>
    <s v=""/>
    <s v="Attendance"/>
    <s v=""/>
    <s v="Last Month Pendency"/>
    <s v="Windows User"/>
    <d v="2022-01-10T14:42:07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3"/>
    <s v="34/13"/>
    <s v="Asfandiar Vs Mst Wara Bibi"/>
    <s v="Session"/>
    <x v="0"/>
    <x v="8"/>
    <d v="2021-05-19T00:00:00"/>
    <m/>
    <m/>
    <m/>
    <m/>
    <s v=""/>
    <s v=""/>
    <s v="Attendance"/>
    <s v=""/>
    <s v="Last Month Pendency"/>
    <s v="Windows User"/>
    <d v="2022-01-10T14:42:4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4"/>
    <s v="35/13"/>
    <s v="Yousuf Khan Vs Dost Muhammad"/>
    <s v="Session"/>
    <x v="0"/>
    <x v="8"/>
    <d v="2021-05-19T00:00:00"/>
    <m/>
    <m/>
    <m/>
    <m/>
    <s v=""/>
    <s v=""/>
    <s v="Attendance"/>
    <s v=""/>
    <s v="Last Month Pendency"/>
    <s v="Windows User"/>
    <d v="2022-01-10T14:43:2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5"/>
    <s v="50/13"/>
    <s v="Muhammad Shah Abdu Dayan Khan Vs Muhammad Mukhtiar Khan"/>
    <s v="Session"/>
    <x v="0"/>
    <x v="8"/>
    <d v="2021-08-04T00:00:00"/>
    <m/>
    <m/>
    <m/>
    <m/>
    <s v=""/>
    <s v=""/>
    <s v="Attendance"/>
    <s v=""/>
    <s v="Last Month Pendency"/>
    <s v="Windows User"/>
    <d v="2022-01-10T14:45:22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6"/>
    <s v="54/13"/>
    <s v="Arshad Rehman Vs Shakir Ullah"/>
    <s v="Session"/>
    <x v="0"/>
    <x v="8"/>
    <d v="2021-10-21T00:00:00"/>
    <m/>
    <m/>
    <m/>
    <m/>
    <s v=""/>
    <s v=""/>
    <s v="Attendance"/>
    <s v=""/>
    <s v="Last Month Pendency"/>
    <s v="Windows User"/>
    <d v="2022-01-10T14:48:2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7"/>
    <s v="56/13"/>
    <s v="Muhammad Ali Khan Vs Gul Baz Khan etc"/>
    <s v="Session"/>
    <x v="0"/>
    <x v="8"/>
    <d v="2021-10-25T00:00:00"/>
    <m/>
    <m/>
    <m/>
    <m/>
    <s v=""/>
    <s v=""/>
    <s v="Attendance"/>
    <s v=""/>
    <s v="Last Month Pendency"/>
    <s v="Windows User"/>
    <d v="2022-01-10T14:49:0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8"/>
    <s v="61/13"/>
    <s v="Gul Baz Vs Muhammad Wali"/>
    <s v="Session"/>
    <x v="0"/>
    <x v="8"/>
    <d v="2021-11-10T00:00:00"/>
    <m/>
    <m/>
    <m/>
    <m/>
    <s v=""/>
    <s v=""/>
    <s v="Attendance"/>
    <s v=""/>
    <s v="Last Month Pendency"/>
    <s v="Windows User"/>
    <d v="2022-01-10T14:51:27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79"/>
    <s v="1/13"/>
    <s v="Shakir Ullah Vs Arshad Rehman"/>
    <s v="Session"/>
    <x v="0"/>
    <x v="8"/>
    <d v="2021-12-07T00:00:00"/>
    <m/>
    <m/>
    <m/>
    <m/>
    <s v=""/>
    <s v=""/>
    <s v="Attendance"/>
    <s v=""/>
    <s v="Last Month Pendency"/>
    <s v="Windows User"/>
    <d v="2022-01-10T14:53:0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0"/>
    <s v="3/13"/>
    <s v="Zia Ul Islam Vs Shah Nawaz Khan"/>
    <s v="Session"/>
    <x v="0"/>
    <x v="8"/>
    <d v="2022-01-15T00:00:00"/>
    <m/>
    <m/>
    <m/>
    <m/>
    <s v=""/>
    <s v=""/>
    <s v="Attendance"/>
    <s v=""/>
    <s v="Last Month Pendency"/>
    <s v="Windows User"/>
    <d v="2022-01-10T14:53:3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1"/>
    <s v="5/13"/>
    <s v="Fazal Haq Vs Amin Ullah"/>
    <s v="Session"/>
    <x v="0"/>
    <x v="8"/>
    <d v="2022-02-15T00:00:00"/>
    <m/>
    <m/>
    <m/>
    <m/>
    <s v=""/>
    <s v=""/>
    <s v="Attendance"/>
    <s v=""/>
    <s v="Last Month Pendency"/>
    <s v="Windows User"/>
    <d v="2022-01-10T14:54:1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2"/>
    <s v="10/13"/>
    <s v="Hamad Ullah Vs Khalil Ullah etc"/>
    <s v="Session"/>
    <x v="0"/>
    <x v="8"/>
    <d v="2022-03-07T00:00:00"/>
    <m/>
    <m/>
    <m/>
    <m/>
    <s v=""/>
    <s v=""/>
    <s v="Attendance"/>
    <s v=""/>
    <s v="Last Month Pendency"/>
    <s v="Windows User"/>
    <d v="2022-01-10T14:56:3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3"/>
    <s v="12/13"/>
    <s v="Khalil ullah Vs Mst Najia etc"/>
    <s v="Session"/>
    <x v="0"/>
    <x v="8"/>
    <d v="2022-03-24T00:00:00"/>
    <m/>
    <m/>
    <m/>
    <m/>
    <s v=""/>
    <s v=""/>
    <s v="Attendance"/>
    <s v=""/>
    <s v="Last Month Pendency"/>
    <s v="Windows User"/>
    <d v="2022-01-10T14:57:0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4"/>
    <s v="15/13"/>
    <s v="Adam Khan Vs Jehan Daraz"/>
    <s v="Session"/>
    <x v="0"/>
    <x v="8"/>
    <d v="2022-04-13T00:00:00"/>
    <m/>
    <m/>
    <m/>
    <m/>
    <s v=""/>
    <s v=""/>
    <s v="Attendance"/>
    <s v=""/>
    <s v="Last Month Pendency"/>
    <s v="Windows User"/>
    <d v="2022-01-10T14:58:0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5"/>
    <s v="16/13"/>
    <s v="Kachkol Vs Mst Husain Hilal etc"/>
    <s v="Session"/>
    <x v="0"/>
    <x v="8"/>
    <d v="2022-04-13T00:00:00"/>
    <m/>
    <m/>
    <m/>
    <m/>
    <s v=""/>
    <s v=""/>
    <s v="Attendance"/>
    <s v=""/>
    <s v="Last Month Pendency"/>
    <s v="Windows User"/>
    <d v="2022-01-10T14:58:4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6"/>
    <s v="17/13"/>
    <s v="Ghafoor Khan Vs Muhammad Inam"/>
    <s v="Session"/>
    <x v="0"/>
    <x v="8"/>
    <d v="2022-04-13T00:00:00"/>
    <m/>
    <m/>
    <m/>
    <m/>
    <s v=""/>
    <s v=""/>
    <s v="Attendance"/>
    <s v=""/>
    <s v="Last Month Pendency"/>
    <s v="Windows User"/>
    <d v="2022-01-10T14:59:2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7"/>
    <s v="18/13"/>
    <s v="Lal Zada Vs Kachkol Khan"/>
    <s v="Session"/>
    <x v="0"/>
    <x v="8"/>
    <d v="2022-04-26T00:00:00"/>
    <m/>
    <m/>
    <m/>
    <m/>
    <s v=""/>
    <s v=""/>
    <s v="Attendance"/>
    <s v=""/>
    <s v="Last Month Pendency"/>
    <s v="Windows User"/>
    <d v="2022-01-10T15:00:0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8"/>
    <s v="19/13"/>
    <s v="Fazal Rahim Vs Niaz Ali Khan"/>
    <s v="Session"/>
    <x v="0"/>
    <x v="8"/>
    <d v="2022-05-13T00:00:00"/>
    <m/>
    <m/>
    <m/>
    <m/>
    <s v=""/>
    <s v=""/>
    <s v="Attendance"/>
    <s v=""/>
    <s v="Last Month Pendency"/>
    <s v="Windows User"/>
    <d v="2022-01-10T15:01:4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89"/>
    <s v="24/13"/>
    <s v="Mst Anab Zaib Vs Govt etc"/>
    <s v="Session"/>
    <x v="0"/>
    <x v="8"/>
    <d v="2022-05-25T00:00:00"/>
    <m/>
    <m/>
    <m/>
    <m/>
    <s v=""/>
    <s v=""/>
    <s v="Attendance"/>
    <s v=""/>
    <s v="Last Month Pendency"/>
    <s v="Windows User"/>
    <d v="2022-01-10T15:03:5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0"/>
    <s v="25/13"/>
    <s v="Dr Muhammad Rehman Vs Noor Khan"/>
    <s v="Session"/>
    <x v="0"/>
    <x v="8"/>
    <d v="2022-05-25T00:00:00"/>
    <m/>
    <m/>
    <m/>
    <m/>
    <s v=""/>
    <s v=""/>
    <s v="Attendance"/>
    <s v=""/>
    <s v="Last Month Pendency"/>
    <s v="Windows User"/>
    <d v="2022-01-10T15:04:3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1"/>
    <s v="27/13"/>
    <s v="Sabir khan Vs Fazal rahim"/>
    <s v="Session"/>
    <x v="0"/>
    <x v="8"/>
    <d v="2022-06-16T00:00:00"/>
    <m/>
    <m/>
    <m/>
    <m/>
    <s v=""/>
    <s v=""/>
    <s v="Attendance"/>
    <s v=""/>
    <s v="Last Month Pendency"/>
    <s v="Windows User"/>
    <d v="2022-01-10T15:05:4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2"/>
    <s v="28/13"/>
    <s v="Ajmir Shah Vs Dr Muhammad Rehman"/>
    <s v="Session"/>
    <x v="0"/>
    <x v="8"/>
    <d v="2022-06-21T00:00:00"/>
    <m/>
    <m/>
    <m/>
    <m/>
    <s v=""/>
    <s v=""/>
    <s v="Attendance"/>
    <s v=""/>
    <s v="Last Month Pendency"/>
    <s v="Windows User"/>
    <d v="2022-01-10T15:06:1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3"/>
    <s v="29/13"/>
    <s v="Niaz Bar Khan Vs RahimDad"/>
    <s v="Session"/>
    <x v="0"/>
    <x v="8"/>
    <d v="2022-07-04T00:00:00"/>
    <m/>
    <m/>
    <m/>
    <m/>
    <s v=""/>
    <s v=""/>
    <s v="Attendance"/>
    <s v=""/>
    <s v="Last Month Pendency"/>
    <s v="Windows User"/>
    <d v="2022-01-10T15:06:5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4"/>
    <s v="33/13"/>
    <s v="Muhammad Younus Vs Mst Mahar Zamina etc"/>
    <s v="Session"/>
    <x v="0"/>
    <x v="8"/>
    <d v="2022-07-06T00:00:00"/>
    <m/>
    <m/>
    <m/>
    <m/>
    <s v=""/>
    <s v=""/>
    <s v="Attendance"/>
    <s v=""/>
    <s v="Last Month Pendency"/>
    <s v="Windows User"/>
    <d v="2022-01-10T15:08:5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5"/>
    <s v="CA No 37/13"/>
    <s v="Sheikh Bahadar Khan VS Gul Bahadar Khan etc"/>
    <s v="Session"/>
    <x v="0"/>
    <x v="8"/>
    <d v="2022-09-03T00:00:00"/>
    <m/>
    <m/>
    <m/>
    <m/>
    <s v=""/>
    <s v=""/>
    <s v="Attendance"/>
    <s v=""/>
    <s v="Last Month Pendency"/>
    <s v="Windows User"/>
    <d v="2022-03-10T13:06:1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6"/>
    <s v="CA No 39/13"/>
    <s v="Malak Abdul Hamid Khan etc Vs Muhammad Imran Khan etc"/>
    <s v="Session"/>
    <x v="0"/>
    <x v="8"/>
    <d v="2022-09-05T00:00:00"/>
    <m/>
    <m/>
    <m/>
    <m/>
    <s v=""/>
    <s v=""/>
    <s v="Attendance"/>
    <s v=""/>
    <s v="Last Month Pendency"/>
    <s v="Windows User"/>
    <d v="2022-03-10T13:07:5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7"/>
    <s v="CA No 41/13"/>
    <s v="XEN etc VS Molana Rahim Gul"/>
    <s v="Session"/>
    <x v="0"/>
    <x v="8"/>
    <d v="2022-09-05T00:00:00"/>
    <m/>
    <m/>
    <m/>
    <m/>
    <s v=""/>
    <s v=""/>
    <s v="Attendance"/>
    <s v=""/>
    <s v="Last Month Pendency"/>
    <s v="Windows User"/>
    <d v="2022-03-10T13:09:0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8"/>
    <s v="CA No 42/13"/>
    <s v="Ihleani Sheena etc Vs Govt kpk etc"/>
    <s v="Session"/>
    <x v="0"/>
    <x v="8"/>
    <d v="2022-09-05T00:00:00"/>
    <m/>
    <m/>
    <m/>
    <m/>
    <s v=""/>
    <s v=""/>
    <s v="Attendance"/>
    <s v=""/>
    <s v="Last Month Pendency"/>
    <s v="Windows User"/>
    <d v="2022-03-10T13:09:4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299"/>
    <s v="CA No 43/13"/>
    <s v="Qayoum Khan etc Vs Muzafar Khan etc"/>
    <s v="Session"/>
    <x v="0"/>
    <x v="8"/>
    <d v="2022-09-22T00:00:00"/>
    <m/>
    <m/>
    <m/>
    <m/>
    <s v=""/>
    <s v=""/>
    <s v="Attendance"/>
    <s v=""/>
    <s v="Last Month Pendency"/>
    <s v="Windows User"/>
    <d v="2022-03-10T13:10:2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0"/>
    <s v="CA No 45/13"/>
    <s v="Ali Sarwar Vs Mehmood Zeb Khan"/>
    <s v="Session"/>
    <x v="0"/>
    <x v="8"/>
    <d v="2022-09-30T00:00:00"/>
    <m/>
    <m/>
    <m/>
    <m/>
    <s v=""/>
    <s v=""/>
    <s v="Attendance"/>
    <s v=""/>
    <s v="Last Month Pendency"/>
    <s v="Windows User"/>
    <d v="2022-03-10T13:12:3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1"/>
    <s v="CA No 46/13"/>
    <s v="Hassan Khan Vs Habib Ur Rehman etc"/>
    <s v="Session"/>
    <x v="0"/>
    <x v="8"/>
    <d v="2022-09-30T00:00:00"/>
    <m/>
    <m/>
    <m/>
    <m/>
    <s v=""/>
    <s v=""/>
    <s v="Attendance"/>
    <s v=""/>
    <s v="Last Month Pendency"/>
    <s v="Windows User"/>
    <d v="2022-03-10T13:13:2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2"/>
    <s v="47/13"/>
    <s v="Muhammad Rehman Vs Mst Tahira etc"/>
    <s v="Session"/>
    <x v="0"/>
    <x v="8"/>
    <d v="2022-10-05T00:00:00"/>
    <m/>
    <m/>
    <m/>
    <m/>
    <s v=""/>
    <s v=""/>
    <s v="Attendance"/>
    <s v=""/>
    <s v="Last Month Pendency"/>
    <s v="Windows User"/>
    <s v="31-10-2022 10:40:5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3"/>
    <s v="48/13"/>
    <s v="Malak Muhammad Ayoub Vs Registrar General etc"/>
    <s v="Session"/>
    <x v="0"/>
    <x v="8"/>
    <d v="2022-10-05T00:00:00"/>
    <m/>
    <m/>
    <m/>
    <d v="2023-06-24T00:00:00"/>
    <s v="Disposed"/>
    <s v="Uncontested"/>
    <s v=""/>
    <s v=""/>
    <s v="Last Month Pendency"/>
    <s v="Windows User"/>
    <d v="2023-03-07T13:08:55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04"/>
    <s v="50/13"/>
    <s v="Abdur Rehman Vs Bahadar Zeb etc"/>
    <s v="Session"/>
    <x v="0"/>
    <x v="8"/>
    <d v="2022-10-05T00:00:00"/>
    <m/>
    <m/>
    <m/>
    <d v="2023-06-20T00:00:00"/>
    <s v="Disposed"/>
    <s v="In Default"/>
    <s v=""/>
    <s v=""/>
    <s v="Last Month Pendency"/>
    <s v="Windows User"/>
    <d v="2023-03-07T13:09:27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05"/>
    <s v="49/13"/>
    <s v="Abdur Rehman Vs Muhammad Irshad etc"/>
    <s v="Session"/>
    <x v="0"/>
    <x v="8"/>
    <d v="2022-10-06T00:00:00"/>
    <m/>
    <m/>
    <m/>
    <m/>
    <s v=""/>
    <s v=""/>
    <s v="Attendance"/>
    <s v=""/>
    <s v="Last Month Pendency"/>
    <s v="Windows User"/>
    <s v="31-10-2022 10:42:3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6"/>
    <s v="51/13"/>
    <s v="Muhammad Yaseen Vs Mst Roohamza bibi etc"/>
    <s v="Session"/>
    <x v="0"/>
    <x v="8"/>
    <d v="2022-10-07T00:00:00"/>
    <m/>
    <m/>
    <m/>
    <m/>
    <s v=""/>
    <s v=""/>
    <s v="Attendance"/>
    <s v=""/>
    <s v="Last Month Pendency"/>
    <s v="Windows User"/>
    <s v="31-10-2022 10:44:1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7"/>
    <s v="55/13"/>
    <s v="Govt etc Vs Malak Muhammad Javid"/>
    <s v="Session"/>
    <x v="0"/>
    <x v="8"/>
    <d v="2022-10-13T00:00:00"/>
    <m/>
    <m/>
    <m/>
    <m/>
    <s v=""/>
    <s v=""/>
    <s v="Attendance"/>
    <s v=""/>
    <s v="Last Month Pendency"/>
    <s v="Windows User"/>
    <s v="31-10-2022 10:48:4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8"/>
    <s v="59/13"/>
    <s v="Farman Ullah Vs Head Teacher etc"/>
    <s v="Session"/>
    <x v="0"/>
    <x v="8"/>
    <d v="2022-10-19T00:00:00"/>
    <m/>
    <m/>
    <m/>
    <m/>
    <s v=""/>
    <s v=""/>
    <s v="Attendance"/>
    <s v=""/>
    <s v="Last Month Pendency"/>
    <s v="Windows User"/>
    <s v="31-10-2022 12:03:0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09"/>
    <s v="62/13"/>
    <s v="Mudamat Khan etc Vs Salook Jana etc"/>
    <s v="Session"/>
    <x v="0"/>
    <x v="8"/>
    <d v="2022-10-25T00:00:00"/>
    <m/>
    <m/>
    <m/>
    <m/>
    <s v=""/>
    <s v=""/>
    <s v="Attendance"/>
    <s v=""/>
    <s v="Last Month Pendency"/>
    <s v="Windows User"/>
    <s v="31-10-2022 12:05:2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0"/>
    <s v="64/13"/>
    <s v="Akhunzada Fazal Wadood Vs Akhunzada Fazal Mabood etc"/>
    <s v="Session"/>
    <x v="0"/>
    <x v="8"/>
    <d v="2022-10-29T00:00:00"/>
    <m/>
    <m/>
    <m/>
    <m/>
    <s v=""/>
    <s v=""/>
    <s v="Attendance"/>
    <s v=""/>
    <s v="Last Month Pendency"/>
    <s v="Windows User"/>
    <s v="31-10-2022 12:06:5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1"/>
    <s v="65/13"/>
    <s v="Akhunzada Fazal Mehmood Vs Akhunzada Fazal Wadood etc"/>
    <s v="Session"/>
    <x v="0"/>
    <x v="8"/>
    <d v="2022-11-08T00:00:00"/>
    <m/>
    <m/>
    <m/>
    <m/>
    <s v=""/>
    <s v=""/>
    <s v="Attendance"/>
    <s v=""/>
    <s v="Last Month Pendency"/>
    <s v="Windows User"/>
    <s v="29-11-2022 14:19:0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2"/>
    <s v="67/13"/>
    <s v="Yousuf Khan etc Vs Mst Taj Ul Haram etc"/>
    <s v="Session"/>
    <x v="0"/>
    <x v="8"/>
    <d v="2022-11-16T00:00:00"/>
    <m/>
    <m/>
    <m/>
    <m/>
    <s v=""/>
    <s v=""/>
    <s v="Attendance"/>
    <s v=""/>
    <s v="Last Month Pendency"/>
    <s v="Windows User"/>
    <s v="29-11-2022 14:20:3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3"/>
    <s v="70/13"/>
    <s v="Deputy Commisioner VS Faqir Khan"/>
    <s v="Session"/>
    <x v="0"/>
    <x v="8"/>
    <d v="2022-11-30T00:00:00"/>
    <m/>
    <m/>
    <m/>
    <d v="2023-06-21T00:00:00"/>
    <s v="Disposed"/>
    <s v="Contested- Trial Based"/>
    <s v=""/>
    <s v=""/>
    <s v="Last Month Pendency"/>
    <s v="Windows User"/>
    <d v="2023-03-07T14:41:57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14"/>
    <s v="72/13"/>
    <s v="Jalat Khan Vs Widow Muhammad Bashir etc"/>
    <s v="Session"/>
    <x v="0"/>
    <x v="8"/>
    <d v="2022-12-02T00:00:00"/>
    <m/>
    <m/>
    <m/>
    <m/>
    <s v=""/>
    <s v=""/>
    <s v="Attendance"/>
    <s v=""/>
    <s v="Last Month Pendency"/>
    <s v="Windows User"/>
    <s v="26-12-2022 11:08:3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5"/>
    <s v="74/13"/>
    <s v="Akbar Khan etc Vs Faiz Ur Rehman etc"/>
    <s v="Session"/>
    <x v="0"/>
    <x v="8"/>
    <d v="2022-12-06T00:00:00"/>
    <m/>
    <m/>
    <m/>
    <m/>
    <s v=""/>
    <s v=""/>
    <s v="Attendance"/>
    <s v=""/>
    <s v="Last Month Pendency"/>
    <s v="Windows User"/>
    <s v="26-12-2022 11:10:1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6"/>
    <s v="31/FCA"/>
    <s v="Mst Rahil Nawab Vs Wasim Ullah"/>
    <s v="Session"/>
    <x v="0"/>
    <x v="8"/>
    <d v="2022-12-12T00:00:00"/>
    <m/>
    <m/>
    <m/>
    <m/>
    <s v=""/>
    <s v=""/>
    <s v="Attendance"/>
    <s v=""/>
    <s v="Last Month Pendency"/>
    <s v="Windows User"/>
    <s v="26-12-2022 11:52:3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7"/>
    <s v="43/1"/>
    <s v="Muhammad Nisar Vs Govt etc"/>
    <s v="Session"/>
    <x v="0"/>
    <x v="8"/>
    <d v="2022-12-12T00:00:00"/>
    <m/>
    <m/>
    <m/>
    <m/>
    <s v=""/>
    <s v=""/>
    <s v="Attendance"/>
    <s v=""/>
    <s v="Last Month Pendency"/>
    <s v="Windows User"/>
    <s v="26-12-2022 11:50:4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8"/>
    <s v="75/13"/>
    <s v="Mst Taj Ul Haram etc Vs Yousuf Khan etc"/>
    <s v="Session"/>
    <x v="0"/>
    <x v="8"/>
    <d v="2022-12-12T00:00:00"/>
    <m/>
    <m/>
    <m/>
    <m/>
    <s v=""/>
    <s v=""/>
    <s v="Attendance"/>
    <s v=""/>
    <s v="Last Month Pendency"/>
    <s v="Windows User"/>
    <s v="26-12-2022 11:11:2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19"/>
    <s v="79/13"/>
    <s v="Jamshid Vs Mst Shah Mirman bibi etc"/>
    <s v="Session"/>
    <x v="0"/>
    <x v="8"/>
    <d v="2022-12-16T00:00:00"/>
    <m/>
    <m/>
    <m/>
    <m/>
    <s v=""/>
    <s v=""/>
    <s v="Attendance"/>
    <s v=""/>
    <s v="Last Month Pendency"/>
    <s v="Windows User"/>
    <s v="26-12-2022 11:14:2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0"/>
    <s v="77/13"/>
    <s v="Jamil Ur Rehman Vs Habib Ur Rehman etc"/>
    <s v="Session"/>
    <x v="0"/>
    <x v="8"/>
    <d v="2022-12-19T00:00:00"/>
    <m/>
    <m/>
    <m/>
    <m/>
    <s v=""/>
    <s v=""/>
    <s v="Attendance"/>
    <s v=""/>
    <s v="Last Month Pendency"/>
    <s v="Windows User"/>
    <s v="26-12-2022 11:13:0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1"/>
    <s v="78/13"/>
    <s v="Imran Khan Vs Ghaus Ud Din"/>
    <s v="Session"/>
    <x v="0"/>
    <x v="8"/>
    <d v="2022-12-19T00:00:00"/>
    <m/>
    <m/>
    <m/>
    <m/>
    <s v=""/>
    <s v=""/>
    <s v="Attendance"/>
    <s v=""/>
    <s v="Last Month Pendency"/>
    <s v="Windows User"/>
    <s v="26-12-2022 11:13:3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2"/>
    <s v="81/13"/>
    <s v="Muhammad Shah Wazir Vs Mst Mosam bibi etc"/>
    <s v="Session"/>
    <x v="0"/>
    <x v="8"/>
    <d v="2022-12-21T00:00:00"/>
    <m/>
    <m/>
    <m/>
    <m/>
    <s v=""/>
    <s v=""/>
    <s v="Attendance"/>
    <s v=""/>
    <s v="Last Month Pendency"/>
    <s v="Windows User"/>
    <s v="26-12-2022 11:47:5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3"/>
    <s v="33/FCA"/>
    <s v="Wasim Ullah Vs Mst Rahil Nawab"/>
    <s v="Session"/>
    <x v="0"/>
    <x v="8"/>
    <d v="2022-12-22T00:00:00"/>
    <m/>
    <m/>
    <m/>
    <m/>
    <s v=""/>
    <s v=""/>
    <s v="Attendance"/>
    <s v=""/>
    <s v="Last Month Pendency"/>
    <s v="Windows User"/>
    <s v="26-12-2022 11:53:4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4"/>
    <s v="44/1"/>
    <s v="Muhammad Isamil Vs Said Umair Ali shah etc"/>
    <s v="Session"/>
    <x v="0"/>
    <x v="8"/>
    <d v="2022-12-23T00:00:00"/>
    <m/>
    <m/>
    <m/>
    <m/>
    <s v=""/>
    <s v=""/>
    <s v="Attendance"/>
    <s v=""/>
    <s v="Last Month Pendency"/>
    <s v="Windows User"/>
    <s v="26-12-2022 11:51:2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5"/>
    <s v="1/13"/>
    <s v="Pas Zamin etc Vs Nazir Gul etc"/>
    <s v="Session"/>
    <x v="0"/>
    <x v="8"/>
    <d v="2023-01-04T00:00:00"/>
    <m/>
    <m/>
    <m/>
    <m/>
    <s v=""/>
    <s v=""/>
    <s v="Attendance"/>
    <s v=""/>
    <s v="Last Month Pendency"/>
    <s v="Windows User"/>
    <s v="30-01-2023 13:21:1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6"/>
    <s v="2/13"/>
    <s v="Shaheen Vs Abid"/>
    <s v="Session"/>
    <x v="0"/>
    <x v="8"/>
    <d v="2023-01-07T00:00:00"/>
    <m/>
    <m/>
    <m/>
    <m/>
    <s v=""/>
    <s v=""/>
    <s v="Attendance"/>
    <s v=""/>
    <s v="Last Month Pendency"/>
    <s v="Windows User"/>
    <s v="30-01-2023 13:21:4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7"/>
    <s v="3/13"/>
    <s v="Hamid Ullah Khan Vs Abdullah etc"/>
    <s v="Session"/>
    <x v="0"/>
    <x v="8"/>
    <d v="2023-01-10T00:00:00"/>
    <m/>
    <m/>
    <m/>
    <m/>
    <s v=""/>
    <s v=""/>
    <s v="Attendance"/>
    <s v=""/>
    <s v="Last Month Pendency"/>
    <s v="Windows User"/>
    <s v="30-01-2023 13:22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8"/>
    <s v="4/13"/>
    <s v="Said Alam Vs Govt etc"/>
    <s v="Session"/>
    <x v="0"/>
    <x v="8"/>
    <d v="2023-01-10T00:00:00"/>
    <m/>
    <m/>
    <m/>
    <m/>
    <s v=""/>
    <s v=""/>
    <s v="Attendance"/>
    <s v=""/>
    <s v="Last Month Pendency"/>
    <s v="Windows User"/>
    <s v="30-01-2023 13:23:0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29"/>
    <s v="6/13"/>
    <s v="Said Ali Vs Mosa Khan etc"/>
    <s v="Session"/>
    <x v="0"/>
    <x v="8"/>
    <d v="2023-01-11T00:00:00"/>
    <m/>
    <m/>
    <m/>
    <m/>
    <s v=""/>
    <s v=""/>
    <s v="Attendance"/>
    <s v=""/>
    <s v="Last Month Pendency"/>
    <s v="Windows User"/>
    <s v="30-01-2023 13:24:0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0"/>
    <s v="7/13"/>
    <s v="Malak Badshah Muhammad etc Vs Dost Muhammad etc"/>
    <s v="Session"/>
    <x v="0"/>
    <x v="8"/>
    <d v="2023-01-11T00:00:00"/>
    <m/>
    <m/>
    <m/>
    <m/>
    <s v=""/>
    <s v=""/>
    <s v="Attendance"/>
    <s v=""/>
    <s v="Last Month Pendency"/>
    <s v="Windows User"/>
    <s v="30-01-2023 13:25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1"/>
    <s v="8/13"/>
    <s v="Reyaz Ul Isalm etc Vs Mst Sania bibi"/>
    <s v="Session"/>
    <x v="0"/>
    <x v="8"/>
    <d v="2023-01-13T00:00:00"/>
    <m/>
    <m/>
    <m/>
    <m/>
    <s v=""/>
    <s v=""/>
    <s v="Attendance"/>
    <s v=""/>
    <s v="Last Month Pendency"/>
    <s v="Windows User"/>
    <s v="30-01-2023 13:25:4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2"/>
    <s v="10/13"/>
    <s v="Mst Warisa bibi etc Vs Nowshad etc"/>
    <s v="Session"/>
    <x v="0"/>
    <x v="8"/>
    <d v="2023-01-25T00:00:00"/>
    <m/>
    <m/>
    <m/>
    <m/>
    <s v=""/>
    <s v=""/>
    <s v="Attendance"/>
    <s v=""/>
    <s v="Last Month Pendency"/>
    <s v="Windows User"/>
    <s v="30-01-2023 13:27:1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3"/>
    <s v="11/13"/>
    <s v="Behrooz yousuf Vs Zia Ullah etc"/>
    <s v="Session"/>
    <x v="0"/>
    <x v="8"/>
    <d v="2023-01-26T00:00:00"/>
    <m/>
    <m/>
    <m/>
    <m/>
    <s v=""/>
    <s v=""/>
    <s v="Attendance"/>
    <s v=""/>
    <s v="Last Month Pendency"/>
    <s v="Windows User"/>
    <s v="30-01-2023 13:27:4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4"/>
    <s v="12/13"/>
    <s v="Room Badshah Vs Nageen Khan etc"/>
    <s v="Session"/>
    <x v="0"/>
    <x v="8"/>
    <d v="2023-01-26T00:00:00"/>
    <m/>
    <m/>
    <m/>
    <m/>
    <s v=""/>
    <s v=""/>
    <s v="Attendance"/>
    <s v=""/>
    <s v="Last Month Pendency"/>
    <s v="Windows User"/>
    <s v="30-01-2023 13:28:2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5"/>
    <s v="9/13"/>
    <s v="Khanan Khan Vs Imran"/>
    <s v="Session"/>
    <x v="0"/>
    <x v="8"/>
    <d v="2023-01-26T00:00:00"/>
    <m/>
    <m/>
    <m/>
    <m/>
    <s v=""/>
    <s v=""/>
    <s v="Attendance"/>
    <s v=""/>
    <s v="Last Month Pendency"/>
    <s v="Windows User"/>
    <s v="30-01-2023 13:26:3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6"/>
    <s v="15/13"/>
    <s v="Sajidullah Vs Sherzaman etc"/>
    <s v="Session"/>
    <x v="0"/>
    <x v="8"/>
    <d v="2023-02-06T00:00:00"/>
    <m/>
    <m/>
    <m/>
    <m/>
    <s v=""/>
    <s v=""/>
    <s v="Attendance"/>
    <s v=""/>
    <s v="Last Month Pendency"/>
    <s v="Windows User"/>
    <s v="23-02-2023 11:35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7"/>
    <s v="17/13"/>
    <s v="Shahabuddin Vs Mst Ruqia etc"/>
    <s v="Session"/>
    <x v="0"/>
    <x v="8"/>
    <d v="2023-02-07T00:00:00"/>
    <m/>
    <m/>
    <m/>
    <m/>
    <s v=""/>
    <s v=""/>
    <s v="Attendance"/>
    <s v=""/>
    <s v="Last Month Pendency"/>
    <s v="Windows User"/>
    <s v="23-02-2023 11:36:3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8"/>
    <s v="20/13"/>
    <s v="Ibrar Ahmad Vs Govt Pakistan etc"/>
    <s v="Session"/>
    <x v="0"/>
    <x v="8"/>
    <d v="2023-02-15T00:00:00"/>
    <m/>
    <m/>
    <m/>
    <m/>
    <s v=""/>
    <s v=""/>
    <s v="Attendance"/>
    <s v=""/>
    <s v="Last Month Pendency"/>
    <s v="Windows User"/>
    <s v="23-02-2023 11:39:0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39"/>
    <s v="21/13"/>
    <s v="Sulaiman etc Vs Azizurahman"/>
    <s v="Session"/>
    <x v="0"/>
    <x v="8"/>
    <d v="2023-02-15T00:00:00"/>
    <m/>
    <m/>
    <m/>
    <m/>
    <s v=""/>
    <s v=""/>
    <s v="Attendance"/>
    <s v=""/>
    <s v="Last Month Pendency"/>
    <s v="Windows User"/>
    <s v="23-02-2023 11:39:4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0"/>
    <s v="22/13"/>
    <s v="Zubair Shah etc Vs Wakeel Khan etc"/>
    <s v="Session"/>
    <x v="0"/>
    <x v="8"/>
    <d v="2023-02-15T00:00:00"/>
    <m/>
    <m/>
    <m/>
    <m/>
    <s v=""/>
    <s v=""/>
    <s v="Attendance"/>
    <s v=""/>
    <s v="Last Month Pendency"/>
    <s v="Windows User"/>
    <s v="23-02-2023 11:40:5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1"/>
    <s v="24/13"/>
    <s v="Sayed Kheyam etc Vs System Eng etc"/>
    <s v="Session"/>
    <x v="0"/>
    <x v="8"/>
    <d v="2023-02-27T00:00:00"/>
    <m/>
    <m/>
    <m/>
    <m/>
    <s v=""/>
    <s v=""/>
    <s v="Attendance"/>
    <s v=""/>
    <s v="Last Month Pendency"/>
    <s v="Windows User"/>
    <d v="2023-01-03T10:38:1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2"/>
    <s v="25/13"/>
    <s v="Arshad Khan Vs NADRA etc"/>
    <s v="Session"/>
    <x v="0"/>
    <x v="8"/>
    <d v="2023-02-27T00:00:00"/>
    <m/>
    <m/>
    <m/>
    <m/>
    <s v=""/>
    <s v=""/>
    <s v="Attendance"/>
    <s v=""/>
    <s v="Last Month Pendency"/>
    <s v="Windows User"/>
    <d v="2023-01-03T10:37:2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3"/>
    <s v="27/13"/>
    <s v="Inam Ullah Vs Inayat Ullah"/>
    <s v="Session"/>
    <x v="0"/>
    <x v="8"/>
    <d v="2023-03-02T00:00:00"/>
    <m/>
    <m/>
    <m/>
    <m/>
    <s v=""/>
    <s v=""/>
    <s v="Attendance"/>
    <s v=""/>
    <s v="Last Month Pendency"/>
    <s v="Windows User"/>
    <d v="2023-01-04T10:31:2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4"/>
    <s v="28/13"/>
    <s v="Fazal Khabeer etc Vs Mst Fatima bibi etc"/>
    <s v="Session"/>
    <x v="0"/>
    <x v="8"/>
    <d v="2023-03-08T00:00:00"/>
    <m/>
    <m/>
    <m/>
    <m/>
    <s v=""/>
    <s v=""/>
    <s v="Attendance"/>
    <s v=""/>
    <s v="Last Month Pendency"/>
    <s v="Windows User"/>
    <d v="2023-01-04T10:32:1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5"/>
    <s v="29/13"/>
    <s v="Muhammad Alam Khan etc Vs Sher Zamin etc"/>
    <s v="Session"/>
    <x v="0"/>
    <x v="8"/>
    <d v="2023-03-10T00:00:00"/>
    <m/>
    <m/>
    <m/>
    <m/>
    <s v=""/>
    <s v=""/>
    <s v="Attendance"/>
    <s v=""/>
    <s v="Last Month Pendency"/>
    <s v="Windows User"/>
    <d v="2023-01-04T10:33:1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6"/>
    <s v="30/13"/>
    <s v="Sahib Zada VS Asil Zada etc"/>
    <s v="Session"/>
    <x v="0"/>
    <x v="8"/>
    <d v="2023-03-14T00:00:00"/>
    <m/>
    <m/>
    <m/>
    <m/>
    <s v=""/>
    <s v=""/>
    <s v="Attendance"/>
    <s v=""/>
    <s v="Last Month Pendency"/>
    <s v="Windows User"/>
    <d v="2023-01-04T10:33:4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7"/>
    <s v="31/13"/>
    <s v="Khalil Ullah Vs Gul Naseeb Khan etc"/>
    <s v="Session"/>
    <x v="0"/>
    <x v="8"/>
    <d v="2023-03-18T00:00:00"/>
    <m/>
    <m/>
    <m/>
    <m/>
    <s v=""/>
    <s v=""/>
    <s v="Attendance"/>
    <s v=""/>
    <s v="Last Month Pendency"/>
    <s v="Windows User"/>
    <d v="2023-01-04T10:34:4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8"/>
    <s v="33/13"/>
    <s v="Mumtaz Khan etc VS Muhammad Alam Khan etc"/>
    <s v="Session"/>
    <x v="0"/>
    <x v="8"/>
    <d v="2023-03-20T00:00:00"/>
    <m/>
    <m/>
    <m/>
    <m/>
    <s v=""/>
    <s v=""/>
    <s v="Attendance"/>
    <s v=""/>
    <s v="Last Month Pendency"/>
    <s v="Windows User"/>
    <d v="2023-01-04T10:36:2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49"/>
    <s v="32/13"/>
    <s v="Zahir Shah Vs Muhammad Irshad etc"/>
    <s v="Session"/>
    <x v="0"/>
    <x v="8"/>
    <d v="2023-03-22T00:00:00"/>
    <m/>
    <m/>
    <m/>
    <m/>
    <s v=""/>
    <s v=""/>
    <s v="Attendance"/>
    <s v=""/>
    <s v="Last Month Pendency"/>
    <s v="Windows User"/>
    <d v="2023-01-04T10:35:2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0"/>
    <s v="34/13"/>
    <s v="Muhammad Shafiq Vs Muhammad Nabi"/>
    <s v="Session"/>
    <x v="0"/>
    <x v="8"/>
    <d v="2023-03-27T00:00:00"/>
    <m/>
    <m/>
    <m/>
    <m/>
    <s v=""/>
    <s v=""/>
    <s v="Attendance"/>
    <s v=""/>
    <s v="Last Month Pendency"/>
    <s v="Windows User"/>
    <d v="2023-01-04T10:37:1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1"/>
    <s v="35/13"/>
    <s v="Raees Khan etc Vs Anwar Zeb etc"/>
    <s v="Session"/>
    <x v="0"/>
    <x v="8"/>
    <d v="2023-03-27T00:00:00"/>
    <m/>
    <m/>
    <m/>
    <m/>
    <s v=""/>
    <s v=""/>
    <s v="Attendance"/>
    <s v=""/>
    <s v="Last Month Pendency"/>
    <s v="Windows User"/>
    <d v="2023-01-04T10:38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2"/>
    <s v="36/13"/>
    <s v="Sher Zamin Vs Muhamamd Alam etc"/>
    <s v="Session"/>
    <x v="0"/>
    <x v="8"/>
    <d v="2023-03-28T00:00:00"/>
    <m/>
    <m/>
    <m/>
    <m/>
    <s v=""/>
    <s v=""/>
    <s v="Attendance"/>
    <s v=""/>
    <s v="Last Month Pendency"/>
    <s v="Windows User"/>
    <d v="2023-01-04T10:38:5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3"/>
    <s v="38/13"/>
    <s v="Waheed Asim Vs Education etc"/>
    <s v="Session"/>
    <x v="0"/>
    <x v="8"/>
    <d v="2023-04-01T00:00:00"/>
    <m/>
    <m/>
    <m/>
    <d v="2023-06-14T00:00:00"/>
    <s v="Disposed"/>
    <s v="Contested- Trial Based"/>
    <s v=""/>
    <s v=""/>
    <s v="Last Month Pendency"/>
    <s v="Windows User"/>
    <d v="2023-03-07T14:42:35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54"/>
    <s v="39/13"/>
    <s v="Rasool Ahmad Vs Mst Gul Naz etc"/>
    <s v="Session"/>
    <x v="0"/>
    <x v="8"/>
    <d v="2023-04-04T00:00:00"/>
    <m/>
    <m/>
    <m/>
    <m/>
    <s v=""/>
    <s v=""/>
    <s v="Attendance"/>
    <s v=""/>
    <s v="Last Month Pendency"/>
    <s v="Windows User"/>
    <s v="29-04-2023 13:04:2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5"/>
    <s v="40/13"/>
    <s v="Gul Zada Vs Habib Zada etc"/>
    <s v="Session"/>
    <x v="0"/>
    <x v="8"/>
    <d v="2023-04-06T00:00:00"/>
    <m/>
    <m/>
    <m/>
    <m/>
    <s v=""/>
    <s v=""/>
    <s v="Attendance"/>
    <s v=""/>
    <s v="Last Month Pendency"/>
    <s v="Windows User"/>
    <s v="29-04-2023 13:05:0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6"/>
    <s v="37/13"/>
    <s v="Dr Muhammad Rehman Vs Ghulam Bahadar"/>
    <s v="Session"/>
    <x v="0"/>
    <x v="8"/>
    <d v="2023-04-07T00:00:00"/>
    <m/>
    <m/>
    <m/>
    <m/>
    <s v=""/>
    <s v=""/>
    <s v="Attendance"/>
    <s v=""/>
    <s v="Last Month Pendency"/>
    <s v="Windows User"/>
    <s v="29-04-2023 13:03:0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7"/>
    <s v="44/13"/>
    <s v="Mumtaz Khan etc Vs Rooh Ullah etc"/>
    <s v="Session"/>
    <x v="0"/>
    <x v="8"/>
    <d v="2023-04-10T00:00:00"/>
    <m/>
    <m/>
    <m/>
    <m/>
    <s v=""/>
    <s v=""/>
    <s v="Attendance"/>
    <s v=""/>
    <s v="Last Month Pendency"/>
    <s v="Windows User"/>
    <s v="29-04-2023 13:08:1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8"/>
    <s v="41/13"/>
    <s v="Muhamamd Zafar Khan etc Vs Mst Hidayat bibi etc"/>
    <s v="Session"/>
    <x v="0"/>
    <x v="8"/>
    <d v="2023-04-11T00:00:00"/>
    <m/>
    <m/>
    <m/>
    <m/>
    <s v=""/>
    <s v=""/>
    <s v="Attendance"/>
    <s v=""/>
    <s v="Last Month Pendency"/>
    <s v="Windows User"/>
    <s v="29-04-2023 13:05:4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59"/>
    <s v="42/13"/>
    <s v="Nawab Zada Amir Muhammad Shah etc Vs Eucation etc"/>
    <s v="Session"/>
    <x v="0"/>
    <x v="8"/>
    <d v="2023-04-12T00:00:00"/>
    <m/>
    <m/>
    <m/>
    <m/>
    <s v=""/>
    <s v=""/>
    <s v="Attendance"/>
    <s v=""/>
    <s v="Last Month Pendency"/>
    <s v="Windows User"/>
    <s v="29-04-2023 13:06:3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0"/>
    <s v="45/13"/>
    <s v="Muhammad Mukhtiar Vs Mst Akbar bibi etc"/>
    <s v="Session"/>
    <x v="0"/>
    <x v="8"/>
    <d v="2023-04-18T00:00:00"/>
    <m/>
    <m/>
    <m/>
    <m/>
    <s v=""/>
    <s v=""/>
    <s v="Attendance"/>
    <s v=""/>
    <s v="Last Month Pendency"/>
    <s v="Windows User"/>
    <s v="29-04-2023 13:09:20"/>
    <x v="5"/>
    <x v="0"/>
    <s v="PHC0290-73-1"/>
    <s v="Mr Amin Said"/>
    <s v="ADSJ-1"/>
    <s v="Lower Dir - Timergara"/>
    <d v="2023-06-01T00:00:00"/>
    <s v="Regular-Rent Court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1"/>
    <s v="46/13"/>
    <s v="Hazrat Usman Vs Mst Gul Naaz etc"/>
    <s v="Session"/>
    <x v="0"/>
    <x v="8"/>
    <d v="2023-04-19T00:00:00"/>
    <m/>
    <m/>
    <m/>
    <m/>
    <s v=""/>
    <s v=""/>
    <s v="Attendance"/>
    <s v=""/>
    <s v="Last Month Pendency"/>
    <s v="Windows User"/>
    <s v="29-04-2023 13:09:5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2"/>
    <s v="47/13"/>
    <s v="Malak Rashid Khan Vs Muhammad Israr"/>
    <s v="Session"/>
    <x v="0"/>
    <x v="8"/>
    <d v="2023-04-20T00:00:00"/>
    <m/>
    <m/>
    <m/>
    <m/>
    <s v=""/>
    <s v=""/>
    <s v="Attendance"/>
    <s v=""/>
    <s v="Last Month Pendency"/>
    <s v="Windows User"/>
    <s v="29-04-2023 13:10:4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3"/>
    <s v="48/13"/>
    <s v="Altaf Ahmad Vs Qadeer Ahmad etc"/>
    <s v="Session"/>
    <x v="0"/>
    <x v="8"/>
    <d v="2023-05-02T00:00:00"/>
    <m/>
    <m/>
    <m/>
    <m/>
    <s v=""/>
    <s v=""/>
    <s v="Attendance"/>
    <s v=""/>
    <s v="Last Month Pendency"/>
    <s v="Windows User"/>
    <d v="2023-01-06T11:04:3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4"/>
    <s v="49/13"/>
    <s v="Muhammad Nawaz Khan etc Vs Sardar Abdul Hakim etc"/>
    <s v="Session"/>
    <x v="0"/>
    <x v="8"/>
    <d v="2023-05-02T00:00:00"/>
    <m/>
    <m/>
    <m/>
    <m/>
    <s v=""/>
    <s v=""/>
    <s v="Attendance"/>
    <s v=""/>
    <s v="Last Month Pendency"/>
    <s v="Windows User"/>
    <d v="2023-01-06T11:05:2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5"/>
    <s v="50/13"/>
    <s v="Sadbar Khan Vs Sher Alam etc"/>
    <s v="Session"/>
    <x v="0"/>
    <x v="8"/>
    <d v="2023-05-02T00:00:00"/>
    <m/>
    <m/>
    <m/>
    <m/>
    <s v=""/>
    <s v=""/>
    <s v="Attendance"/>
    <s v=""/>
    <s v="Last Month Pendency"/>
    <s v="Windows User"/>
    <d v="2023-01-06T11:05:5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6"/>
    <s v="52/13"/>
    <s v="Muhammad Ayaz Vs Amin Ur Rehman"/>
    <s v="Session"/>
    <x v="0"/>
    <x v="8"/>
    <d v="2023-05-04T00:00:00"/>
    <m/>
    <m/>
    <m/>
    <m/>
    <s v=""/>
    <s v=""/>
    <s v="Attendance"/>
    <s v=""/>
    <s v="Last Month Pendency"/>
    <s v="Windows User"/>
    <d v="2023-01-06T11:07:1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7"/>
    <s v="51/13"/>
    <s v="Mst Falak Naz Vs Govt etc"/>
    <s v="Session"/>
    <x v="0"/>
    <x v="8"/>
    <d v="2023-05-09T00:00:00"/>
    <m/>
    <m/>
    <m/>
    <m/>
    <s v=""/>
    <s v=""/>
    <s v="Attendance"/>
    <s v=""/>
    <s v="Last Month Pendency"/>
    <s v="Windows User"/>
    <d v="2023-01-06T11:06:3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8"/>
    <s v="53/13"/>
    <s v="Hayat Ullah VS Amin Ur Rehman"/>
    <s v="Session"/>
    <x v="0"/>
    <x v="8"/>
    <d v="2023-05-09T00:00:00"/>
    <m/>
    <m/>
    <m/>
    <m/>
    <s v=""/>
    <s v=""/>
    <s v="Attendance"/>
    <s v=""/>
    <s v="Last Month Pendency"/>
    <s v="Windows User"/>
    <d v="2023-01-06T11:07:4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69"/>
    <s v="54/13"/>
    <s v="Rahman Ullah etc VS Shah Zamin Khan"/>
    <s v="Session"/>
    <x v="0"/>
    <x v="8"/>
    <d v="2023-05-12T00:00:00"/>
    <m/>
    <m/>
    <m/>
    <m/>
    <s v=""/>
    <s v=""/>
    <s v="Attendance"/>
    <s v=""/>
    <s v="Last Month Pendency"/>
    <s v="Windows User"/>
    <d v="2023-01-06T11:08:2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0"/>
    <s v="55/13"/>
    <s v="Mehmood Zeb etc Vs Azhar Sultan khan etc"/>
    <s v="Session"/>
    <x v="0"/>
    <x v="8"/>
    <d v="2023-05-17T00:00:00"/>
    <m/>
    <m/>
    <m/>
    <m/>
    <s v=""/>
    <s v=""/>
    <s v="Attendance"/>
    <s v=""/>
    <s v="Last Month Pendency"/>
    <s v="Windows User"/>
    <d v="2023-01-06T11:09:2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1"/>
    <s v="56/13"/>
    <s v="Abdur Razaq etc Vs Mst Khan bibi"/>
    <s v="Session"/>
    <x v="0"/>
    <x v="8"/>
    <d v="2023-05-17T00:00:00"/>
    <m/>
    <m/>
    <m/>
    <m/>
    <s v=""/>
    <s v=""/>
    <s v="Attendance"/>
    <s v=""/>
    <s v="Last Month Pendency"/>
    <s v="Windows User"/>
    <d v="2023-01-06T11:09:5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2"/>
    <s v="57/13"/>
    <s v="Rashid Ahmad Vs Amir Baz"/>
    <s v="Session"/>
    <x v="0"/>
    <x v="8"/>
    <d v="2023-05-26T00:00:00"/>
    <m/>
    <m/>
    <m/>
    <m/>
    <s v=""/>
    <s v=""/>
    <s v="Attendance"/>
    <s v=""/>
    <s v="Last Month Pendency"/>
    <s v="Windows User"/>
    <d v="2023-01-06T11:10:3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3"/>
    <s v="57/13"/>
    <s v="Rashid Ahmad Vs Ameer Baz"/>
    <s v="Session"/>
    <x v="0"/>
    <x v="8"/>
    <d v="2023-05-26T00:00:00"/>
    <m/>
    <m/>
    <m/>
    <m/>
    <s v=""/>
    <s v=""/>
    <s v="Attendance"/>
    <s v=""/>
    <s v="Last Month Pendency"/>
    <s v="Windows User"/>
    <d v="2023-01-06T11:15:5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4"/>
    <s v="58/13"/>
    <s v="Mst Mahar Taj etc Vs Ikram Ullah etc"/>
    <s v="Session"/>
    <x v="0"/>
    <x v="8"/>
    <d v="2023-05-27T00:00:00"/>
    <m/>
    <m/>
    <m/>
    <m/>
    <s v=""/>
    <s v=""/>
    <s v="Attendance"/>
    <s v=""/>
    <s v="Last Month Pendency"/>
    <s v="Windows User"/>
    <d v="2023-01-06T11:16:3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75"/>
    <s v="59/13"/>
    <s v="Aisha bibi Vs Meer Shad Begum etc"/>
    <s v="Session"/>
    <x v="0"/>
    <x v="8"/>
    <d v="2023-06-06T00:00:00"/>
    <m/>
    <m/>
    <m/>
    <m/>
    <s v=""/>
    <s v=""/>
    <s v="Attendance"/>
    <s v=""/>
    <s v="Fresh Month Institution"/>
    <s v="Windows User"/>
    <d v="2023-03-07T09:14:4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76"/>
    <s v="60/13"/>
    <s v="Mst Anwar Begum Vs Muhammad Islam"/>
    <s v="Session"/>
    <x v="0"/>
    <x v="8"/>
    <d v="2023-06-05T00:00:00"/>
    <m/>
    <m/>
    <m/>
    <d v="2023-06-21T00:00:00"/>
    <s v="Disposed"/>
    <s v="Uncontested"/>
    <s v=""/>
    <s v=""/>
    <s v="Fresh Month Institution"/>
    <s v="Windows User"/>
    <d v="2023-03-07T13:03:5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77"/>
    <s v="61/13"/>
    <s v="Liaqat Ali Khan Vs Umar Iqbal"/>
    <s v="Session"/>
    <x v="0"/>
    <x v="8"/>
    <d v="2023-06-10T00:00:00"/>
    <m/>
    <m/>
    <m/>
    <m/>
    <s v=""/>
    <s v=""/>
    <s v="Attendance"/>
    <s v=""/>
    <s v="Fresh Month Institution"/>
    <s v="Windows User"/>
    <d v="2023-03-07T09:13:5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78"/>
    <s v="62/13"/>
    <s v="Muhammad Saeed etc Vs Exceen Public Health etc"/>
    <s v="Session"/>
    <x v="0"/>
    <x v="8"/>
    <d v="2023-06-10T00:00:00"/>
    <m/>
    <m/>
    <m/>
    <m/>
    <s v=""/>
    <s v=""/>
    <s v="Attendance"/>
    <s v=""/>
    <s v="Fresh Month Institution"/>
    <s v="Windows User"/>
    <d v="2023-03-07T09:13:2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79"/>
    <s v="63/13"/>
    <s v="Anwar Said Vs Govt etc"/>
    <s v="Session"/>
    <x v="0"/>
    <x v="8"/>
    <d v="2023-06-13T00:00:00"/>
    <m/>
    <m/>
    <m/>
    <m/>
    <s v=""/>
    <s v=""/>
    <s v="Attendance"/>
    <s v=""/>
    <s v="Fresh Month Institution"/>
    <s v="Windows User"/>
    <d v="2023-03-07T09:13:0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0"/>
    <s v="64/13"/>
    <s v="Fazal Ur Rehman etc Vs Mst Anwar Khaista etc"/>
    <s v="Session"/>
    <x v="0"/>
    <x v="8"/>
    <d v="2023-06-14T00:00:00"/>
    <m/>
    <m/>
    <m/>
    <m/>
    <s v=""/>
    <s v=""/>
    <s v="Attendance"/>
    <s v=""/>
    <s v="Fresh Month Institution"/>
    <s v="Windows User"/>
    <d v="2023-03-07T09:15:3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1"/>
    <s v="69/13 Neem"/>
    <s v="Shad Muhammad Vs Hayat Khan etc"/>
    <s v="Session"/>
    <x v="0"/>
    <x v="8"/>
    <d v="2022-11-19T00:00:00"/>
    <m/>
    <d v="2023-06-13T00:00:00"/>
    <s v="Restored"/>
    <m/>
    <s v=""/>
    <s v=""/>
    <s v="Attendance"/>
    <s v=""/>
    <s v="Other Institution"/>
    <s v="Windows User"/>
    <d v="2023-03-07T11:49:3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2"/>
    <s v="70/13"/>
    <s v="Abdur Rashed Vs Govt etc"/>
    <s v="Session"/>
    <x v="0"/>
    <x v="8"/>
    <d v="2023-06-22T00:00:00"/>
    <m/>
    <m/>
    <m/>
    <m/>
    <s v=""/>
    <s v=""/>
    <s v="Attendance"/>
    <s v=""/>
    <s v="Fresh Month Institution"/>
    <s v="Windows User"/>
    <d v="2023-03-07T12:35:1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3"/>
    <s v="69/13"/>
    <s v="Fazal Hameed Vs Malak Jehan Alam etc"/>
    <s v="Session"/>
    <x v="0"/>
    <x v="8"/>
    <d v="2023-06-22T00:00:00"/>
    <m/>
    <m/>
    <m/>
    <m/>
    <s v=""/>
    <s v=""/>
    <s v="Attendance"/>
    <s v=""/>
    <s v="Fresh Month Institution"/>
    <s v="Windows User"/>
    <d v="2023-03-07T12:36:0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4"/>
    <s v="68/13"/>
    <s v="Mst Anisa Bibi Vs Khesro etc"/>
    <s v="Session"/>
    <x v="0"/>
    <x v="8"/>
    <d v="2023-06-21T00:00:00"/>
    <m/>
    <m/>
    <m/>
    <m/>
    <s v=""/>
    <s v=""/>
    <s v="Attendance"/>
    <s v=""/>
    <s v="Fresh Month Institution"/>
    <s v="Windows User"/>
    <d v="2023-03-07T12:36:4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5"/>
    <s v="67/13"/>
    <s v="Shah Israr Vs Mst Amina Bibi"/>
    <s v="Session"/>
    <x v="0"/>
    <x v="8"/>
    <d v="2023-06-20T00:00:00"/>
    <m/>
    <m/>
    <m/>
    <m/>
    <s v=""/>
    <s v=""/>
    <s v="Attendance"/>
    <s v=""/>
    <s v="Fresh Month Institution"/>
    <s v="Windows User"/>
    <d v="2023-03-07T12:37:3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86"/>
    <s v="5/14-c"/>
    <s v="Ghulam Ishaq Vs Rohi Parwar etc"/>
    <s v="Session"/>
    <x v="0"/>
    <x v="9"/>
    <d v="2021-05-09T00:00:00"/>
    <m/>
    <m/>
    <m/>
    <m/>
    <s v=""/>
    <s v=""/>
    <s v="Attendance"/>
    <s v=""/>
    <s v="Last Month Pendency"/>
    <s v="Windows User"/>
    <d v="2022-01-10T15:16:03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7"/>
    <s v="21/14-c"/>
    <s v="Inayat Khan VS Mst Gul Shan ara etc"/>
    <s v="Session"/>
    <x v="0"/>
    <x v="9"/>
    <d v="2021-09-21T00:00:00"/>
    <m/>
    <m/>
    <m/>
    <m/>
    <s v=""/>
    <s v=""/>
    <s v="Attendance"/>
    <s v=""/>
    <s v="Last Month Pendency"/>
    <s v="Windows User"/>
    <d v="2022-01-10T15:21:1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8"/>
    <s v="24/14-c"/>
    <s v="Shah Murad Khan etc Vs Sultan zeb etc"/>
    <s v="Session"/>
    <x v="0"/>
    <x v="9"/>
    <d v="2021-09-27T00:00:00"/>
    <m/>
    <m/>
    <m/>
    <m/>
    <s v=""/>
    <s v=""/>
    <s v="Attendance"/>
    <s v=""/>
    <s v="Last Month Pendency"/>
    <s v="Windows User"/>
    <d v="2022-01-10T15:22:07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89"/>
    <s v="1/14-c"/>
    <s v="Shakil Ahmad Vs mst Noor begum"/>
    <s v="Session"/>
    <x v="0"/>
    <x v="9"/>
    <d v="2022-02-10T00:00:00"/>
    <m/>
    <m/>
    <m/>
    <m/>
    <s v=""/>
    <s v=""/>
    <s v="Attendance"/>
    <s v=""/>
    <s v="Last Month Pendency"/>
    <s v="Windows User"/>
    <d v="2022-01-10T15:24:1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0"/>
    <s v="5/14-c"/>
    <s v="Mst Nahid Sultan etc Vs Jehan Alam etc"/>
    <s v="Session"/>
    <x v="0"/>
    <x v="9"/>
    <d v="2022-07-15T00:00:00"/>
    <m/>
    <m/>
    <m/>
    <m/>
    <s v=""/>
    <s v=""/>
    <s v="Attendance"/>
    <s v=""/>
    <s v="Last Month Pendency"/>
    <s v="Windows User"/>
    <d v="2022-01-10T15:26:1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1"/>
    <s v="1/14-c"/>
    <s v="Gul Nawab etc Vs Said Zamin etc"/>
    <s v="Session"/>
    <x v="0"/>
    <x v="9"/>
    <d v="2022-10-01T00:00:00"/>
    <m/>
    <m/>
    <m/>
    <m/>
    <s v=""/>
    <s v=""/>
    <s v="Attendance"/>
    <s v=""/>
    <s v="Last Month Pendency"/>
    <s v="Windows User"/>
    <s v="31-10-2022 11:14:0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2"/>
    <s v="20/14-c"/>
    <s v="Munib Ullah Vs Noor Zamin etc"/>
    <s v="Session"/>
    <x v="0"/>
    <x v="9"/>
    <d v="2022-10-29T00:00:00"/>
    <m/>
    <m/>
    <m/>
    <m/>
    <s v=""/>
    <s v=""/>
    <s v="Attendance"/>
    <s v=""/>
    <s v="Last Month Pendency"/>
    <s v="Windows User"/>
    <s v="31-10-2022 11:25:2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3"/>
    <s v="21/14-c"/>
    <s v="Shamsher Khan Vs Hakim Khan etc"/>
    <s v="Session"/>
    <x v="0"/>
    <x v="9"/>
    <d v="2022-10-31T00:00:00"/>
    <m/>
    <m/>
    <m/>
    <d v="2023-06-14T00:00:00"/>
    <s v="Disposed"/>
    <s v="Contested- Non Trial Based"/>
    <s v=""/>
    <s v=""/>
    <s v="Last Month Pendency"/>
    <s v="Windows User"/>
    <d v="2023-03-07T13:00:22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394"/>
    <s v="28/14-c"/>
    <s v="Inayat Ullah etc Vs Bakht Zada etc"/>
    <s v="Session"/>
    <x v="0"/>
    <x v="9"/>
    <d v="2022-12-19T00:00:00"/>
    <m/>
    <m/>
    <m/>
    <m/>
    <s v=""/>
    <s v=""/>
    <s v="Attendance"/>
    <s v=""/>
    <s v="Last Month Pendency"/>
    <s v="Windows User"/>
    <s v="26-12-2022 12:42:2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5"/>
    <s v="29/14-c"/>
    <s v="Azhar Sultan etc Vs Yousuf Khan etc"/>
    <s v="Session"/>
    <x v="0"/>
    <x v="9"/>
    <d v="2022-12-21T00:00:00"/>
    <m/>
    <m/>
    <m/>
    <m/>
    <s v=""/>
    <s v=""/>
    <s v="Attendance"/>
    <s v=""/>
    <s v="Last Month Pendency"/>
    <s v="Windows User"/>
    <s v="26-12-2022 12:43:0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6"/>
    <s v="30/14-c"/>
    <s v="Saeed Muhammad Vs Shahab Ud Din etc"/>
    <s v="Session"/>
    <x v="0"/>
    <x v="9"/>
    <d v="2022-12-21T00:00:00"/>
    <m/>
    <m/>
    <m/>
    <m/>
    <s v=""/>
    <s v=""/>
    <s v="Attendance"/>
    <s v=""/>
    <s v="Last Month Pendency"/>
    <s v="Windows User"/>
    <s v="26-12-2022 12:43:4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7"/>
    <s v="8/14-c"/>
    <s v="Mst Aliya Vs Nawab Zada Abdur Rahim etc"/>
    <s v="Session"/>
    <x v="0"/>
    <x v="9"/>
    <d v="2023-02-10T00:00:00"/>
    <m/>
    <m/>
    <m/>
    <m/>
    <s v=""/>
    <s v=""/>
    <s v="Attendance"/>
    <s v=""/>
    <s v="Last Month Pendency"/>
    <s v="Windows User"/>
    <s v="23-02-2023 11:50:4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8"/>
    <s v="9/14-c"/>
    <s v="Akbar Shah Vs Mst Rukhsana etc"/>
    <s v="Session"/>
    <x v="0"/>
    <x v="9"/>
    <d v="2023-02-14T00:00:00"/>
    <m/>
    <m/>
    <m/>
    <m/>
    <s v=""/>
    <s v=""/>
    <s v="Attendance"/>
    <s v=""/>
    <s v="Last Month Pendency"/>
    <s v="Windows User"/>
    <s v="23-02-2023 11:51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399"/>
    <s v="12/14-c"/>
    <s v="XEN C&amp;W etc Vs Israr Ud Din etc"/>
    <s v="Session"/>
    <x v="0"/>
    <x v="9"/>
    <d v="2023-03-08T00:00:00"/>
    <m/>
    <m/>
    <m/>
    <m/>
    <s v=""/>
    <s v=""/>
    <s v="Attendance"/>
    <s v=""/>
    <s v="Last Month Pendency"/>
    <s v="Windows User"/>
    <d v="2023-01-04T10:22:3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0"/>
    <s v="13/14-c"/>
    <s v="Hazrat Nabi Vs Muhammad Naeem etc"/>
    <s v="Session"/>
    <x v="0"/>
    <x v="9"/>
    <d v="2023-03-10T00:00:00"/>
    <m/>
    <m/>
    <m/>
    <m/>
    <s v=""/>
    <s v=""/>
    <s v="Attendance"/>
    <s v=""/>
    <s v="Last Month Pendency"/>
    <s v="Windows User"/>
    <d v="2023-01-04T10:23:3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1"/>
    <s v="15/14-c"/>
    <s v="Fazal Azim etc V Abdul Hamid etc"/>
    <s v="Session"/>
    <x v="0"/>
    <x v="9"/>
    <d v="2023-03-16T00:00:00"/>
    <m/>
    <m/>
    <m/>
    <d v="2023-06-22T00:00:00"/>
    <s v="Disposed"/>
    <s v="Contested- Non Trial Based"/>
    <s v=""/>
    <s v=""/>
    <s v="Last Month Pendency"/>
    <s v="Windows User"/>
    <d v="2023-03-07T14:36:27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02"/>
    <s v="21/14-c"/>
    <s v="Itebar Gul Vs Mosa Khan etc"/>
    <s v="Session"/>
    <x v="0"/>
    <x v="9"/>
    <d v="2023-05-08T00:00:00"/>
    <m/>
    <m/>
    <m/>
    <d v="2023-06-19T00:00:00"/>
    <s v="Disposed"/>
    <s v="Contested- Non Trial Based"/>
    <s v=""/>
    <s v=""/>
    <s v="Last Month Pendency"/>
    <s v="Windows User"/>
    <d v="2023-03-07T13:02:15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03"/>
    <s v="22/14-c"/>
    <s v="Wali Zar Khan etc Vs Mst Bakht Angeza etc"/>
    <s v="Session"/>
    <x v="0"/>
    <x v="9"/>
    <d v="2023-05-12T00:00:00"/>
    <m/>
    <m/>
    <m/>
    <m/>
    <s v=""/>
    <s v=""/>
    <s v="Attendance"/>
    <s v=""/>
    <s v="Last Month Pendency"/>
    <s v="Windows User"/>
    <d v="2023-01-06T11:26:5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4"/>
    <s v="23/14-c"/>
    <s v="Amin Ur Rehman etc Vs Arab Zaman etc"/>
    <s v="Session"/>
    <x v="0"/>
    <x v="9"/>
    <d v="2023-05-22T00:00:00"/>
    <m/>
    <m/>
    <m/>
    <m/>
    <s v=""/>
    <s v=""/>
    <s v="Attendance"/>
    <s v=""/>
    <s v="Last Month Pendency"/>
    <s v="Windows User"/>
    <d v="2023-01-06T11:27:4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5"/>
    <s v="24/14-c"/>
    <s v="Khesro Khan etc Vs Faza Ur Rehman"/>
    <s v="Session"/>
    <x v="0"/>
    <x v="9"/>
    <d v="2023-05-24T00:00:00"/>
    <m/>
    <m/>
    <m/>
    <m/>
    <s v=""/>
    <s v=""/>
    <s v="Attendance"/>
    <s v=""/>
    <s v="Last Month Pendency"/>
    <s v="Windows User"/>
    <d v="2023-01-06T11:28:2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6"/>
    <s v="25/14-c"/>
    <s v="Muhammad Afzal etc Vs Haq Nawaz etc"/>
    <s v="Session"/>
    <x v="0"/>
    <x v="9"/>
    <d v="2023-05-27T00:00:00"/>
    <m/>
    <m/>
    <m/>
    <m/>
    <s v=""/>
    <s v=""/>
    <s v="Attendance"/>
    <s v=""/>
    <s v="Last Month Pendency"/>
    <s v="Windows User"/>
    <d v="2023-01-06T11:29:0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07"/>
    <s v="26/14-c"/>
    <s v="Nawab Zada etc Vs Nawab Zadi etc"/>
    <s v="Session"/>
    <x v="0"/>
    <x v="9"/>
    <d v="2023-06-07T00:00:00"/>
    <m/>
    <m/>
    <m/>
    <m/>
    <s v=""/>
    <s v=""/>
    <s v="Attendance"/>
    <s v=""/>
    <s v="Fresh Month Institution"/>
    <s v="Windows User"/>
    <d v="2023-03-07T09:21:1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08"/>
    <s v="27/14-c"/>
    <s v="Amir Aman Ullah etc Vs Rahat Zamin etc"/>
    <s v="Session"/>
    <x v="0"/>
    <x v="9"/>
    <d v="2023-06-12T00:00:00"/>
    <m/>
    <m/>
    <m/>
    <m/>
    <s v=""/>
    <s v=""/>
    <s v="Attendance"/>
    <s v=""/>
    <s v="Fresh Month Institution"/>
    <s v="Windows User"/>
    <d v="2023-03-07T09:22:1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09"/>
    <s v="28/14-c"/>
    <s v="Abdur Rehman Vs Faqeer Gul"/>
    <s v="Session"/>
    <x v="0"/>
    <x v="9"/>
    <d v="2023-06-13T00:00:00"/>
    <m/>
    <m/>
    <m/>
    <m/>
    <s v=""/>
    <s v=""/>
    <s v="Attendance"/>
    <s v=""/>
    <s v="Fresh Month Institution"/>
    <s v="Windows User"/>
    <d v="2023-03-07T09:25:1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0"/>
    <s v="29/14-c"/>
    <s v="Mst Tajbar Sultana Vs Zor Zamin Khan etc"/>
    <s v="Session"/>
    <x v="0"/>
    <x v="9"/>
    <d v="2023-06-15T00:00:00"/>
    <m/>
    <m/>
    <m/>
    <m/>
    <s v=""/>
    <s v=""/>
    <s v="Attendance"/>
    <s v=""/>
    <s v="Fresh Month Institution"/>
    <s v="Windows User"/>
    <d v="2023-03-07T09:26:3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1"/>
    <s v="30/14-c"/>
    <s v="Aziz Ahmad Vs Ajmal Shah"/>
    <s v="Session"/>
    <x v="0"/>
    <x v="9"/>
    <d v="2023-06-20T00:00:00"/>
    <m/>
    <m/>
    <m/>
    <m/>
    <s v=""/>
    <s v=""/>
    <s v="Attendance"/>
    <s v=""/>
    <s v="Fresh Month Institution"/>
    <s v="Windows User"/>
    <d v="2023-03-07T09:27:1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2"/>
    <s v="31/14-c"/>
    <s v="Naik Zada etc Vs Nasar Khan"/>
    <s v="Session"/>
    <x v="0"/>
    <x v="9"/>
    <d v="2023-06-21T00:00:00"/>
    <m/>
    <m/>
    <m/>
    <m/>
    <s v=""/>
    <s v=""/>
    <s v="Attendance"/>
    <s v=""/>
    <s v="Fresh Month Institution"/>
    <s v="Windows User"/>
    <d v="2023-03-07T09:27:5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3"/>
    <s v="32/14-c"/>
    <s v="Azhar Sultan Khan Vs Mehmood Zeb Khan"/>
    <s v="Session"/>
    <x v="0"/>
    <x v="9"/>
    <d v="2023-06-21T00:00:00"/>
    <m/>
    <m/>
    <m/>
    <m/>
    <s v=""/>
    <s v=""/>
    <s v="Attendance"/>
    <s v=""/>
    <s v="Fresh Month Institution"/>
    <s v="Windows User"/>
    <d v="2023-03-07T09:28:4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4"/>
    <s v="33/14-c"/>
    <s v="Azhar Sultan Vs Mehmood Zeb"/>
    <s v="Session"/>
    <x v="0"/>
    <x v="9"/>
    <d v="2023-06-21T00:00:00"/>
    <m/>
    <m/>
    <m/>
    <m/>
    <s v=""/>
    <s v=""/>
    <s v="Attendance"/>
    <s v=""/>
    <s v="Fresh Month Institution"/>
    <s v="Windows User"/>
    <d v="2023-03-07T09:29:2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5"/>
    <s v="34/14-c"/>
    <s v="Azhar Sultan khan Vs Mehmood Zeb Khan"/>
    <s v="Session"/>
    <x v="0"/>
    <x v="9"/>
    <d v="2023-06-21T00:00:00"/>
    <m/>
    <m/>
    <m/>
    <m/>
    <s v=""/>
    <s v=""/>
    <s v="Attendance"/>
    <s v=""/>
    <s v="Fresh Month Institution"/>
    <s v="Windows User"/>
    <d v="2023-03-07T09:30:1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6"/>
    <s v="35/14-c"/>
    <s v="Aqal Munir Vs Mst Gul Naz Begum etc"/>
    <s v="Session"/>
    <x v="0"/>
    <x v="9"/>
    <d v="2023-06-19T00:00:00"/>
    <m/>
    <m/>
    <m/>
    <d v="2023-06-19T00:00:00"/>
    <s v="Disposed"/>
    <s v="Uncontested"/>
    <s v=""/>
    <s v=""/>
    <s v="Fresh Month Institution"/>
    <s v="Windows User"/>
    <d v="2023-03-07T13:02:51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7"/>
    <s v="Civil Rev 26/14-C Neem"/>
    <s v="Mst Anisa Bibi Vs Khesro etc"/>
    <s v="Session"/>
    <x v="0"/>
    <x v="9"/>
    <d v="2022-12-12T00:00:00"/>
    <m/>
    <d v="2023-06-24T00:00:00"/>
    <s v="Restored"/>
    <m/>
    <s v=""/>
    <s v=""/>
    <s v="Attendance"/>
    <s v=""/>
    <s v="Other Institution"/>
    <s v="Windows User"/>
    <d v="2023-03-07T11:58:5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8"/>
    <s v="36/14-C"/>
    <s v="Jehangeer Jan etc Vs Muhammad Islam etc"/>
    <s v="Session"/>
    <x v="0"/>
    <x v="9"/>
    <d v="2023-06-22T00:00:00"/>
    <m/>
    <m/>
    <m/>
    <m/>
    <s v=""/>
    <s v=""/>
    <s v="Attendance"/>
    <s v=""/>
    <s v="Fresh Month Institution"/>
    <s v="Windows User"/>
    <d v="2023-03-07T12:34:2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19"/>
    <s v="2/FCA"/>
    <s v="Mst Wahida Vs Zia Ullah"/>
    <s v="Session"/>
    <x v="0"/>
    <x v="10"/>
    <d v="2022-04-12T00:00:00"/>
    <m/>
    <m/>
    <m/>
    <m/>
    <s v=""/>
    <s v=""/>
    <s v="Others"/>
    <s v=""/>
    <s v="Last Month Pendency"/>
    <s v="Windows User"/>
    <d v="2022-03-10T09:17:4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0"/>
    <s v="9/FCA"/>
    <s v="Mst Lubna bibi Vs Muhammad Ayoub"/>
    <s v="Session"/>
    <x v="0"/>
    <x v="10"/>
    <d v="2022-07-01T00:00:00"/>
    <m/>
    <m/>
    <m/>
    <m/>
    <s v=""/>
    <s v=""/>
    <s v="Others"/>
    <s v=""/>
    <s v="Last Month Pendency"/>
    <s v="Windows User"/>
    <d v="2022-03-10T09:26:3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1"/>
    <s v="10/FCA"/>
    <s v="Muhammad Ayoub Vs Mst Lubna"/>
    <s v="Session"/>
    <x v="0"/>
    <x v="10"/>
    <d v="2022-07-04T00:00:00"/>
    <m/>
    <d v="2022-10-06T00:00:00"/>
    <s v="Restored"/>
    <m/>
    <s v=""/>
    <s v=""/>
    <s v="Attendance"/>
    <s v=""/>
    <s v="Last Month Pendency"/>
    <s v="Windows User"/>
    <s v="31-10-2022 10:33:0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2"/>
    <s v="13/FCA"/>
    <s v="Hina Shehzad Vs Inam"/>
    <s v="Session"/>
    <x v="0"/>
    <x v="10"/>
    <d v="2022-07-16T00:00:00"/>
    <m/>
    <m/>
    <m/>
    <m/>
    <s v=""/>
    <s v=""/>
    <s v="Others"/>
    <s v=""/>
    <s v="Last Month Pendency"/>
    <s v="Windows User"/>
    <d v="2022-03-10T09:27:2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3"/>
    <s v="14/FCA"/>
    <s v="Idress Khan VS Mst Safia bibi etc"/>
    <s v="Session"/>
    <x v="0"/>
    <x v="10"/>
    <d v="2022-08-11T00:00:00"/>
    <m/>
    <m/>
    <m/>
    <m/>
    <s v=""/>
    <s v=""/>
    <s v="Order"/>
    <s v=""/>
    <s v="Last Month Pendency"/>
    <s v="Windows User"/>
    <d v="2022-03-10T09:28:0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4"/>
    <s v="16/FCA"/>
    <s v="Sher Jan Vs Mst Shagufta begum etc"/>
    <s v="Session"/>
    <x v="0"/>
    <x v="10"/>
    <d v="2022-08-22T00:00:00"/>
    <m/>
    <m/>
    <m/>
    <m/>
    <s v=""/>
    <s v=""/>
    <s v="Others"/>
    <s v=""/>
    <s v="Last Month Pendency"/>
    <s v="Windows User"/>
    <d v="2022-03-10T09:29:4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5"/>
    <s v="17/FCA"/>
    <s v="Noor Alam Khan Vs Rawayat bibi"/>
    <s v="Session"/>
    <x v="0"/>
    <x v="10"/>
    <d v="2022-08-23T00:00:00"/>
    <m/>
    <m/>
    <m/>
    <m/>
    <s v=""/>
    <s v=""/>
    <s v="Attendance"/>
    <s v=""/>
    <s v="Last Month Pendency"/>
    <s v="Windows User"/>
    <d v="2022-03-10T09:30:3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6"/>
    <s v="18/FCA"/>
    <s v="Mst Dr Shagufta Begum Vs Sher Jan"/>
    <s v="Session"/>
    <x v="0"/>
    <x v="10"/>
    <d v="2022-08-23T00:00:00"/>
    <m/>
    <m/>
    <m/>
    <m/>
    <s v=""/>
    <s v=""/>
    <s v="Others"/>
    <s v=""/>
    <s v="Last Month Pendency"/>
    <s v="Windows User"/>
    <d v="2022-03-10T09:33:1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27"/>
    <s v="23/FCA"/>
    <s v="Mst Salma Vs Shafqat Ali Shah etc"/>
    <s v="Session"/>
    <x v="0"/>
    <x v="10"/>
    <d v="2022-09-27T00:00:00"/>
    <m/>
    <m/>
    <m/>
    <d v="2023-06-22T00:00:00"/>
    <s v="Disposed"/>
    <s v="Contested- Trial Based"/>
    <s v=""/>
    <s v=""/>
    <s v="Last Month Pendency"/>
    <s v="Windows User"/>
    <d v="2023-03-07T14:47:17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28"/>
    <s v="24/FCA"/>
    <s v="Munfiat Ali shah etc Vs Mst Salma"/>
    <s v="Session"/>
    <x v="0"/>
    <x v="10"/>
    <d v="2022-10-01T00:00:00"/>
    <m/>
    <m/>
    <m/>
    <d v="2023-06-22T00:00:00"/>
    <s v="Disposed"/>
    <s v="Contested- Trial Based"/>
    <s v=""/>
    <s v=""/>
    <s v="Last Month Pendency"/>
    <s v="Windows User"/>
    <d v="2023-03-07T14:46:43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29"/>
    <s v="26/FCA"/>
    <s v="Mst Nodia bibi etc Vs Umar Diyar etc"/>
    <s v="Session"/>
    <x v="0"/>
    <x v="10"/>
    <d v="2022-10-11T00:00:00"/>
    <m/>
    <m/>
    <m/>
    <m/>
    <s v=""/>
    <s v=""/>
    <s v="Attendance"/>
    <s v=""/>
    <s v="Last Month Pendency"/>
    <s v="Windows User"/>
    <s v="31-10-2022 11:36:2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0"/>
    <s v="27/FCA"/>
    <s v="Mst Nahida bibi etc Vs Javeed Iqbal"/>
    <s v="Session"/>
    <x v="0"/>
    <x v="10"/>
    <d v="2022-10-19T00:00:00"/>
    <m/>
    <m/>
    <m/>
    <m/>
    <s v=""/>
    <s v=""/>
    <s v="Attendance"/>
    <s v=""/>
    <s v="Last Month Pendency"/>
    <s v="Windows User"/>
    <s v="31-10-2022 11:37:2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1"/>
    <s v="28/FCA"/>
    <s v="Mst Kausar Vs Farhad Badsha"/>
    <s v="Session"/>
    <x v="0"/>
    <x v="10"/>
    <d v="2022-11-16T00:00:00"/>
    <m/>
    <m/>
    <m/>
    <m/>
    <s v=""/>
    <s v=""/>
    <s v="Attendance"/>
    <s v=""/>
    <s v="Last Month Pendency"/>
    <s v="Windows User"/>
    <s v="29-11-2022 14:12:4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2"/>
    <s v="30/FCA"/>
    <s v="Mst Sara bibi Vs Mehran Khan"/>
    <s v="Session"/>
    <x v="0"/>
    <x v="10"/>
    <d v="2022-11-28T00:00:00"/>
    <m/>
    <m/>
    <m/>
    <m/>
    <s v=""/>
    <s v=""/>
    <s v="Attendance"/>
    <s v=""/>
    <s v="Last Month Pendency"/>
    <s v="Windows User"/>
    <s v="29-11-2022 14:14:1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3"/>
    <s v="1/FCA"/>
    <s v="Mst Abida Vs Muhammad Isamil etc"/>
    <s v="Session"/>
    <x v="0"/>
    <x v="10"/>
    <d v="2023-01-03T00:00:00"/>
    <m/>
    <m/>
    <m/>
    <m/>
    <s v=""/>
    <s v=""/>
    <s v="Attendance"/>
    <s v=""/>
    <s v="Last Month Pendency"/>
    <s v="Windows User"/>
    <s v="30-01-2023 13:06:4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4"/>
    <s v="2/FCA"/>
    <s v="Gul Muhammad Vs Mst Shakila etc"/>
    <s v="Session"/>
    <x v="0"/>
    <x v="10"/>
    <d v="2023-01-04T00:00:00"/>
    <m/>
    <m/>
    <m/>
    <m/>
    <s v=""/>
    <s v=""/>
    <s v="Attendance"/>
    <s v=""/>
    <s v="Last Month Pendency"/>
    <s v="Windows User"/>
    <s v="30-01-2023 13:07:2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5"/>
    <s v="3/FCA"/>
    <s v="Mehmood Shah Vs Mst Bibi Zahida etc"/>
    <s v="Session"/>
    <x v="0"/>
    <x v="10"/>
    <d v="2023-01-23T00:00:00"/>
    <m/>
    <m/>
    <m/>
    <m/>
    <s v=""/>
    <s v=""/>
    <s v="Attendance"/>
    <s v=""/>
    <s v="Last Month Pendency"/>
    <s v="Windows User"/>
    <s v="30-01-2023 13:08:1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6"/>
    <s v="5/FCA"/>
    <s v="Nazir Muhammad Vs Mst Lubna bibi etc"/>
    <s v="Session"/>
    <x v="0"/>
    <x v="10"/>
    <d v="2023-02-27T00:00:00"/>
    <m/>
    <m/>
    <m/>
    <m/>
    <s v=""/>
    <s v=""/>
    <s v="Attendance"/>
    <s v=""/>
    <s v="Last Month Pendency"/>
    <s v="Windows User"/>
    <d v="2023-01-03T10:28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7"/>
    <s v="6/FCA"/>
    <s v="Mst Parveen VS Anwar Ali etc"/>
    <s v="Session"/>
    <x v="0"/>
    <x v="10"/>
    <d v="2023-03-06T00:00:00"/>
    <m/>
    <m/>
    <m/>
    <m/>
    <s v=""/>
    <s v=""/>
    <s v="Attendance"/>
    <s v=""/>
    <s v="Last Month Pendency"/>
    <s v="Windows User"/>
    <d v="2023-01-06T15:42:4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8"/>
    <s v="7/FCA"/>
    <s v="Robina bibi etc Vs Ramdad Khan"/>
    <s v="Session"/>
    <x v="0"/>
    <x v="10"/>
    <d v="2023-03-08T00:00:00"/>
    <m/>
    <m/>
    <m/>
    <m/>
    <s v=""/>
    <s v=""/>
    <s v="Attendance"/>
    <s v=""/>
    <s v="Last Month Pendency"/>
    <s v="Windows User"/>
    <d v="2023-01-04T10:03:1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39"/>
    <s v="8/FCA"/>
    <s v="Mst Abida Husain Vs Muhammad Mukhtiar"/>
    <s v="Session"/>
    <x v="0"/>
    <x v="10"/>
    <d v="2023-03-08T00:00:00"/>
    <m/>
    <m/>
    <m/>
    <m/>
    <s v=""/>
    <s v=""/>
    <s v="Attendance"/>
    <s v=""/>
    <s v="Last Month Pendency"/>
    <s v="Windows User"/>
    <d v="2023-01-04T10:04:1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0"/>
    <s v="9/FCA"/>
    <s v="Ishaq Vs Mst Mumtaz Mahal etc"/>
    <s v="Session"/>
    <x v="0"/>
    <x v="10"/>
    <d v="2023-03-08T00:00:00"/>
    <m/>
    <m/>
    <m/>
    <m/>
    <s v=""/>
    <s v=""/>
    <s v="Attendance"/>
    <s v=""/>
    <s v="Last Month Pendency"/>
    <s v="Windows User"/>
    <d v="2023-01-04T10:05:1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1"/>
    <s v="12/FCA"/>
    <s v="Rooh Ul Amin Vs Mst Fozia Khan etc"/>
    <s v="Session"/>
    <x v="0"/>
    <x v="10"/>
    <d v="2023-04-01T00:00:00"/>
    <m/>
    <m/>
    <m/>
    <m/>
    <s v=""/>
    <s v=""/>
    <s v="Attendance"/>
    <s v=""/>
    <s v="Last Month Pendency"/>
    <s v="Windows User"/>
    <s v="29-04-2023 13:13:1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2"/>
    <s v="13/FCA"/>
    <s v="Mst Shmail bibi etc VS ayaz khan"/>
    <s v="Session"/>
    <x v="0"/>
    <x v="10"/>
    <d v="2023-04-01T00:00:00"/>
    <m/>
    <m/>
    <m/>
    <m/>
    <s v=""/>
    <s v=""/>
    <s v="Attendance"/>
    <s v=""/>
    <s v="Last Month Pendency"/>
    <s v="Windows User"/>
    <s v="29-04-2023 13:13:5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3"/>
    <s v="14/FCA"/>
    <s v="Mst Fozia Khan etc Vs Rooh Ul Amin"/>
    <s v="Session"/>
    <x v="0"/>
    <x v="10"/>
    <d v="2023-04-03T00:00:00"/>
    <m/>
    <m/>
    <m/>
    <m/>
    <s v=""/>
    <s v=""/>
    <s v="Attendance"/>
    <s v=""/>
    <s v="Last Month Pendency"/>
    <s v="Windows User"/>
    <s v="29-04-2023 13:14:3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4"/>
    <s v="15/FCA"/>
    <s v="Mst Rafiqa bibi Vs Siraj Ud Din"/>
    <s v="Session"/>
    <x v="0"/>
    <x v="10"/>
    <d v="2023-04-10T00:00:00"/>
    <m/>
    <m/>
    <m/>
    <m/>
    <s v=""/>
    <s v=""/>
    <s v="Attendance"/>
    <s v=""/>
    <s v="Last Month Pendency"/>
    <s v="Windows User"/>
    <s v="29-04-2023 13:15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5"/>
    <s v="10/FCA"/>
    <s v="Ayaz Kha Vs Shmaila bibi"/>
    <s v="Session"/>
    <x v="0"/>
    <x v="10"/>
    <d v="2023-04-14T00:00:00"/>
    <m/>
    <m/>
    <m/>
    <m/>
    <s v=""/>
    <s v=""/>
    <s v="Attendance"/>
    <s v=""/>
    <s v="Last Month Pendency"/>
    <s v="Windows User"/>
    <s v="29-04-2023 13:11:5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6"/>
    <s v="11/FCA"/>
    <s v="Siraj Ud Din Vs Rafiqa bibi etc"/>
    <s v="Session"/>
    <x v="0"/>
    <x v="10"/>
    <d v="2023-04-14T00:00:00"/>
    <m/>
    <m/>
    <m/>
    <m/>
    <s v=""/>
    <s v=""/>
    <s v="Attendance"/>
    <s v=""/>
    <s v="Last Month Pendency"/>
    <s v="Windows User"/>
    <s v="29-04-2023 13:12:3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7"/>
    <s v="16/FCA"/>
    <s v="Mst Saima Vs Mushtaq Ahmad"/>
    <s v="Session"/>
    <x v="0"/>
    <x v="10"/>
    <d v="2023-04-19T00:00:00"/>
    <m/>
    <m/>
    <m/>
    <m/>
    <s v=""/>
    <s v=""/>
    <s v="Attendance"/>
    <s v=""/>
    <s v="Last Month Pendency"/>
    <s v="Windows User"/>
    <s v="29-04-2023 13:15:5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8"/>
    <s v="17/FCA"/>
    <s v="Mst Hajira bibi VS Muhammad Wasim Shah"/>
    <s v="Session"/>
    <x v="0"/>
    <x v="10"/>
    <d v="2023-05-17T00:00:00"/>
    <m/>
    <m/>
    <m/>
    <m/>
    <s v=""/>
    <s v=""/>
    <s v="Attendance"/>
    <s v=""/>
    <s v="Last Month Pendency"/>
    <s v="Windows User"/>
    <d v="2023-01-06T11:18:2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49"/>
    <s v="18/FCA"/>
    <s v="Muhammad Suliman Vs Mst Tahira Yasmeen"/>
    <s v="Session"/>
    <x v="0"/>
    <x v="10"/>
    <d v="2023-05-17T00:00:00"/>
    <m/>
    <m/>
    <m/>
    <m/>
    <s v=""/>
    <s v=""/>
    <s v="Attendance"/>
    <s v=""/>
    <s v="Last Month Pendency"/>
    <s v="Windows User"/>
    <d v="2023-01-06T11:19:1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0"/>
    <s v="19/FCA"/>
    <s v="Mst Asma bibi etc Vs Alam Khan etc"/>
    <s v="Session"/>
    <x v="0"/>
    <x v="10"/>
    <d v="2023-05-17T00:00:00"/>
    <m/>
    <m/>
    <m/>
    <m/>
    <s v=""/>
    <s v=""/>
    <s v="Attendance"/>
    <s v=""/>
    <s v="Last Month Pendency"/>
    <s v="Windows User"/>
    <d v="2023-01-06T11:19:5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1"/>
    <s v="20/FCA"/>
    <s v="Mst Farzana etc Vs Sajawal Rauf"/>
    <s v="Session"/>
    <x v="0"/>
    <x v="10"/>
    <d v="2023-06-07T00:00:00"/>
    <m/>
    <m/>
    <m/>
    <m/>
    <s v=""/>
    <s v=""/>
    <s v="Attendance"/>
    <s v=""/>
    <s v="Fresh Month Institution"/>
    <s v="Windows User"/>
    <d v="2023-03-07T09:19:0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52"/>
    <s v="4/FCA Neem"/>
    <s v="Mst Hamseeda Bibi etc VS Anwar Ali"/>
    <s v="Session"/>
    <x v="0"/>
    <x v="10"/>
    <d v="2023-02-10T00:00:00"/>
    <m/>
    <d v="2023-06-06T00:00:00"/>
    <s v="Restored"/>
    <m/>
    <s v=""/>
    <s v=""/>
    <s v="Attendance"/>
    <s v=""/>
    <s v="Other Institution"/>
    <s v="Windows User"/>
    <d v="2023-03-07T11:45:5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53"/>
    <s v="2/13"/>
    <s v="Gul Mula Khan etc VS Muhammad Zeb"/>
    <s v="Session"/>
    <x v="0"/>
    <x v="11"/>
    <d v="2023-05-11T00:00:00"/>
    <m/>
    <m/>
    <m/>
    <d v="2023-06-12T00:00:00"/>
    <s v="Disposed"/>
    <s v="Contested- Non Trial Based"/>
    <s v=""/>
    <s v=""/>
    <s v="Last Month Pendency"/>
    <s v="Windows User"/>
    <d v="2023-03-07T12:56:47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54"/>
    <s v="7/14"/>
    <s v="Tufail Said Vs Abdul Qadar Said"/>
    <s v="Session"/>
    <x v="0"/>
    <x v="12"/>
    <d v="2021-03-04T00:00:00"/>
    <m/>
    <m/>
    <m/>
    <m/>
    <s v=""/>
    <s v=""/>
    <s v="Others"/>
    <s v=""/>
    <s v="Last Month Pendency"/>
    <s v="Windows User"/>
    <d v="2022-03-10T09:44:24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5"/>
    <s v="22/14"/>
    <s v="Hassan Khan Vs Bacha Khan"/>
    <s v="Session"/>
    <x v="0"/>
    <x v="12"/>
    <d v="2021-07-17T00:00:00"/>
    <m/>
    <m/>
    <m/>
    <d v="2023-06-24T00:00:00"/>
    <s v="Disposed"/>
    <s v="Contested- Non Trial Based"/>
    <s v=""/>
    <s v=""/>
    <s v="Last Month Pendency"/>
    <s v="Windows User"/>
    <d v="2023-03-07T14:46:16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56"/>
    <s v="35/14"/>
    <s v="Anwar Faraz Khan Vs Gul Mehmood etc"/>
    <s v="Session"/>
    <x v="0"/>
    <x v="12"/>
    <d v="2021-10-25T00:00:00"/>
    <m/>
    <m/>
    <m/>
    <m/>
    <s v=""/>
    <s v=""/>
    <s v="Order"/>
    <s v=""/>
    <s v="Last Month Pendency"/>
    <s v="Windows User"/>
    <d v="2022-03-10T09:48:41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7"/>
    <s v="12/14"/>
    <s v="Latafat Karim VS Raqib Ahmad"/>
    <s v="Session"/>
    <x v="0"/>
    <x v="12"/>
    <d v="2022-03-29T00:00:00"/>
    <m/>
    <m/>
    <m/>
    <m/>
    <s v=""/>
    <s v=""/>
    <s v="Others"/>
    <s v=""/>
    <s v="Last Month Pendency"/>
    <s v="Windows User"/>
    <d v="2022-03-10T09:54:5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8"/>
    <s v="13/14"/>
    <s v="Dost Muhammad Vs Govt etc"/>
    <s v="Session"/>
    <x v="0"/>
    <x v="12"/>
    <d v="2022-04-16T00:00:00"/>
    <m/>
    <m/>
    <m/>
    <m/>
    <s v=""/>
    <s v=""/>
    <s v="Others"/>
    <s v=""/>
    <s v="Last Month Pendency"/>
    <s v="Windows User"/>
    <d v="2022-03-10T09:55:3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59"/>
    <s v="14/14"/>
    <s v="Aman Ullah Vs Govt etc"/>
    <s v="Session"/>
    <x v="0"/>
    <x v="12"/>
    <d v="2022-04-19T00:00:00"/>
    <m/>
    <m/>
    <m/>
    <m/>
    <s v=""/>
    <s v=""/>
    <s v="Others"/>
    <s v=""/>
    <s v="Last Month Pendency"/>
    <s v="Windows User"/>
    <d v="2022-03-10T09:56:0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0"/>
    <s v="15/14"/>
    <s v="Abdullah Vs Hidayat Ullah"/>
    <s v="Session"/>
    <x v="0"/>
    <x v="12"/>
    <d v="2022-05-10T00:00:00"/>
    <m/>
    <m/>
    <m/>
    <m/>
    <s v=""/>
    <s v=""/>
    <s v="Others"/>
    <s v=""/>
    <s v="Last Month Pendency"/>
    <s v="Windows User"/>
    <d v="2022-03-10T09:56:5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1"/>
    <s v="67/ii"/>
    <s v="State Vs Mohib Ullah etc"/>
    <s v="Session"/>
    <x v="1"/>
    <x v="13"/>
    <d v="2021-01-22T00:00:00"/>
    <m/>
    <m/>
    <m/>
    <m/>
    <s v=""/>
    <s v=""/>
    <s v="Prosecution Evidence"/>
    <s v=""/>
    <s v="Last Month Pendency"/>
    <s v="Windows User"/>
    <d v="2023-02-02T10:17:41"/>
    <x v="3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Hazrat Rehman Adv,"/>
    <s v="Ahmad Riaz Adv,"/>
    <s v=""/>
    <s v="302/324/148/149 PPC"/>
    <d v="2023-02-14T00:00:00"/>
    <s v="86"/>
    <d v="2021-05-19T00:00:00"/>
    <s v="Zone B"/>
    <b v="1"/>
    <d v="2021-05-12T00:00:00"/>
    <n v="1"/>
    <n v="0"/>
    <n v="0"/>
    <n v="1"/>
    <n v="0"/>
    <n v="25"/>
    <d v="2023-01-25T00:00:00"/>
    <n v="19"/>
    <n v="3"/>
    <s v=""/>
    <s v=""/>
    <s v="1 - Remains in this court full month"/>
    <s v="Addl: District &amp; Sessions Judge (Both Civil and Criminal Matter)"/>
  </r>
  <r>
    <n v="462"/>
    <s v="33/ii"/>
    <s v="State Vs Sohail Khan"/>
    <s v="Session"/>
    <x v="1"/>
    <x v="13"/>
    <d v="2021-03-18T00:00:00"/>
    <m/>
    <m/>
    <m/>
    <m/>
    <s v=""/>
    <s v=""/>
    <s v="Prosecution Evidence"/>
    <s v=""/>
    <s v="Last Month Pendency"/>
    <s v="Windows User"/>
    <d v="2022-03-10T10:18:0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3"/>
    <s v="37/ii"/>
    <s v="State Vs Rooh Ul Amin"/>
    <s v="Session"/>
    <x v="1"/>
    <x v="13"/>
    <d v="2021-03-19T00:00:00"/>
    <m/>
    <m/>
    <m/>
    <m/>
    <s v=""/>
    <s v=""/>
    <s v="Prosecution Evidence"/>
    <s v=""/>
    <s v="Last Month Pendency"/>
    <s v="Windows User"/>
    <d v="2023-02-02T11:01:52"/>
    <x v="3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Karmal Khan Adv"/>
    <s v="Latif Ahmed Qureshi Adv"/>
    <s v=""/>
    <s v="302/324 PPC"/>
    <d v="2023-12-04T00:00:00"/>
    <s v="393"/>
    <d v="2017-04-30T00:00:00"/>
    <s v="Zone B"/>
    <b v="1"/>
    <d v="2017-07-06T00:00:00"/>
    <n v="1"/>
    <n v="0"/>
    <n v="0"/>
    <n v="1"/>
    <n v="0"/>
    <n v="3"/>
    <d v="2023-01-25T00:00:00"/>
    <n v="41"/>
    <n v="25"/>
    <s v="7- No Delay Reason, (Proceeding are satisfactory)"/>
    <s v=""/>
    <s v="1 - Remains in this court full month"/>
    <s v="Addl: District &amp; Sessions Judge (Both Civil and Criminal Matter)"/>
  </r>
  <r>
    <n v="464"/>
    <s v="71/ii"/>
    <s v="State Vs Falak Naz"/>
    <s v="Session"/>
    <x v="1"/>
    <x v="13"/>
    <d v="2021-06-26T00:00:00"/>
    <m/>
    <m/>
    <m/>
    <m/>
    <s v=""/>
    <s v=""/>
    <s v="Prosecution Evidence"/>
    <s v=""/>
    <s v="Last Month Pendency"/>
    <s v="Windows User"/>
    <d v="2023-02-02T10:33:16"/>
    <x v="3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Fazal Malik Utmani Adv_x000d__x000a_"/>
    <s v="Nihal Yousufzai Adv,"/>
    <s v=""/>
    <s v="302 PPC"/>
    <d v="2023-02-09T00:00:00"/>
    <s v="87"/>
    <d v="2021-05-29T00:00:00"/>
    <s v="Zone B"/>
    <b v="1"/>
    <d v="2021-06-23T00:00:00"/>
    <n v="1"/>
    <n v="0"/>
    <n v="0"/>
    <n v="1"/>
    <n v="0"/>
    <n v="24"/>
    <d v="2023-01-25T00:00:00"/>
    <n v="31"/>
    <n v="10"/>
    <s v="7- No Delay Reason, (Proceeding are satisfactory)"/>
    <s v=""/>
    <s v="1 - Remains in this court full month"/>
    <s v="Addl: District &amp; Sessions Judge (Both Civil and Criminal Matter)"/>
  </r>
  <r>
    <n v="465"/>
    <s v="5/ii"/>
    <s v="State Vs Sahib Ullah"/>
    <s v="Session"/>
    <x v="1"/>
    <x v="13"/>
    <d v="2021-07-09T00:00:00"/>
    <m/>
    <m/>
    <m/>
    <m/>
    <s v=""/>
    <s v=""/>
    <s v="Prosecution Evidence"/>
    <s v=""/>
    <s v="Last Month Pendency"/>
    <s v="Windows User"/>
    <d v="2022-03-10T10:24:35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6"/>
    <s v="77/ii"/>
    <s v="State Vs Wilayat Khan etc"/>
    <s v="Session"/>
    <x v="1"/>
    <x v="13"/>
    <d v="2021-07-10T00:00:00"/>
    <m/>
    <m/>
    <m/>
    <m/>
    <s v=""/>
    <s v=""/>
    <s v="Prosecution Evidence"/>
    <s v=""/>
    <s v="Last Month Pendency"/>
    <s v="Windows User"/>
    <d v="2022-03-10T10:25:18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7"/>
    <s v="105/ii"/>
    <s v="State Vs Hidayat Ullah"/>
    <s v="Session"/>
    <x v="1"/>
    <x v="13"/>
    <d v="2021-09-06T00:00:00"/>
    <m/>
    <m/>
    <m/>
    <m/>
    <s v=""/>
    <s v=""/>
    <s v="Prosecution Evidence"/>
    <s v=""/>
    <s v="Last Month Pendency"/>
    <s v="Windows User"/>
    <d v="2022-03-10T10:38:3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68"/>
    <s v="112/ii"/>
    <s v="State Vs Nisar Khan"/>
    <s v="Session"/>
    <x v="1"/>
    <x v="13"/>
    <d v="2021-09-06T00:00:00"/>
    <m/>
    <m/>
    <m/>
    <m/>
    <s v=""/>
    <s v=""/>
    <s v="Prosecution Evidence"/>
    <s v=""/>
    <s v="Last Month Pendency"/>
    <s v="Windows User"/>
    <d v="2022-01-11T10:46:23"/>
    <x v="3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Murtaza Khan &amp; Bashir Khan Adv,"/>
    <s v="Hazrat Rehman Adv,"/>
    <s v=""/>
    <s v="302 PPC"/>
    <d v="2022-11-07T00:00:00"/>
    <s v="268"/>
    <d v="2021-07-20T00:00:00"/>
    <s v="Zone B"/>
    <b v="1"/>
    <d v="2021-09-22T00:00:00"/>
    <n v="1"/>
    <n v="0"/>
    <n v="0"/>
    <n v="1"/>
    <n v="0"/>
    <n v="15"/>
    <d v="2022-10-17T00:00:00"/>
    <n v="31"/>
    <n v="1"/>
    <s v="7- No Delay Reason, (Proceeding are satisfactory)"/>
    <s v=""/>
    <s v="1 - Remains in this court full month"/>
    <s v="Addl: District &amp; Sessions Judge (Both Civil and Criminal Matter)"/>
  </r>
  <r>
    <n v="469"/>
    <s v="114/ii"/>
    <s v="State Vs Muhammad Sadeeq etc"/>
    <s v="Session"/>
    <x v="1"/>
    <x v="13"/>
    <d v="2021-09-08T00:00:00"/>
    <m/>
    <m/>
    <m/>
    <m/>
    <s v=""/>
    <s v=""/>
    <s v="Prosecution Evidence"/>
    <s v=""/>
    <s v="Last Month Pendency"/>
    <s v="Windows User"/>
    <d v="2023-02-02T10:29:56"/>
    <x v="3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Sardar Arif Tajak Adv"/>
    <s v="Fazal Malik Utmani Adv,"/>
    <s v=""/>
    <s v="302/324/337AiFi/337D/147/149 PPC"/>
    <d v="2023-02-18T00:00:00"/>
    <s v="267"/>
    <d v="2021-07-19T00:00:00"/>
    <s v="Zone B"/>
    <b v="1"/>
    <d v="2021-09-14T00:00:00"/>
    <n v="1"/>
    <n v="0"/>
    <n v="0"/>
    <n v="1"/>
    <n v="0"/>
    <n v="15"/>
    <d v="2023-01-31T00:00:00"/>
    <n v="31"/>
    <n v="10"/>
    <s v="6- Others"/>
    <s v=""/>
    <s v="1 - Remains in this court full month"/>
    <s v="Addl: District &amp; Sessions Judge (Both Civil and Criminal Matter)"/>
  </r>
  <r>
    <n v="470"/>
    <s v="132/ii"/>
    <s v="State Vs Hazrat Husain"/>
    <s v="Session"/>
    <x v="1"/>
    <x v="13"/>
    <d v="2021-12-03T00:00:00"/>
    <m/>
    <m/>
    <m/>
    <d v="2023-06-19T00:00:00"/>
    <s v="Disposed"/>
    <s v="Contested- Trial Based"/>
    <s v=""/>
    <s v=""/>
    <s v="Last Month Pendency"/>
    <s v="Windows User"/>
    <d v="2023-03-07T14:35:55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71"/>
    <s v="137/ii"/>
    <s v="State Vs Shamshad etc"/>
    <s v="Session"/>
    <x v="1"/>
    <x v="13"/>
    <d v="2021-12-23T00:00:00"/>
    <m/>
    <m/>
    <m/>
    <m/>
    <s v=""/>
    <s v=""/>
    <s v="Prosecution Evidence"/>
    <s v=""/>
    <s v="Last Month Pendency"/>
    <s v="Windows User"/>
    <d v="2023-02-02T10:20:02"/>
    <x v="3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Hazrat Rehman Adv,"/>
    <s v="Saif Ullah Khan Momand Adv"/>
    <s v=""/>
    <s v="302/324/427/34/337FV/337D PPC"/>
    <d v="2023-01-14T00:00:00"/>
    <s v="168"/>
    <d v="2021-11-16T00:00:00"/>
    <s v="Zone B"/>
    <b v="1"/>
    <d v="2021-12-16T00:00:00"/>
    <n v="4"/>
    <n v="0"/>
    <n v="0"/>
    <n v="4"/>
    <n v="1"/>
    <n v="18"/>
    <d v="2022-12-31T00:00:00"/>
    <n v="19"/>
    <n v="1"/>
    <s v="7- No Delay Reason, (Proceeding are satisfactory)"/>
    <s v=""/>
    <s v="1 - Remains in this court full month"/>
    <s v="Addl: District &amp; Sessions Judge (Both Civil and Criminal Matter)"/>
  </r>
  <r>
    <n v="472"/>
    <s v="139/ii"/>
    <s v="State Vs Khan Bahadar etc"/>
    <s v="Session"/>
    <x v="1"/>
    <x v="13"/>
    <d v="2021-12-23T00:00:00"/>
    <m/>
    <m/>
    <m/>
    <m/>
    <s v=""/>
    <s v=""/>
    <s v="Prosecution Evidence"/>
    <s v=""/>
    <s v="Last Month Pendency"/>
    <s v="Windows User"/>
    <d v="2022-01-11T10:59:13"/>
    <x v="3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APP"/>
    <s v="Murtaza Khan &amp; Bashir Khan Adv"/>
    <s v=""/>
    <s v="302/109/34 PPC"/>
    <d v="2022-11-07T00:00:00"/>
    <s v="177"/>
    <d v="2021-11-29T00:00:00"/>
    <s v="Zone B"/>
    <b v="1"/>
    <d v="2021-12-21T00:00:00"/>
    <n v="1"/>
    <n v="0"/>
    <n v="0"/>
    <n v="1"/>
    <n v="0"/>
    <n v="14"/>
    <d v="2022-10-28T00:00:00"/>
    <n v="26"/>
    <n v="1"/>
    <s v="6- Others"/>
    <s v=""/>
    <s v="1 - Remains in this court full month"/>
    <s v="Addl: District &amp; Sessions Judge (Both Civil and Criminal Matter)"/>
  </r>
  <r>
    <n v="473"/>
    <s v="5/ii"/>
    <s v="State Vs Zir Ullah etc"/>
    <s v="Session"/>
    <x v="1"/>
    <x v="13"/>
    <d v="2022-01-19T00:00:00"/>
    <m/>
    <m/>
    <m/>
    <m/>
    <s v=""/>
    <s v=""/>
    <s v="Prosecution Evidence"/>
    <s v=""/>
    <s v="Last Month Pendency"/>
    <s v="Windows User"/>
    <d v="2023-02-02T11:00:21"/>
    <x v="4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Sultan Ali Shah Adv,"/>
    <s v="Ayaz Muhammad Adv,"/>
    <s v=""/>
    <s v="302/324/34/201 PPC"/>
    <d v="2023-01-04T00:00:00"/>
    <s v="414"/>
    <d v="2021-12-15T00:00:00"/>
    <s v="Zone B"/>
    <b v="1"/>
    <d v="2022-01-14T00:00:00"/>
    <n v="3"/>
    <n v="0"/>
    <n v="0"/>
    <n v="3"/>
    <n v="0"/>
    <n v="12"/>
    <d v="2022-12-12T00:00:00"/>
    <n v="25"/>
    <n v="15"/>
    <s v="7- No Delay Reason, (Proceeding are satisfactory)"/>
    <s v=""/>
    <s v="1 - Remains in this court full month"/>
    <s v="Addl: District &amp; Sessions Judge (Both Civil and Criminal Matter)"/>
  </r>
  <r>
    <n v="474"/>
    <s v="24/ii"/>
    <s v="State Vs Altaf Khan etc"/>
    <s v="Session"/>
    <x v="1"/>
    <x v="13"/>
    <d v="2022-04-15T00:00:00"/>
    <m/>
    <m/>
    <m/>
    <m/>
    <s v=""/>
    <s v=""/>
    <s v="Prosecution Evidence"/>
    <s v=""/>
    <s v="Last Month Pendency"/>
    <s v="Windows User"/>
    <d v="2022-01-11T11:14:43"/>
    <x v="4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Jehan Dastager Adv,"/>
    <s v="Fazal Malik Utmani Adv and others_x000d__x000a_"/>
    <s v=""/>
    <s v="302/353/186/279/33,35,77 R/3-112 Mvo/34 PPC"/>
    <d v="2022-11-14T00:00:00"/>
    <s v="25"/>
    <d v="2022-02-27T00:00:00"/>
    <s v="Zone B"/>
    <b v="1"/>
    <d v="2022-04-01T00:00:00"/>
    <n v="1"/>
    <n v="0"/>
    <n v="0"/>
    <n v="1"/>
    <n v="0"/>
    <n v="24"/>
    <d v="2022-10-19T00:00:00"/>
    <n v="18"/>
    <n v="1"/>
    <s v="7- No Delay Reason, (Proceeding are satisfactory)"/>
    <s v=""/>
    <s v="1 - Remains in this court full month"/>
    <s v="Addl: District &amp; Sessions Judge (Both Civil and Criminal Matter)"/>
  </r>
  <r>
    <n v="475"/>
    <s v="28/ii"/>
    <s v="State Vs Ismail"/>
    <s v="Session"/>
    <x v="1"/>
    <x v="13"/>
    <d v="2022-04-23T00:00:00"/>
    <m/>
    <m/>
    <m/>
    <m/>
    <s v=""/>
    <s v=""/>
    <s v="Prosecution Evidence"/>
    <s v=""/>
    <s v="Last Month Pendency"/>
    <s v="Windows User"/>
    <d v="2022-03-10T10:45:0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6"/>
    <s v="32/ii"/>
    <s v="State Vs Muhammad Jamil"/>
    <s v="Session"/>
    <x v="1"/>
    <x v="13"/>
    <d v="2022-06-17T00:00:00"/>
    <m/>
    <m/>
    <m/>
    <m/>
    <s v=""/>
    <s v=""/>
    <s v="Prosecution Evidence"/>
    <s v=""/>
    <s v="Last Month Pendency"/>
    <s v="Windows User"/>
    <d v="2022-03-10T10:46:0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77"/>
    <s v="39/ii"/>
    <s v="State Vs Yar Hussain"/>
    <s v="Session"/>
    <x v="1"/>
    <x v="13"/>
    <d v="2022-10-18T00:00:00"/>
    <m/>
    <m/>
    <m/>
    <m/>
    <s v=""/>
    <s v=""/>
    <s v="Attendance"/>
    <s v=""/>
    <s v="Last Month Pendency"/>
    <s v="Windows User"/>
    <d v="2023-02-02T10:27:24"/>
    <x v="4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Zia ud Din Adv,"/>
    <s v="Abdul Husain Adv,"/>
    <s v=""/>
    <s v="302 PPC"/>
    <d v="2023-02-16T00:00:00"/>
    <s v="60"/>
    <d v="2022-05-29T00:00:00"/>
    <s v="Zone B"/>
    <b v="1"/>
    <d v="2022-08-10T00:00:00"/>
    <n v="1"/>
    <n v="0"/>
    <n v="0"/>
    <n v="1"/>
    <n v="0"/>
    <n v="24"/>
    <d v="2023-02-01T00:00:00"/>
    <n v="6"/>
    <n v="3"/>
    <s v="7- No Delay Reason, (Proceeding are satisfactory)"/>
    <s v=""/>
    <s v="1 - Remains in this court full month"/>
    <s v="Addl: District &amp; Sessions Judge (Both Civil and Criminal Matter)"/>
  </r>
  <r>
    <n v="478"/>
    <s v="41/ii"/>
    <s v="State Vs Imran Ullah etc"/>
    <s v="Session"/>
    <x v="1"/>
    <x v="13"/>
    <d v="2022-11-24T00:00:00"/>
    <m/>
    <m/>
    <m/>
    <m/>
    <s v=""/>
    <s v=""/>
    <s v="Attendance"/>
    <s v=""/>
    <s v="Last Month Pendency"/>
    <s v="Windows User"/>
    <d v="2022-05-12T14:19:24"/>
    <x v="4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302/311/496B/427/15AA/34 PPC"/>
    <d v="2022-12-13T00:00:00"/>
    <s v="59"/>
    <d v="2022-05-07T00:00:00"/>
    <s v="Zone B"/>
    <b v="1"/>
    <d v="2022-07-07T00:00:00"/>
    <n v="1"/>
    <n v="0"/>
    <n v="0"/>
    <n v="1"/>
    <n v="0"/>
    <n v="17"/>
    <s v="  "/>
    <n v="1"/>
    <n v="1"/>
    <s v=""/>
    <s v=""/>
    <s v="1 - Remains in this court full month"/>
    <s v="Addl: District &amp; Sessions Judge (Both Civil and Criminal Matter)"/>
  </r>
  <r>
    <n v="479"/>
    <s v="44/ii"/>
    <s v="State Vs Mehmood Zeb"/>
    <s v="Session"/>
    <x v="1"/>
    <x v="13"/>
    <d v="2022-11-24T00:00:00"/>
    <m/>
    <m/>
    <m/>
    <m/>
    <s v=""/>
    <s v=""/>
    <s v="Attendance"/>
    <s v=""/>
    <s v="Last Month Pendency"/>
    <s v="Windows User"/>
    <d v="2023-02-02T10:57:52"/>
    <x v="4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Majeed Ullah Adv,"/>
    <s v="Muhammad Haroon Adv,"/>
    <s v=""/>
    <s v="302/324/34 PPC"/>
    <d v="2023-02-06T00:00:00"/>
    <s v="531"/>
    <d v="2022-09-07T00:00:00"/>
    <s v="Zone B"/>
    <b v="1"/>
    <d v="2022-07-08T00:00:00"/>
    <n v="1"/>
    <n v="0"/>
    <n v="0"/>
    <n v="1"/>
    <n v="0"/>
    <n v="19"/>
    <d v="2023-01-24T00:00:00"/>
    <n v="5"/>
    <n v="1"/>
    <s v="7- No Delay Reason, (Proceeding are satisfactory)"/>
    <s v=""/>
    <s v="1 - Remains in this court full month"/>
    <s v="Addl: District &amp; Sessions Judge (Both Civil and Criminal Matter)"/>
  </r>
  <r>
    <n v="480"/>
    <s v="JJS 8/iii"/>
    <s v="State Vs Saifor Khan etc"/>
    <s v="Session"/>
    <x v="1"/>
    <x v="13"/>
    <d v="2022-11-24T00:00:00"/>
    <m/>
    <m/>
    <m/>
    <m/>
    <s v=""/>
    <s v=""/>
    <s v="Attendance"/>
    <s v=""/>
    <s v="Last Month Pendency"/>
    <s v="Windows User"/>
    <s v="29-11-2022 14:03:0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1"/>
    <s v="44/ii"/>
    <s v="State Vs Mehmood Zeb"/>
    <s v="Session"/>
    <x v="1"/>
    <x v="13"/>
    <d v="2022-12-13T00:00:00"/>
    <m/>
    <m/>
    <m/>
    <m/>
    <s v=""/>
    <s v=""/>
    <s v="Attendance"/>
    <s v=""/>
    <s v="Last Month Pendency"/>
    <s v="Windows User"/>
    <s v="23-12-2022 12:15:4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2"/>
    <s v="3/ii"/>
    <s v="State Vs Anwar Fayat"/>
    <s v="Session"/>
    <x v="1"/>
    <x v="13"/>
    <d v="2023-02-02T00:00:00"/>
    <m/>
    <m/>
    <m/>
    <m/>
    <s v=""/>
    <s v=""/>
    <s v="Attendance"/>
    <s v=""/>
    <s v="Last Month Pendency"/>
    <s v="Windows User"/>
    <s v="23-02-2023 11:03:43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302/324/148/149"/>
    <s v="  "/>
    <s v="752"/>
    <d v="2018-09-09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3"/>
    <s v="5/ii"/>
    <s v="State Vs Badshah hanif"/>
    <s v="Session"/>
    <x v="1"/>
    <x v="13"/>
    <d v="2023-02-14T00:00:00"/>
    <m/>
    <m/>
    <m/>
    <m/>
    <s v=""/>
    <s v=""/>
    <s v="Attendance"/>
    <s v=""/>
    <s v="Last Month Pendency"/>
    <s v="Windows User"/>
    <s v="23-02-2023 11:05:12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302/200/201 /34 ppc"/>
    <s v="  "/>
    <s v="246"/>
    <d v="2022-12-21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4"/>
    <s v="6/ii"/>
    <s v="State Vs Bahadar Zeb etc"/>
    <s v="Session"/>
    <x v="1"/>
    <x v="13"/>
    <d v="2023-02-16T00:00:00"/>
    <m/>
    <m/>
    <m/>
    <m/>
    <s v=""/>
    <s v=""/>
    <s v="Attendance"/>
    <s v=""/>
    <s v="Last Month Pendency"/>
    <s v="Windows User"/>
    <s v="23-02-2023 11:05:57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302/34"/>
    <s v="  "/>
    <s v="250"/>
    <d v="2022-12-30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5"/>
    <s v="8/ii"/>
    <s v="State VS Bakht Zaman Khan etc"/>
    <s v="Session"/>
    <x v="1"/>
    <x v="13"/>
    <d v="2023-03-10T00:00:00"/>
    <m/>
    <m/>
    <m/>
    <m/>
    <s v=""/>
    <s v=""/>
    <s v="Attendance"/>
    <s v=""/>
    <s v="Last Month Pendency"/>
    <s v="Windows User"/>
    <s v="31-03-2023 12:38:2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6"/>
    <s v="15/ii"/>
    <s v="State Vs Nasir"/>
    <s v="Session"/>
    <x v="1"/>
    <x v="13"/>
    <d v="2023-05-18T00:00:00"/>
    <m/>
    <m/>
    <m/>
    <m/>
    <s v=""/>
    <s v=""/>
    <s v="Attendance"/>
    <s v=""/>
    <s v="Last Month Pendency"/>
    <s v="Windows User"/>
    <d v="2023-01-06T10:55:4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87"/>
    <s v="21/ii"/>
    <s v="State Vs Shahen Zada etc"/>
    <s v="Session"/>
    <x v="1"/>
    <x v="13"/>
    <d v="2023-06-05T00:00:00"/>
    <m/>
    <m/>
    <m/>
    <m/>
    <s v=""/>
    <s v=""/>
    <s v="Attendance"/>
    <s v=""/>
    <s v="Fresh Month Institution"/>
    <s v="Windows User"/>
    <d v="2023-03-07T10:43:3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88"/>
    <s v="24/ii"/>
    <s v="State Vs Wali Khan etc"/>
    <s v="Session"/>
    <x v="1"/>
    <x v="13"/>
    <d v="2023-06-05T00:00:00"/>
    <m/>
    <m/>
    <m/>
    <m/>
    <s v=""/>
    <s v=""/>
    <s v="Attendance"/>
    <s v=""/>
    <s v="Fresh Month Institution"/>
    <s v="Windows User"/>
    <d v="2023-03-07T10:47:1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489"/>
    <s v="100/ii"/>
    <s v="State Vs Hussain Khan etc"/>
    <s v="Session"/>
    <x v="1"/>
    <x v="14"/>
    <d v="2021-09-06T00:00:00"/>
    <m/>
    <m/>
    <m/>
    <m/>
    <s v=""/>
    <s v=""/>
    <s v="Prosecution Evidence"/>
    <s v=""/>
    <s v="Last Month Pendency"/>
    <s v="Windows User"/>
    <d v="2022-03-10T10:39:45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0"/>
    <s v="117/ii"/>
    <s v="State Vs Sheraz Khan"/>
    <s v="Session"/>
    <x v="1"/>
    <x v="14"/>
    <d v="2021-09-22T00:00:00"/>
    <m/>
    <m/>
    <m/>
    <m/>
    <s v=""/>
    <s v=""/>
    <s v="Prosecution Evidence"/>
    <s v=""/>
    <s v="Last Month Pendency"/>
    <s v="Windows User"/>
    <d v="2023-02-02T10:55:45"/>
    <x v="3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Malak Muhammad Zeb Adv_x000d__x000a_"/>
    <s v="Jawad Rauf Adv,"/>
    <s v=""/>
    <s v="302/324/337D PPC"/>
    <d v="2023-02-07T00:00:00"/>
    <s v="320"/>
    <d v="2021-08-29T00:00:00"/>
    <s v="Zone B"/>
    <b v="1"/>
    <d v="2021-09-28T00:00:00"/>
    <n v="1"/>
    <n v="0"/>
    <n v="0"/>
    <n v="1"/>
    <n v="0"/>
    <n v="14"/>
    <d v="2023-01-19T00:00:00"/>
    <n v="23"/>
    <n v="6"/>
    <s v="7- No Delay Reason, (Proceeding are satisfactory)"/>
    <s v=""/>
    <s v="1 - Remains in this court full month"/>
    <s v="Addl: District &amp; Sessions Judge (Both Civil and Criminal Matter)"/>
  </r>
  <r>
    <n v="491"/>
    <s v="13/ii"/>
    <s v="State Vs Naveed Alam etc"/>
    <s v="Session"/>
    <x v="1"/>
    <x v="14"/>
    <d v="2022-03-12T00:00:00"/>
    <m/>
    <m/>
    <m/>
    <m/>
    <s v=""/>
    <s v=""/>
    <s v="Prosecution Evidence"/>
    <s v=""/>
    <s v="Last Month Pendency"/>
    <s v="Windows User"/>
    <d v="2022-03-10T10:47:2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2"/>
    <s v="35/ii"/>
    <s v="State Vs Muhammad Usman"/>
    <s v="Session"/>
    <x v="1"/>
    <x v="14"/>
    <d v="2022-07-02T00:00:00"/>
    <m/>
    <m/>
    <m/>
    <m/>
    <s v=""/>
    <s v=""/>
    <s v="Prosecution Evidence"/>
    <s v=""/>
    <s v="Last Month Pendency"/>
    <s v="Windows User"/>
    <d v="2022-03-10T10:49:3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3"/>
    <s v="46/ii"/>
    <s v="State Vs Muhammad Sohail"/>
    <s v="Session"/>
    <x v="1"/>
    <x v="14"/>
    <d v="2022-12-15T00:00:00"/>
    <m/>
    <m/>
    <m/>
    <m/>
    <s v=""/>
    <s v=""/>
    <s v="Attendance"/>
    <s v=""/>
    <s v="Last Month Pendency"/>
    <s v="Windows User"/>
    <d v="2023-02-02T10:44:00"/>
    <x v="4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APP"/>
    <s v=""/>
    <s v=""/>
    <s v="302/380/429/427 PPC"/>
    <d v="2023-02-10T00:00:00"/>
    <s v="198"/>
    <d v="2022-10-29T00:00:00"/>
    <s v="Zone B"/>
    <b v="1"/>
    <d v="2022-11-25T00:00:00"/>
    <n v="1"/>
    <n v="0"/>
    <n v="0"/>
    <n v="1"/>
    <n v="0"/>
    <n v="17"/>
    <d v="2023-01-27T00:00:00"/>
    <n v="4"/>
    <n v="2"/>
    <s v="7- No Delay Reason, (Proceeding are satisfactory)"/>
    <s v=""/>
    <s v="1 - Remains in this court full month"/>
    <s v="Addl: District &amp; Sessions Judge (Both Civil and Criminal Matter)"/>
  </r>
  <r>
    <n v="494"/>
    <s v="2/ii"/>
    <s v="State Vs Rahmat Zeb Khan etc"/>
    <s v="Session"/>
    <x v="1"/>
    <x v="14"/>
    <d v="2023-01-28T00:00:00"/>
    <m/>
    <m/>
    <m/>
    <m/>
    <s v=""/>
    <s v=""/>
    <s v="Attendance"/>
    <s v=""/>
    <s v="Last Month Pendency"/>
    <s v="Windows User"/>
    <s v="30-01-2023 11:29:14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302/109/34"/>
    <s v="  "/>
    <s v="233"/>
    <d v="2022-12-10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5"/>
    <s v="7/ii"/>
    <s v="State Vs Khan Bahadar"/>
    <s v="Session"/>
    <x v="1"/>
    <x v="14"/>
    <d v="2023-02-27T00:00:00"/>
    <m/>
    <m/>
    <m/>
    <m/>
    <s v=""/>
    <s v=""/>
    <s v="Attendance"/>
    <s v=""/>
    <s v="Last Month Pendency"/>
    <s v="Windows User"/>
    <d v="2023-01-03T10:43:33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APP"/>
    <s v=""/>
    <s v=""/>
    <s v="302 PPC"/>
    <d v="2025-03-13T00:00:00"/>
    <s v="17"/>
    <d v="2023-01-24T00:00:00"/>
    <s v="Zone B"/>
    <b v="1"/>
    <d v="2023-02-14T00:00:00"/>
    <n v="1"/>
    <n v="0"/>
    <n v="0"/>
    <n v="1"/>
    <n v="0"/>
    <n v="24"/>
    <d v="2023-02-27T00:00:00"/>
    <n v="1"/>
    <n v="1"/>
    <s v="7- No Delay Reason, (Proceeding are satisfactory)"/>
    <s v=""/>
    <s v="1 - Remains in this court full month"/>
    <s v="Addl: District &amp; Sessions Judge (Both Civil and Criminal Matter)"/>
  </r>
  <r>
    <n v="496"/>
    <s v="10/ii"/>
    <s v="State Vs Gul Zahir etc"/>
    <s v="Session"/>
    <x v="1"/>
    <x v="14"/>
    <d v="2023-04-07T00:00:00"/>
    <m/>
    <m/>
    <m/>
    <m/>
    <s v=""/>
    <s v=""/>
    <s v="Attendance"/>
    <s v=""/>
    <s v="Last Month Pendency"/>
    <s v="Windows User"/>
    <s v="29-04-2023 12:51:21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302/311/34"/>
    <s v=""/>
    <s v="  "/>
    <s v="25"/>
    <d v="2023-02-03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7"/>
    <s v="11/ii"/>
    <s v="State Vs Muhammad Karim etc"/>
    <s v="Session"/>
    <x v="1"/>
    <x v="14"/>
    <d v="2023-04-11T00:00:00"/>
    <m/>
    <m/>
    <m/>
    <m/>
    <s v=""/>
    <s v=""/>
    <s v="Attendance"/>
    <s v=""/>
    <s v="Last Month Pendency"/>
    <s v="Windows User"/>
    <s v="29-04-2023 12:52:30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302/147/149 PPC"/>
    <s v="  "/>
    <s v="26"/>
    <d v="2023-02-04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8"/>
    <s v="13/ii"/>
    <s v="State Vs Sher Zaman"/>
    <s v="Session"/>
    <x v="1"/>
    <x v="14"/>
    <d v="2023-05-08T00:00:00"/>
    <m/>
    <m/>
    <m/>
    <m/>
    <s v=""/>
    <s v=""/>
    <s v="Attendance"/>
    <s v=""/>
    <s v="Last Month Pendency"/>
    <s v="Windows User"/>
    <d v="2023-01-06T10:54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499"/>
    <s v="14/ii"/>
    <s v="State Vs Sahib Zada"/>
    <s v="Session"/>
    <x v="1"/>
    <x v="14"/>
    <d v="2023-05-18T00:00:00"/>
    <m/>
    <m/>
    <m/>
    <m/>
    <s v=""/>
    <s v=""/>
    <s v="Attendance"/>
    <s v=""/>
    <s v="Last Month Pendency"/>
    <s v="Windows User"/>
    <d v="2023-01-06T10:55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0"/>
    <s v="18/ii"/>
    <s v="State Vs Ziarat Gul"/>
    <s v="Session"/>
    <x v="1"/>
    <x v="14"/>
    <d v="2023-05-22T00:00:00"/>
    <m/>
    <m/>
    <m/>
    <m/>
    <s v=""/>
    <s v=""/>
    <s v="Attendance"/>
    <s v=""/>
    <s v="Last Month Pendency"/>
    <s v="Windows User"/>
    <d v="2023-01-06T10:57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1"/>
    <s v="19/ii"/>
    <s v="State Vs Shahid etc"/>
    <s v="Session"/>
    <x v="1"/>
    <x v="14"/>
    <d v="2023-05-29T00:00:00"/>
    <m/>
    <m/>
    <m/>
    <m/>
    <s v=""/>
    <s v=""/>
    <s v="Attendance"/>
    <s v=""/>
    <s v="Last Month Pendency"/>
    <s v="Windows User"/>
    <d v="2023-01-06T10:57:5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2"/>
    <s v="27/ii"/>
    <s v="State Vs Nasar"/>
    <s v="Session"/>
    <x v="1"/>
    <x v="14"/>
    <d v="2023-06-10T00:00:00"/>
    <m/>
    <m/>
    <m/>
    <m/>
    <s v=""/>
    <s v=""/>
    <s v="Attendance"/>
    <s v=""/>
    <s v="Fresh Month Institution"/>
    <s v="Windows User"/>
    <d v="2023-03-07T10:51:3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03"/>
    <s v="25/ii"/>
    <s v="State Vs Alamgir"/>
    <s v="Session"/>
    <x v="1"/>
    <x v="15"/>
    <d v="2022-04-15T00:00:00"/>
    <m/>
    <m/>
    <m/>
    <m/>
    <s v=""/>
    <s v=""/>
    <s v="Prosecution Evidence"/>
    <s v=""/>
    <s v="Last Month Pendency"/>
    <s v="Windows User"/>
    <d v="2022-03-10T10:50:5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4"/>
    <s v="37/ii"/>
    <s v="State Vs Naveed Iqbal etc"/>
    <s v="Session"/>
    <x v="1"/>
    <x v="15"/>
    <d v="2022-09-17T00:00:00"/>
    <m/>
    <m/>
    <m/>
    <m/>
    <s v=""/>
    <s v=""/>
    <s v="Attendance"/>
    <s v=""/>
    <s v="Last Month Pendency"/>
    <s v="Windows User"/>
    <d v="2022-03-10T13:16:3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5"/>
    <s v="16/ii"/>
    <s v="State Vs Thoti Rehman"/>
    <s v="Session"/>
    <x v="1"/>
    <x v="15"/>
    <d v="2023-05-18T00:00:00"/>
    <m/>
    <m/>
    <m/>
    <m/>
    <s v=""/>
    <s v=""/>
    <s v="Attendance"/>
    <s v=""/>
    <s v="Last Month Pendency"/>
    <s v="Windows User"/>
    <d v="2023-01-06T10:56:1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6"/>
    <s v="17/ii"/>
    <s v="State VS Mst Umaira bibi etc"/>
    <s v="Session"/>
    <x v="1"/>
    <x v="15"/>
    <d v="2023-05-18T00:00:00"/>
    <m/>
    <m/>
    <m/>
    <m/>
    <s v=""/>
    <s v=""/>
    <s v="Attendance"/>
    <s v=""/>
    <s v="Last Month Pendency"/>
    <s v="Windows User"/>
    <d v="2023-01-06T10:56:5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7"/>
    <s v="20/ii"/>
    <s v="State Vs Rehman Ud Din"/>
    <s v="Session"/>
    <x v="1"/>
    <x v="15"/>
    <d v="2023-05-29T00:00:00"/>
    <m/>
    <m/>
    <m/>
    <m/>
    <s v=""/>
    <s v=""/>
    <s v="Attendance"/>
    <s v=""/>
    <s v="Last Month Pendency"/>
    <s v="Windows User"/>
    <d v="2023-01-06T10:58:2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08"/>
    <s v="22/ii"/>
    <s v="State Vs Khalid Husain etc"/>
    <s v="Session"/>
    <x v="1"/>
    <x v="15"/>
    <d v="2023-06-05T00:00:00"/>
    <m/>
    <m/>
    <m/>
    <m/>
    <s v=""/>
    <s v=""/>
    <s v="Attendance"/>
    <s v=""/>
    <s v="Fresh Month Institution"/>
    <s v="Windows User"/>
    <d v="2023-03-07T10:44:4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09"/>
    <s v="25/ii"/>
    <s v="State Vs Naeem Akbar etc"/>
    <s v="Session"/>
    <x v="1"/>
    <x v="15"/>
    <d v="2023-06-10T00:00:00"/>
    <m/>
    <m/>
    <m/>
    <m/>
    <s v=""/>
    <s v=""/>
    <s v="Attendance"/>
    <s v=""/>
    <s v="Fresh Month Institution"/>
    <s v="Windows User"/>
    <d v="2023-03-07T10:48:0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10"/>
    <s v="18/iii"/>
    <s v="State Vs Muhammad Shah Khan etc"/>
    <s v="Session"/>
    <x v="1"/>
    <x v="16"/>
    <d v="2021-06-23T00:00:00"/>
    <m/>
    <m/>
    <m/>
    <m/>
    <s v=""/>
    <s v=""/>
    <s v="Prosecution Evidence"/>
    <s v=""/>
    <s v="Last Month Pendency"/>
    <s v="Windows User"/>
    <d v="2022-03-10T11:05:21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1"/>
    <s v="19/iii"/>
    <s v="State Vs Yar Ullah"/>
    <s v="Session"/>
    <x v="1"/>
    <x v="16"/>
    <d v="2021-06-23T00:00:00"/>
    <m/>
    <m/>
    <m/>
    <m/>
    <s v=""/>
    <s v=""/>
    <s v="Prosecution Evidence"/>
    <s v=""/>
    <s v="Last Month Pendency"/>
    <s v="Windows User"/>
    <d v="2022-03-10T11:05:51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2"/>
    <s v="20/iii"/>
    <s v="State Vs Falak Naz"/>
    <s v="Session"/>
    <x v="1"/>
    <x v="16"/>
    <d v="2021-06-26T00:00:00"/>
    <m/>
    <m/>
    <m/>
    <m/>
    <s v=""/>
    <s v=""/>
    <s v="Prosecution Evidence"/>
    <s v=""/>
    <s v="Last Month Pendency"/>
    <s v="Windows User"/>
    <d v="2022-01-11T11:21:58"/>
    <x v="3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APP"/>
    <s v="Nihal Yousufzai Adv"/>
    <s v=""/>
    <s v="15AA"/>
    <d v="2022-11-14T00:00:00"/>
    <s v="88"/>
    <d v="2021-05-30T00:00:00"/>
    <s v="Zone B"/>
    <b v="1"/>
    <d v="2021-06-23T00:00:00"/>
    <n v="1"/>
    <n v="0"/>
    <n v="0"/>
    <n v="1"/>
    <n v="0"/>
    <n v="4"/>
    <d v="2022-10-28T00:00:00"/>
    <n v="27"/>
    <n v="1"/>
    <s v="7- No Delay Reason, (Proceeding are satisfactory)"/>
    <s v=""/>
    <s v="1 - Remains in this court full month"/>
    <s v="Addl: District &amp; Sessions Judge (Both Civil and Criminal Matter)"/>
  </r>
  <r>
    <n v="513"/>
    <s v="30/iii"/>
    <s v="State Vs Hussain Khan"/>
    <s v="Session"/>
    <x v="1"/>
    <x v="16"/>
    <d v="2021-09-06T00:00:00"/>
    <m/>
    <m/>
    <m/>
    <m/>
    <s v=""/>
    <s v=""/>
    <s v="Prosecution Evidence"/>
    <s v=""/>
    <s v="Last Month Pendency"/>
    <s v="Windows User"/>
    <d v="2022-03-10T11:06:4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14"/>
    <s v="32/iii"/>
    <s v="State Vs Sheraz Khan"/>
    <s v="Session"/>
    <x v="1"/>
    <x v="16"/>
    <d v="2021-09-22T00:00:00"/>
    <m/>
    <m/>
    <m/>
    <m/>
    <s v=""/>
    <s v=""/>
    <s v="Prosecution Evidence"/>
    <s v=""/>
    <s v="Last Month Pendency"/>
    <s v="Windows User"/>
    <d v="2023-02-02T10:52:05"/>
    <x v="3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Malak Muhammad Zeb Adv_x000d__x000a_"/>
    <s v="Jawad Rauf Adv,"/>
    <s v=""/>
    <s v="15AA"/>
    <d v="2023-02-07T00:00:00"/>
    <s v="321"/>
    <d v="2021-08-29T00:00:00"/>
    <s v="Zone B"/>
    <b v="1"/>
    <d v="2021-09-21T00:00:00"/>
    <n v="1"/>
    <n v="0"/>
    <n v="0"/>
    <n v="1"/>
    <n v="0"/>
    <n v="7"/>
    <d v="2023-01-19T00:00:00"/>
    <n v="27"/>
    <n v="12"/>
    <s v="7- No Delay Reason, (Proceeding are satisfactory)"/>
    <s v=""/>
    <s v="1 - Remains in this court full month"/>
    <s v="Addl: District &amp; Sessions Judge (Both Civil and Criminal Matter)"/>
  </r>
  <r>
    <n v="515"/>
    <s v="38/iii"/>
    <s v="State Vs Shamshad etc"/>
    <s v="Session"/>
    <x v="1"/>
    <x v="16"/>
    <d v="2021-12-23T00:00:00"/>
    <m/>
    <m/>
    <m/>
    <m/>
    <s v=""/>
    <s v=""/>
    <s v="Prosecution Evidence"/>
    <s v=""/>
    <s v="Last Month Pendency"/>
    <s v="Windows User"/>
    <d v="2022-01-11T10:35:45"/>
    <x v="3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Waqar Ahmad APP,"/>
    <s v="Saif Ullah Khan Momand Adv"/>
    <s v=""/>
    <s v="15AA"/>
    <d v="2022-11-05T00:00:00"/>
    <s v="170"/>
    <d v="2021-11-19T00:00:00"/>
    <s v="Zone B"/>
    <b v="1"/>
    <d v="2021-12-09T00:00:00"/>
    <n v="2"/>
    <n v="0"/>
    <n v="0"/>
    <n v="2"/>
    <n v="0"/>
    <n v="6"/>
    <d v="2022-10-21T00:00:00"/>
    <n v="19"/>
    <n v="1"/>
    <s v="7- No Delay Reason, (Proceeding are satisfactory)"/>
    <s v=""/>
    <s v="1 - Remains in this court full month"/>
    <s v="Addl: District &amp; Sessions Judge (Both Civil and Criminal Matter)"/>
  </r>
  <r>
    <n v="516"/>
    <s v="39/iii"/>
    <s v="State Vs Khan Bahadar"/>
    <s v="Session"/>
    <x v="1"/>
    <x v="16"/>
    <d v="2021-12-23T00:00:00"/>
    <m/>
    <m/>
    <m/>
    <m/>
    <s v=""/>
    <s v=""/>
    <s v="Prosecution Evidence"/>
    <s v=""/>
    <s v="Last Month Pendency"/>
    <s v="Windows User"/>
    <d v="2022-01-11T11:04:10"/>
    <x v="3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APP"/>
    <s v="Murtaza Khan &amp; Bashir Khan Adv,"/>
    <s v=""/>
    <s v="15AA"/>
    <d v="2022-11-07T00:00:00"/>
    <s v="178"/>
    <d v="2021-11-30T00:00:00"/>
    <s v="Zone B"/>
    <b v="1"/>
    <d v="2021-12-16T00:00:00"/>
    <n v="1"/>
    <n v="0"/>
    <n v="0"/>
    <n v="1"/>
    <n v="0"/>
    <n v="5"/>
    <d v="2022-10-28T00:00:00"/>
    <n v="26"/>
    <n v="1"/>
    <s v="6- Others"/>
    <s v=""/>
    <s v="1 - Remains in this court full month"/>
    <s v="Addl: District &amp; Sessions Judge (Both Civil and Criminal Matter)"/>
  </r>
  <r>
    <n v="517"/>
    <s v="40/iii"/>
    <s v="State Vs Zir Ullah"/>
    <s v="Session"/>
    <x v="1"/>
    <x v="16"/>
    <d v="2022-01-19T00:00:00"/>
    <m/>
    <m/>
    <m/>
    <m/>
    <s v=""/>
    <s v=""/>
    <s v="Prosecution Evidence"/>
    <s v=""/>
    <s v="Last Month Pendency"/>
    <s v="Windows User"/>
    <d v="2022-01-11T10:20:13"/>
    <x v="4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Sultan Ali Shah Adv,"/>
    <s v="Ayaz Muhammad Advm"/>
    <s v=""/>
    <s v="15AA"/>
    <d v="2022-11-08T00:00:00"/>
    <s v="419"/>
    <d v="2021-12-19T00:00:00"/>
    <s v="Zone B"/>
    <b v="1"/>
    <d v="2022-01-14T00:00:00"/>
    <n v="2"/>
    <n v="0"/>
    <n v="0"/>
    <n v="2"/>
    <n v="0"/>
    <n v="6"/>
    <d v="2022-10-24T00:00:00"/>
    <n v="22"/>
    <n v="1"/>
    <s v="7- No Delay Reason, (Proceeding are satisfactory)"/>
    <s v=""/>
    <s v="1 - Remains in this court full month"/>
    <s v="Addl: District &amp; Sessions Judge (Both Civil and Criminal Matter)"/>
  </r>
  <r>
    <n v="518"/>
    <s v="11/iii"/>
    <s v="State Vs Rooh Ul Amin"/>
    <s v="Session"/>
    <x v="1"/>
    <x v="16"/>
    <d v="2022-08-29T00:00:00"/>
    <m/>
    <m/>
    <m/>
    <m/>
    <s v=""/>
    <s v=""/>
    <s v="Prosecution Evidence"/>
    <s v=""/>
    <s v="Last Month Pendency"/>
    <s v="Windows User"/>
    <d v="2022-01-11T11:47:31"/>
    <x v="4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Hazrat Rehman Adv"/>
    <s v="Latif Ahmad Qureshi Adv_x000d__x000a_"/>
    <s v=""/>
    <s v="15AA"/>
    <d v="2022-11-09T00:00:00"/>
    <s v="393"/>
    <d v="2021-04-30T00:00:00"/>
    <s v="Zone B"/>
    <b v="1"/>
    <d v="2021-03-17T00:00:00"/>
    <n v="1"/>
    <n v="0"/>
    <n v="0"/>
    <n v="1"/>
    <n v="0"/>
    <n v="4"/>
    <d v="2022-10-27T00:00:00"/>
    <n v="37"/>
    <n v="1"/>
    <s v="7- No Delay Reason, (Proceeding are satisfactory)"/>
    <s v=""/>
    <s v="1 - Remains in this court full month"/>
    <s v="Addl: District &amp; Sessions Judge (Both Civil and Criminal Matter)"/>
  </r>
  <r>
    <n v="519"/>
    <s v="10/iii"/>
    <s v="State Vs Muhammad Zeb"/>
    <s v="Session"/>
    <x v="1"/>
    <x v="16"/>
    <d v="2022-11-24T00:00:00"/>
    <m/>
    <m/>
    <m/>
    <m/>
    <s v=""/>
    <s v=""/>
    <s v="Attendance"/>
    <s v=""/>
    <s v="Last Month Pendency"/>
    <s v="Windows User"/>
    <s v="29-11-2022 14:04:5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0"/>
    <s v="9/iii"/>
    <s v="State Vs Muhammad Zeb"/>
    <s v="Session"/>
    <x v="1"/>
    <x v="16"/>
    <d v="2022-11-24T00:00:00"/>
    <m/>
    <m/>
    <m/>
    <m/>
    <s v=""/>
    <s v=""/>
    <s v="Attendance"/>
    <s v=""/>
    <s v="Last Month Pendency"/>
    <s v="Windows User"/>
    <s v="29-11-2022 14:04:1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1"/>
    <s v="11/iii"/>
    <s v="State Vs Rashid Ullah"/>
    <s v="Session"/>
    <x v="1"/>
    <x v="16"/>
    <d v="2023-01-06T00:00:00"/>
    <m/>
    <m/>
    <m/>
    <m/>
    <s v=""/>
    <s v=""/>
    <s v="Attendance"/>
    <s v=""/>
    <s v="Last Month Pendency"/>
    <s v="Windows User"/>
    <d v="2023-02-02T10:13:34"/>
    <x v="5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"/>
    <s v=""/>
    <s v=""/>
    <s v="15AA"/>
    <d v="2023-02-14T00:00:00"/>
    <s v="120"/>
    <d v="2022-09-01T00:00:00"/>
    <s v="Zone B"/>
    <b v="1"/>
    <d v="2022-08-23T00:00:00"/>
    <n v="1"/>
    <n v="0"/>
    <n v="0"/>
    <n v="1"/>
    <n v="0"/>
    <n v="9"/>
    <d v="2023-02-08T00:00:00"/>
    <n v="1"/>
    <n v="1"/>
    <s v=""/>
    <s v=""/>
    <s v="1 - Remains in this court full month"/>
    <s v="Addl: District &amp; Sessions Judge (Both Civil and Criminal Matter)"/>
  </r>
  <r>
    <n v="522"/>
    <s v="1/iii"/>
    <s v="The State Vs Anwer Fayat Khan"/>
    <s v="Session"/>
    <x v="1"/>
    <x v="16"/>
    <d v="2023-02-02T00:00:00"/>
    <m/>
    <m/>
    <m/>
    <m/>
    <s v=""/>
    <s v=""/>
    <s v="Attendance"/>
    <s v=""/>
    <s v="Last Month Pendency"/>
    <s v="Windows User"/>
    <s v="23-02-2023 11:13:4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15AA"/>
    <s v="  "/>
    <s v="220"/>
    <d v="2022-11-27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3"/>
    <s v="2/iii"/>
    <s v="State Vs Badshah Hanif"/>
    <s v="Session"/>
    <x v="1"/>
    <x v="16"/>
    <d v="2023-02-14T00:00:00"/>
    <m/>
    <m/>
    <m/>
    <m/>
    <s v=""/>
    <s v=""/>
    <s v="Attendance"/>
    <s v=""/>
    <s v="Last Month Pendency"/>
    <s v="Windows User"/>
    <s v="23-02-2023 11:15:12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15AA"/>
    <s v="  "/>
    <s v="246"/>
    <d v="2022-12-21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4"/>
    <s v="3/iii"/>
    <s v="State Vs Muhammad Rehman"/>
    <s v="Session"/>
    <x v="1"/>
    <x v="16"/>
    <d v="2023-02-27T00:00:00"/>
    <m/>
    <m/>
    <m/>
    <m/>
    <s v=""/>
    <s v=""/>
    <s v="Attendance"/>
    <s v=""/>
    <s v="Last Month Pendency"/>
    <s v="Windows User"/>
    <d v="2023-01-03T10:40:3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5"/>
    <s v="AO 4/iii"/>
    <s v="State Vs Bakht Zaman"/>
    <s v="Session"/>
    <x v="1"/>
    <x v="16"/>
    <d v="2023-03-10T00:00:00"/>
    <m/>
    <m/>
    <m/>
    <m/>
    <s v=""/>
    <s v=""/>
    <s v="Attendance"/>
    <s v=""/>
    <s v="Last Month Pendency"/>
    <s v="Windows User"/>
    <s v="31-03-2023 12:27:4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6"/>
    <s v="2/iv"/>
    <s v="Bakht Zamin Khan Vs Liaqat Ali"/>
    <s v="Session"/>
    <x v="1"/>
    <x v="17"/>
    <d v="2019-02-21T00:00:00"/>
    <m/>
    <m/>
    <m/>
    <m/>
    <s v=""/>
    <s v=""/>
    <s v="Prosecution Evidence"/>
    <s v=""/>
    <s v="Last Month Pendency"/>
    <s v="Windows User"/>
    <d v="2022-03-10T11:10:30"/>
    <x v="1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7"/>
    <s v="3/iv"/>
    <s v="Paris Khan Vs Liaqat Ali"/>
    <s v="Session"/>
    <x v="1"/>
    <x v="17"/>
    <d v="2019-02-21T00:00:00"/>
    <m/>
    <m/>
    <m/>
    <m/>
    <s v=""/>
    <s v=""/>
    <s v="Others"/>
    <s v=""/>
    <s v="Last Month Pendency"/>
    <s v="Windows User"/>
    <d v="2022-03-10T11:11:05"/>
    <x v="1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8"/>
    <s v="Cr Complaint 1/4 Neem"/>
    <s v="Mst Noor Ul Huda Vs M Jamil etc"/>
    <s v="Session"/>
    <x v="1"/>
    <x v="17"/>
    <d v="2020-07-10T00:00:00"/>
    <m/>
    <d v="2023-05-02T00:00:00"/>
    <s v="Restored"/>
    <m/>
    <s v=""/>
    <s v=""/>
    <s v="Attendance"/>
    <s v=""/>
    <s v="Last Month Pendency"/>
    <s v="Windows User"/>
    <d v="2023-02-06T09:26:02"/>
    <x v="2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29"/>
    <s v="1/iv"/>
    <s v="Sultan Raz Vs Amir Nawab"/>
    <s v="Session"/>
    <x v="1"/>
    <x v="17"/>
    <d v="2022-02-03T00:00:00"/>
    <m/>
    <m/>
    <m/>
    <m/>
    <s v=""/>
    <s v=""/>
    <s v="Others"/>
    <s v=""/>
    <s v="Last Month Pendency"/>
    <s v="Windows User"/>
    <d v="2022-03-10T11:12:4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0"/>
    <s v="6/4"/>
    <s v="Zakir Ullah Vs Hamid Zia etc"/>
    <s v="Session"/>
    <x v="1"/>
    <x v="17"/>
    <d v="2022-10-13T00:00:00"/>
    <m/>
    <m/>
    <m/>
    <m/>
    <s v=""/>
    <s v=""/>
    <s v="Attendance"/>
    <s v=""/>
    <s v="Last Month Pendency"/>
    <s v="Windows User"/>
    <s v="31-10-2022 10:30:4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319/322/149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1"/>
    <s v="1/4"/>
    <s v="Mst Jamu Sahar etc Vs Riyazul Islam etc"/>
    <s v="Session"/>
    <x v="1"/>
    <x v="17"/>
    <d v="2023-02-17T00:00:00"/>
    <m/>
    <m/>
    <m/>
    <m/>
    <s v=""/>
    <s v=""/>
    <s v="Attendance"/>
    <s v=""/>
    <s v="Last Month Pendency"/>
    <s v="Windows User"/>
    <s v="23-02-2023 11:18:4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458-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2"/>
    <s v="Cr Complaint 5/4"/>
    <s v="Mst Khodija bibi VS Zahir Khan"/>
    <s v="Session"/>
    <x v="1"/>
    <x v="17"/>
    <d v="2023-06-08T00:00:00"/>
    <m/>
    <m/>
    <m/>
    <m/>
    <s v=""/>
    <s v=""/>
    <s v="Attendance"/>
    <s v=""/>
    <s v="Fresh Month Institution"/>
    <s v="Windows User"/>
    <d v="2023-03-07T10:32:3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33"/>
    <s v="5/ii"/>
    <s v="State Vs Sajad Ahmad"/>
    <s v="Session"/>
    <x v="1"/>
    <x v="18"/>
    <d v="2021-05-25T00:00:00"/>
    <m/>
    <m/>
    <m/>
    <m/>
    <s v=""/>
    <s v=""/>
    <s v="Prosecution Evidence"/>
    <s v=""/>
    <s v="Last Month Pendency"/>
    <s v="Windows User"/>
    <d v="2022-03-10T11:16:3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4"/>
    <s v="6/ii"/>
    <s v="State Vs Said Zarin"/>
    <s v="Session"/>
    <x v="1"/>
    <x v="18"/>
    <d v="2021-05-25T00:00:00"/>
    <m/>
    <m/>
    <m/>
    <m/>
    <s v=""/>
    <s v=""/>
    <s v="Prosecution Evidence"/>
    <s v=""/>
    <s v="Last Month Pendency"/>
    <s v="Windows User"/>
    <d v="2022-03-10T11:17:0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5"/>
    <s v="9/ii"/>
    <s v="State Vs Muhammad Ikram Khan"/>
    <s v="Session"/>
    <x v="1"/>
    <x v="18"/>
    <d v="2021-06-03T00:00:00"/>
    <m/>
    <m/>
    <m/>
    <m/>
    <s v=""/>
    <s v=""/>
    <s v="Prosecution Evidence"/>
    <s v=""/>
    <s v="Last Month Pendency"/>
    <s v="Windows User"/>
    <d v="2022-03-10T11:29:55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6"/>
    <s v="10/ii"/>
    <s v="State Vs Islam Khan"/>
    <s v="Session"/>
    <x v="1"/>
    <x v="18"/>
    <d v="2021-06-15T00:00:00"/>
    <m/>
    <m/>
    <m/>
    <m/>
    <s v=""/>
    <s v=""/>
    <s v="Prosecution Evidence"/>
    <s v=""/>
    <s v="Last Month Pendency"/>
    <s v="Windows User"/>
    <d v="2022-03-10T11:30:3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7"/>
    <s v="11/ii"/>
    <s v="State Vs Asad Ullah"/>
    <s v="Session"/>
    <x v="1"/>
    <x v="18"/>
    <d v="2021-06-23T00:00:00"/>
    <m/>
    <m/>
    <m/>
    <m/>
    <s v=""/>
    <s v=""/>
    <s v="Prosecution Evidence"/>
    <s v=""/>
    <s v="Last Month Pendency"/>
    <s v="Windows User"/>
    <d v="2022-03-10T11:31:1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8"/>
    <s v="12/ii"/>
    <s v="State Vs Bilal Ahmad"/>
    <s v="Session"/>
    <x v="1"/>
    <x v="18"/>
    <d v="2021-06-24T00:00:00"/>
    <m/>
    <m/>
    <m/>
    <m/>
    <s v=""/>
    <s v=""/>
    <s v="Prosecution Evidence"/>
    <s v=""/>
    <s v="Last Month Pendency"/>
    <s v="Windows User"/>
    <d v="2022-03-10T11:31:48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39"/>
    <s v="15/ii"/>
    <s v="State Vs Zafir Ullah"/>
    <s v="Session"/>
    <x v="1"/>
    <x v="18"/>
    <d v="2021-07-01T00:00:00"/>
    <m/>
    <m/>
    <m/>
    <m/>
    <s v=""/>
    <s v=""/>
    <s v="Prosecution Evidence"/>
    <s v=""/>
    <s v="Last Month Pendency"/>
    <s v="Windows User"/>
    <d v="2022-03-10T11:32:4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0"/>
    <s v="16/ii"/>
    <s v="State Vs Shams Ul Haq"/>
    <s v="Session"/>
    <x v="1"/>
    <x v="18"/>
    <d v="2021-07-08T00:00:00"/>
    <m/>
    <m/>
    <m/>
    <m/>
    <s v=""/>
    <s v=""/>
    <s v="Prosecution Evidence"/>
    <s v=""/>
    <s v="Last Month Pendency"/>
    <s v="Windows User"/>
    <d v="2022-03-10T11:33:1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1"/>
    <s v="17/ii"/>
    <s v="State Vs Gul Mina"/>
    <s v="Session"/>
    <x v="1"/>
    <x v="18"/>
    <d v="2021-07-08T00:00:00"/>
    <m/>
    <m/>
    <m/>
    <m/>
    <s v=""/>
    <s v=""/>
    <s v="Prosecution Evidence"/>
    <s v=""/>
    <s v="Last Month Pendency"/>
    <s v="Windows User"/>
    <d v="2022-03-10T11:33:48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2"/>
    <s v="18/ii"/>
    <s v="State Vs Muhammad Aftab"/>
    <s v="Session"/>
    <x v="1"/>
    <x v="18"/>
    <d v="2021-07-08T00:00:00"/>
    <m/>
    <m/>
    <m/>
    <m/>
    <s v=""/>
    <s v=""/>
    <s v="Prosecution Evidence"/>
    <s v=""/>
    <s v="Last Month Pendency"/>
    <s v="Windows User"/>
    <d v="2022-03-10T11:34:21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3"/>
    <s v="19/ii"/>
    <s v="State Vs Muhammad Taufiq"/>
    <s v="Session"/>
    <x v="1"/>
    <x v="18"/>
    <d v="2021-07-08T00:00:00"/>
    <m/>
    <m/>
    <m/>
    <m/>
    <s v=""/>
    <s v=""/>
    <s v="Prosecution Evidence"/>
    <s v=""/>
    <s v="Last Month Pendency"/>
    <s v="Windows User"/>
    <d v="2022-03-10T11:34:51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4"/>
    <s v="20/ii"/>
    <s v="State Vs Farhan Ullah"/>
    <s v="Session"/>
    <x v="1"/>
    <x v="18"/>
    <d v="2021-07-12T00:00:00"/>
    <m/>
    <m/>
    <m/>
    <m/>
    <s v=""/>
    <s v=""/>
    <s v="Prosecution Evidence"/>
    <s v=""/>
    <s v="Last Month Pendency"/>
    <s v="Windows User"/>
    <d v="2022-03-10T11:37:29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5"/>
    <s v="21/ii"/>
    <s v="State Vs Khushal Khan"/>
    <s v="Session"/>
    <x v="1"/>
    <x v="18"/>
    <d v="2021-07-17T00:00:00"/>
    <m/>
    <m/>
    <m/>
    <m/>
    <s v=""/>
    <s v=""/>
    <s v="Prosecution Evidence"/>
    <s v=""/>
    <s v="Last Month Pendency"/>
    <s v="Windows User"/>
    <d v="2022-03-10T11:38:03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6"/>
    <s v="7/ii"/>
    <s v="State Vs Sarfaraz"/>
    <s v="Session"/>
    <x v="1"/>
    <x v="18"/>
    <d v="2021-07-17T00:00:00"/>
    <m/>
    <m/>
    <m/>
    <m/>
    <s v=""/>
    <s v=""/>
    <s v="Prosecution Evidence"/>
    <s v=""/>
    <s v="Last Month Pendency"/>
    <s v="Windows User"/>
    <d v="2023-02-02T10:47:00"/>
    <x v="3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APP"/>
    <s v="Jawad Rauf Adv,"/>
    <s v=""/>
    <s v="9 CCNSA"/>
    <d v="2023-02-08T00:00:00"/>
    <s v="99"/>
    <d v="2021-06-17T00:00:00"/>
    <s v="Zone B"/>
    <b v="1"/>
    <d v="2021-06-06T00:00:00"/>
    <n v="1"/>
    <n v="0"/>
    <n v="0"/>
    <n v="1"/>
    <n v="0"/>
    <n v="5"/>
    <d v="2023-01-19T00:00:00"/>
    <n v="18"/>
    <n v="10"/>
    <s v="7- No Delay Reason, (Proceeding are satisfactory)"/>
    <s v=""/>
    <s v="1 - Remains in this court full month"/>
    <s v="Addl: District &amp; Sessions Judge (Both Civil and Criminal Matter)"/>
  </r>
  <r>
    <n v="547"/>
    <s v="23/ii"/>
    <s v="State Vs Gauhar Ayoub"/>
    <s v="Session"/>
    <x v="1"/>
    <x v="18"/>
    <d v="2021-09-06T00:00:00"/>
    <m/>
    <m/>
    <m/>
    <m/>
    <s v=""/>
    <s v=""/>
    <s v="Prosecution Evidence"/>
    <s v=""/>
    <s v="Last Month Pendency"/>
    <s v="Windows User"/>
    <d v="2022-03-10T11:39:16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8"/>
    <s v="25/ii"/>
    <s v="State Vs Fawad Ullah"/>
    <s v="Session"/>
    <x v="1"/>
    <x v="18"/>
    <d v="2021-09-06T00:00:00"/>
    <m/>
    <m/>
    <m/>
    <m/>
    <s v=""/>
    <s v=""/>
    <s v="Prosecution Evidence"/>
    <s v=""/>
    <s v="Last Month Pendency"/>
    <s v="Windows User"/>
    <d v="2022-03-10T11:40:14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49"/>
    <s v="26/ii"/>
    <s v="State Vs Juma Said"/>
    <s v="Session"/>
    <x v="1"/>
    <x v="18"/>
    <d v="2021-09-06T00:00:00"/>
    <m/>
    <m/>
    <m/>
    <m/>
    <s v=""/>
    <s v=""/>
    <s v="Prosecution Evidence"/>
    <s v=""/>
    <s v="Last Month Pendency"/>
    <s v="Windows User"/>
    <d v="2022-03-10T11:40:42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0"/>
    <s v="35/ii"/>
    <s v="State Vs Mst Fozia bibi"/>
    <s v="Session"/>
    <x v="1"/>
    <x v="18"/>
    <d v="2021-10-08T00:00:00"/>
    <m/>
    <m/>
    <m/>
    <m/>
    <s v=""/>
    <s v=""/>
    <s v="Prosecution Evidence"/>
    <s v=""/>
    <s v="Last Month Pendency"/>
    <s v="Windows User"/>
    <d v="2022-03-10T11:42:13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1"/>
    <s v="28/ii"/>
    <s v="State Vs Feroz Khan"/>
    <s v="Session"/>
    <x v="1"/>
    <x v="18"/>
    <d v="2021-10-11T00:00:00"/>
    <m/>
    <m/>
    <m/>
    <m/>
    <s v=""/>
    <s v=""/>
    <s v="Prosecution Evidence"/>
    <s v=""/>
    <s v="Last Month Pendency"/>
    <s v="Windows User"/>
    <d v="2022-03-10T11:41:13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2"/>
    <s v="30/ii"/>
    <s v="State Vs Hamid Ullah"/>
    <s v="Session"/>
    <x v="1"/>
    <x v="18"/>
    <d v="2021-10-25T00:00:00"/>
    <m/>
    <m/>
    <m/>
    <m/>
    <s v=""/>
    <s v=""/>
    <s v="Prosecution Evidence"/>
    <s v=""/>
    <s v="Last Month Pendency"/>
    <s v="Windows User"/>
    <d v="2022-03-10T11:41:45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3"/>
    <s v="34/ii"/>
    <s v="State Vs habib Ullah"/>
    <s v="Session"/>
    <x v="1"/>
    <x v="18"/>
    <d v="2021-12-29T00:00:00"/>
    <m/>
    <m/>
    <m/>
    <m/>
    <s v=""/>
    <s v=""/>
    <s v="Prosecution Evidence"/>
    <s v=""/>
    <s v="Last Month Pendency"/>
    <s v="Windows User"/>
    <d v="2022-03-10T11:42:50"/>
    <x v="3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4"/>
    <s v="1/ii"/>
    <s v="State Vs Nasib Zada"/>
    <s v="Session"/>
    <x v="1"/>
    <x v="18"/>
    <d v="2022-01-25T00:00:00"/>
    <m/>
    <m/>
    <m/>
    <m/>
    <s v=""/>
    <s v=""/>
    <s v="Prosecution Evidence"/>
    <s v=""/>
    <s v="Last Month Pendency"/>
    <s v="Windows User"/>
    <d v="2022-03-10T11:43:5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5"/>
    <s v="3/ii"/>
    <s v="State Vs Muhammad Noor Ud Din"/>
    <s v="Session"/>
    <x v="1"/>
    <x v="18"/>
    <d v="2022-01-26T00:00:00"/>
    <m/>
    <m/>
    <m/>
    <m/>
    <s v=""/>
    <s v=""/>
    <s v="Prosecution Evidence"/>
    <s v=""/>
    <s v="Last Month Pendency"/>
    <s v="Windows User"/>
    <d v="2022-03-10T11:44:2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6"/>
    <s v="4/ii"/>
    <s v="State Vs Wajid Ali"/>
    <s v="Session"/>
    <x v="1"/>
    <x v="18"/>
    <d v="2022-01-26T00:00:00"/>
    <m/>
    <m/>
    <m/>
    <m/>
    <s v=""/>
    <s v=""/>
    <s v="Prosecution Evidence"/>
    <s v=""/>
    <s v="Last Month Pendency"/>
    <s v="Windows User"/>
    <d v="2022-03-10T11:44:5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7"/>
    <s v="5/ii"/>
    <s v="State Vs Muhammad Sadiq"/>
    <s v="Session"/>
    <x v="1"/>
    <x v="18"/>
    <d v="2022-02-16T00:00:00"/>
    <m/>
    <m/>
    <m/>
    <m/>
    <s v=""/>
    <s v=""/>
    <s v="Prosecution Evidence"/>
    <s v=""/>
    <s v="Last Month Pendency"/>
    <s v="Windows User"/>
    <d v="2022-03-10T11:45:2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8"/>
    <s v="6/ii"/>
    <s v="State Vs Faisal Amin"/>
    <s v="Session"/>
    <x v="1"/>
    <x v="18"/>
    <d v="2022-02-16T00:00:00"/>
    <m/>
    <m/>
    <m/>
    <m/>
    <s v=""/>
    <s v=""/>
    <s v="Prosecution Evidence"/>
    <s v=""/>
    <s v="Last Month Pendency"/>
    <s v="Windows User"/>
    <d v="2022-03-10T11:45:59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59"/>
    <s v="9/ii"/>
    <s v="State Vs Reyaz"/>
    <s v="Session"/>
    <x v="1"/>
    <x v="18"/>
    <d v="2022-02-17T00:00:00"/>
    <m/>
    <m/>
    <m/>
    <m/>
    <s v=""/>
    <s v=""/>
    <s v="Prosecution Evidence"/>
    <s v=""/>
    <s v="Last Month Pendency"/>
    <s v="Windows User"/>
    <d v="2022-03-10T11:46:5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0"/>
    <s v="10/ii"/>
    <s v="State Vs Rehan Muhammad"/>
    <s v="Session"/>
    <x v="1"/>
    <x v="18"/>
    <d v="2022-03-01T00:00:00"/>
    <m/>
    <m/>
    <m/>
    <m/>
    <s v=""/>
    <s v=""/>
    <s v="Prosecution Evidence"/>
    <s v=""/>
    <s v="Last Month Pendency"/>
    <s v="Windows User"/>
    <d v="2022-03-10T11:47:3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1"/>
    <s v="11/ii"/>
    <s v="State Vs Feroz Din"/>
    <s v="Session"/>
    <x v="1"/>
    <x v="18"/>
    <d v="2022-03-01T00:00:00"/>
    <m/>
    <m/>
    <m/>
    <m/>
    <s v=""/>
    <s v=""/>
    <s v="Prosecution Evidence"/>
    <s v=""/>
    <s v="Last Month Pendency"/>
    <s v="Windows User"/>
    <d v="2022-03-10T11:48:0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2"/>
    <s v="12/ii"/>
    <s v="State Vs Farman Ullah"/>
    <s v="Session"/>
    <x v="1"/>
    <x v="18"/>
    <d v="2022-03-01T00:00:00"/>
    <m/>
    <m/>
    <m/>
    <m/>
    <s v=""/>
    <s v=""/>
    <s v="Prosecution Evidence"/>
    <s v=""/>
    <s v="Last Month Pendency"/>
    <s v="Windows User"/>
    <d v="2022-03-10T11:48:3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3"/>
    <s v="14/ii"/>
    <s v="State Vs Feroz Din"/>
    <s v="Session"/>
    <x v="1"/>
    <x v="18"/>
    <d v="2022-03-12T00:00:00"/>
    <m/>
    <m/>
    <m/>
    <m/>
    <s v=""/>
    <s v=""/>
    <s v="Prosecution Evidence"/>
    <s v=""/>
    <s v="Last Month Pendency"/>
    <s v="Windows User"/>
    <d v="2022-03-10T11:49:4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4"/>
    <s v="15/ii"/>
    <s v="State Vs Atha Ullah"/>
    <s v="Session"/>
    <x v="1"/>
    <x v="18"/>
    <d v="2022-03-15T00:00:00"/>
    <m/>
    <m/>
    <m/>
    <m/>
    <s v=""/>
    <s v=""/>
    <s v="Prosecution Evidence"/>
    <s v=""/>
    <s v="Last Month Pendency"/>
    <s v="Windows User"/>
    <d v="2022-03-10T11:50:0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5"/>
    <s v="5/ii"/>
    <s v="State Vs Bakht Sardar"/>
    <s v="Session"/>
    <x v="1"/>
    <x v="18"/>
    <d v="2022-03-15T00:00:00"/>
    <m/>
    <m/>
    <m/>
    <m/>
    <s v=""/>
    <s v=""/>
    <s v="Prosecution Evidence"/>
    <s v=""/>
    <s v="Last Month Pendency"/>
    <s v="Windows User"/>
    <d v="2022-03-10T11:50:3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6"/>
    <s v="16/ii"/>
    <s v="State Vs Wahid Ullah"/>
    <s v="Session"/>
    <x v="1"/>
    <x v="18"/>
    <d v="2022-04-16T00:00:00"/>
    <m/>
    <m/>
    <m/>
    <m/>
    <s v=""/>
    <s v=""/>
    <s v="Prosecution Evidence"/>
    <s v=""/>
    <s v="Last Month Pendency"/>
    <s v="Windows User"/>
    <d v="2022-03-10T11:51:0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7"/>
    <s v="3/ii"/>
    <s v="State Vs Wajid Ali"/>
    <s v="Session"/>
    <x v="1"/>
    <x v="18"/>
    <d v="2022-05-22T00:00:00"/>
    <m/>
    <m/>
    <m/>
    <m/>
    <s v=""/>
    <s v=""/>
    <s v="Prosecution Evidence"/>
    <s v=""/>
    <s v="Last Month Pendency"/>
    <s v="Windows User"/>
    <d v="2022-03-10T11:15:3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8"/>
    <s v="19/ii"/>
    <s v="State Vs Naeem Zada"/>
    <s v="Session"/>
    <x v="1"/>
    <x v="18"/>
    <d v="2022-05-31T00:00:00"/>
    <m/>
    <m/>
    <m/>
    <m/>
    <s v=""/>
    <s v=""/>
    <s v="Prosecution Evidence"/>
    <s v=""/>
    <s v="Last Month Pendency"/>
    <s v="Windows User"/>
    <d v="2022-03-10T11:52:12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69"/>
    <s v="8/iii"/>
    <s v="State Vs Hilal Ahmad"/>
    <s v="Session"/>
    <x v="1"/>
    <x v="18"/>
    <d v="2022-08-03T00:00:00"/>
    <m/>
    <m/>
    <m/>
    <m/>
    <s v=""/>
    <s v=""/>
    <s v="Prosecution Evidence"/>
    <s v=""/>
    <s v="Last Month Pendency"/>
    <s v="Windows User"/>
    <d v="2022-03-10T11:52:4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0"/>
    <s v="20/ii"/>
    <s v="State Vs Aziz Ullah"/>
    <s v="Session"/>
    <x v="1"/>
    <x v="18"/>
    <d v="2022-09-17T00:00:00"/>
    <m/>
    <m/>
    <m/>
    <m/>
    <s v=""/>
    <s v=""/>
    <s v="Attendance"/>
    <s v=""/>
    <s v="Last Month Pendency"/>
    <s v="Windows User"/>
    <d v="2022-03-10T13:24:5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1"/>
    <s v="21/ii"/>
    <s v="State VS Imran"/>
    <s v="Session"/>
    <x v="1"/>
    <x v="18"/>
    <d v="2022-09-17T00:00:00"/>
    <m/>
    <m/>
    <m/>
    <m/>
    <s v=""/>
    <s v=""/>
    <s v="Attendance"/>
    <s v=""/>
    <s v="Last Month Pendency"/>
    <s v="Windows User"/>
    <d v="2022-03-10T13:25:20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2"/>
    <s v="23/ii"/>
    <s v="State Vs Mumtaz"/>
    <s v="Session"/>
    <x v="1"/>
    <x v="18"/>
    <d v="2022-10-05T00:00:00"/>
    <m/>
    <m/>
    <m/>
    <m/>
    <s v=""/>
    <s v=""/>
    <s v="Prosecution Evidence"/>
    <s v=""/>
    <s v="Last Month Pendency"/>
    <s v="Windows User"/>
    <d v="2022-01-11T10:41:53"/>
    <x v="4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DPP"/>
    <s v=""/>
    <s v=""/>
    <s v="9DCNSA"/>
    <d v="2022-11-08T00:00:00"/>
    <s v="122"/>
    <d v="2022-09-07T00:00:00"/>
    <s v="Zone B"/>
    <b v="1"/>
    <d v="2022-09-30T00:00:00"/>
    <n v="1"/>
    <n v="0"/>
    <n v="0"/>
    <n v="1"/>
    <n v="0"/>
    <n v="14"/>
    <d v="2022-10-12T00:00:00"/>
    <n v="3"/>
    <n v="1"/>
    <s v="7- No Delay Reason, (Proceeding are satisfactory)"/>
    <s v=""/>
    <s v="1 - Remains in this court full month"/>
    <s v="Addl: District &amp; Sessions Judge (Both Civil and Criminal Matter)"/>
  </r>
  <r>
    <n v="573"/>
    <s v="24/ii"/>
    <s v="State Vs Sajid Khan"/>
    <s v="Session"/>
    <x v="1"/>
    <x v="18"/>
    <d v="2022-10-18T00:00:00"/>
    <m/>
    <m/>
    <m/>
    <m/>
    <s v=""/>
    <s v=""/>
    <s v="Attendance"/>
    <s v=""/>
    <s v="Last Month Pendency"/>
    <s v="Windows User"/>
    <s v="31-10-2022 10:15:17"/>
    <x v="4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"/>
    <s v=""/>
    <s v=""/>
    <s v="9CCNSA"/>
    <s v="  "/>
    <s v="110"/>
    <d v="2022-09-15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4"/>
    <s v="25/ii"/>
    <s v="State Vs Fazal Wahab"/>
    <s v="Session"/>
    <x v="1"/>
    <x v="18"/>
    <d v="2022-10-18T00:00:00"/>
    <m/>
    <m/>
    <m/>
    <m/>
    <s v=""/>
    <s v=""/>
    <s v="Attendance"/>
    <s v=""/>
    <s v="Last Month Pendency"/>
    <s v="Windows User"/>
    <s v="31-10-2022 10:16:43"/>
    <x v="4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"/>
    <s v=""/>
    <s v=""/>
    <s v="9CCNSA/11CNSA"/>
    <s v="  "/>
    <s v="150"/>
    <d v="2022-06-29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5"/>
    <s v="27/ii"/>
    <s v="State Vs Gulab Khan"/>
    <s v="Session"/>
    <x v="1"/>
    <x v="18"/>
    <d v="2022-10-18T00:00:00"/>
    <m/>
    <m/>
    <m/>
    <m/>
    <s v=""/>
    <s v=""/>
    <s v="Attendance"/>
    <s v=""/>
    <s v="Last Month Pendency"/>
    <s v="Windows User"/>
    <s v="31-10-2022 10:18:39"/>
    <x v="4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"/>
    <s v=""/>
    <s v=""/>
    <s v="9CCNSA"/>
    <s v="  "/>
    <s v="82"/>
    <d v="2022-07-26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6"/>
    <s v="28/ii"/>
    <s v="State Vs Wajid Zaman"/>
    <s v="Session"/>
    <x v="1"/>
    <x v="18"/>
    <d v="2022-10-18T00:00:00"/>
    <m/>
    <m/>
    <m/>
    <m/>
    <s v=""/>
    <s v=""/>
    <s v="Attendance"/>
    <s v=""/>
    <s v="Last Month Pendency"/>
    <s v="Windows User"/>
    <s v="31-10-2022 10:20:47"/>
    <x v="4"/>
    <x v="0"/>
    <s v="PHC0290-73-1"/>
    <s v="Mr Amin Said"/>
    <s v="ADSJ-1"/>
    <s v="Lower Dir - Timergara"/>
    <d v="2023-06-01T00:00:00"/>
    <s v="Regular"/>
    <s v="Talash"/>
    <s v="Addl: District &amp; Sessions Judge"/>
    <s v="Regular"/>
    <s v="0900"/>
    <s v="0900"/>
    <s v=""/>
    <s v=""/>
    <s v=""/>
    <s v="9CCNSA"/>
    <s v="  "/>
    <s v="83"/>
    <d v="2022-07-26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7"/>
    <s v="29/ii"/>
    <s v="State Vs Kamran Khan"/>
    <s v="Session"/>
    <x v="1"/>
    <x v="18"/>
    <d v="2022-10-18T00:00:00"/>
    <m/>
    <m/>
    <m/>
    <m/>
    <s v=""/>
    <s v=""/>
    <s v="Attendance"/>
    <s v=""/>
    <s v="Last Month Pendency"/>
    <s v="Windows User"/>
    <s v="31-10-2022 10:21:50"/>
    <x v="4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9DCNSA"/>
    <s v="  "/>
    <s v="127"/>
    <d v="2022-08-17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8"/>
    <s v="30/ii"/>
    <s v="State Vs Zeshan Ahmed"/>
    <s v="Session"/>
    <x v="1"/>
    <x v="18"/>
    <d v="2022-10-18T00:00:00"/>
    <m/>
    <m/>
    <m/>
    <m/>
    <s v=""/>
    <s v=""/>
    <s v="Attendance"/>
    <s v=""/>
    <s v="Last Month Pendency"/>
    <s v="Windows User"/>
    <s v="31-10-2022 10:22:55"/>
    <x v="4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"/>
    <s v=""/>
    <s v=""/>
    <s v="9DCNSA"/>
    <s v="  "/>
    <s v="109"/>
    <d v="2022-05-30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79"/>
    <s v="31/iii"/>
    <s v="State Vs Waheed Ullah"/>
    <s v="Session"/>
    <x v="1"/>
    <x v="18"/>
    <d v="2022-11-18T00:00:00"/>
    <m/>
    <m/>
    <m/>
    <m/>
    <s v=""/>
    <s v=""/>
    <s v="Attendance"/>
    <s v=""/>
    <s v="Last Month Pendency"/>
    <s v="Windows User"/>
    <s v="29-11-2022 12:27:5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0"/>
    <s v="32/iii"/>
    <s v="State Vs Shafi Ur Rehman"/>
    <s v="Session"/>
    <x v="1"/>
    <x v="18"/>
    <d v="2022-11-18T00:00:00"/>
    <m/>
    <m/>
    <m/>
    <m/>
    <s v=""/>
    <s v=""/>
    <s v="Attendance"/>
    <s v=""/>
    <s v="Last Month Pendency"/>
    <s v="Windows User"/>
    <s v="29-11-2022 12:28:5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1"/>
    <s v="33/iii"/>
    <s v="State Vs Iftekhar Khan"/>
    <s v="Session"/>
    <x v="1"/>
    <x v="18"/>
    <d v="2022-11-24T00:00:00"/>
    <m/>
    <m/>
    <m/>
    <m/>
    <s v=""/>
    <s v=""/>
    <s v="Attendance"/>
    <s v=""/>
    <s v="Last Month Pendency"/>
    <s v="Windows User"/>
    <s v="29-11-2022 12:29:2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2"/>
    <s v="34/iii"/>
    <s v="State Vs Hukam Dad Khan"/>
    <s v="Session"/>
    <x v="1"/>
    <x v="18"/>
    <d v="2022-11-24T00:00:00"/>
    <m/>
    <m/>
    <m/>
    <m/>
    <s v=""/>
    <s v=""/>
    <s v="Attendance"/>
    <s v=""/>
    <s v="Last Month Pendency"/>
    <s v="Windows User"/>
    <s v="29-11-2022 12:29:5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3"/>
    <s v="36/iii"/>
    <s v="State Vs Muhammad Sharif"/>
    <s v="Session"/>
    <x v="1"/>
    <x v="18"/>
    <d v="2022-11-24T00:00:00"/>
    <m/>
    <m/>
    <m/>
    <m/>
    <s v=""/>
    <s v=""/>
    <s v="Attendance"/>
    <s v=""/>
    <s v="Last Month Pendency"/>
    <s v="Windows User"/>
    <s v="29-11-2022 12:31:14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4"/>
    <s v="37/iii"/>
    <s v="State Vs Rizwan Ullah"/>
    <s v="Session"/>
    <x v="1"/>
    <x v="18"/>
    <d v="2022-11-24T00:00:00"/>
    <m/>
    <m/>
    <m/>
    <m/>
    <s v=""/>
    <s v=""/>
    <s v="Attendance"/>
    <s v=""/>
    <s v="Last Month Pendency"/>
    <s v="Windows User"/>
    <s v="29-11-2022 12:31:4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5"/>
    <s v="38/iii"/>
    <s v="State Vs Shafi Ullah"/>
    <s v="Session"/>
    <x v="1"/>
    <x v="18"/>
    <d v="2022-11-24T00:00:00"/>
    <m/>
    <m/>
    <m/>
    <m/>
    <s v=""/>
    <s v=""/>
    <s v="Attendance"/>
    <s v=""/>
    <s v="Last Month Pendency"/>
    <s v="Windows User"/>
    <s v="29-11-2022 12:32:1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6"/>
    <s v="39/iii"/>
    <s v="State Vs Uzair Hameed"/>
    <s v="Session"/>
    <x v="1"/>
    <x v="18"/>
    <d v="2022-11-24T00:00:00"/>
    <m/>
    <m/>
    <m/>
    <m/>
    <s v=""/>
    <s v=""/>
    <s v="Attendance"/>
    <s v=""/>
    <s v="Last Month Pendency"/>
    <s v="Windows User"/>
    <s v="29-11-2022 12:32:4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7"/>
    <s v="40/iii"/>
    <s v="State Vs Ijaz Khan"/>
    <s v="Session"/>
    <x v="1"/>
    <x v="18"/>
    <d v="2022-11-24T00:00:00"/>
    <m/>
    <m/>
    <m/>
    <m/>
    <s v=""/>
    <s v=""/>
    <s v="Attendance"/>
    <s v=""/>
    <s v="Last Month Pendency"/>
    <s v="Windows User"/>
    <s v="29-11-2022 12:33:1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8"/>
    <s v="41/iii"/>
    <s v="State Vs Shah Fahad"/>
    <s v="Session"/>
    <x v="1"/>
    <x v="18"/>
    <d v="2022-11-24T00:00:00"/>
    <m/>
    <m/>
    <m/>
    <m/>
    <s v=""/>
    <s v=""/>
    <s v="Attendance"/>
    <s v=""/>
    <s v="Last Month Pendency"/>
    <s v="Windows User"/>
    <s v="29-11-2022 12:33:5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89"/>
    <s v="43/iii"/>
    <s v="State Vs Muhammad Reyaz"/>
    <s v="Session"/>
    <x v="1"/>
    <x v="18"/>
    <d v="2022-12-15T00:00:00"/>
    <m/>
    <m/>
    <m/>
    <m/>
    <s v=""/>
    <s v=""/>
    <s v="Attendance"/>
    <s v=""/>
    <s v="Last Month Pendency"/>
    <s v="Windows User"/>
    <s v="26-12-2022 11:59:4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0"/>
    <s v="44/iii"/>
    <s v="State Vs Sadam hussain"/>
    <s v="Session"/>
    <x v="1"/>
    <x v="18"/>
    <d v="2022-12-15T00:00:00"/>
    <m/>
    <m/>
    <m/>
    <m/>
    <s v=""/>
    <s v=""/>
    <s v="Attendance"/>
    <s v=""/>
    <s v="Last Month Pendency"/>
    <s v="Windows User"/>
    <s v="26-12-2022 12:00:2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1"/>
    <s v="45/iii"/>
    <s v="State Vs Fazal Hadi"/>
    <s v="Session"/>
    <x v="1"/>
    <x v="18"/>
    <d v="2022-12-15T00:00:00"/>
    <m/>
    <m/>
    <m/>
    <m/>
    <s v=""/>
    <s v=""/>
    <s v="Attendance"/>
    <s v=""/>
    <s v="Last Month Pendency"/>
    <s v="Windows User"/>
    <s v="26-12-2022 12:00:55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2"/>
    <s v="46/iii"/>
    <s v="State Vs Rehan ullah"/>
    <s v="Session"/>
    <x v="1"/>
    <x v="18"/>
    <d v="2022-12-15T00:00:00"/>
    <m/>
    <m/>
    <m/>
    <m/>
    <s v=""/>
    <s v=""/>
    <s v="Attendance"/>
    <s v=""/>
    <s v="Last Month Pendency"/>
    <s v="Windows User"/>
    <s v="26-12-2022 12:01:26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3"/>
    <s v="47/iii"/>
    <s v="State Vs Shahid Khan"/>
    <s v="Session"/>
    <x v="1"/>
    <x v="18"/>
    <d v="2022-12-15T00:00:00"/>
    <m/>
    <m/>
    <m/>
    <m/>
    <s v=""/>
    <s v=""/>
    <s v="Attendance"/>
    <s v=""/>
    <s v="Last Month Pendency"/>
    <s v="Windows User"/>
    <s v="26-12-2022 12:02:07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4"/>
    <s v="48/iii"/>
    <s v="State Vs Farman Ullah"/>
    <s v="Session"/>
    <x v="1"/>
    <x v="18"/>
    <d v="2022-12-15T00:00:00"/>
    <m/>
    <m/>
    <m/>
    <m/>
    <s v=""/>
    <s v=""/>
    <s v="Attendance"/>
    <s v=""/>
    <s v="Last Month Pendency"/>
    <s v="Windows User"/>
    <s v="26-12-2022 12:02:4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5"/>
    <s v="1/iii"/>
    <s v="State Vs Yaaseen Khan"/>
    <s v="Session"/>
    <x v="1"/>
    <x v="18"/>
    <d v="2023-01-04T00:00:00"/>
    <m/>
    <m/>
    <m/>
    <m/>
    <s v=""/>
    <s v=""/>
    <s v="Attendance"/>
    <s v=""/>
    <s v="Last Month Pendency"/>
    <s v="Windows User"/>
    <s v="30-01-2023 11:31:11"/>
    <x v="5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"/>
    <s v=""/>
    <s v=""/>
    <s v="9 DCNSA"/>
    <s v="  "/>
    <s v="142"/>
    <d v="2022-09-05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6"/>
    <s v="2/iii"/>
    <s v="State Vs Luqman"/>
    <s v="Session"/>
    <x v="1"/>
    <x v="18"/>
    <d v="2023-01-04T00:00:00"/>
    <m/>
    <m/>
    <m/>
    <d v="2023-06-08T00:00:00"/>
    <s v="Disposed"/>
    <s v="Pleadguilty"/>
    <s v=""/>
    <s v=""/>
    <s v="Last Month Pendency"/>
    <s v="Windows User"/>
    <d v="2023-03-07T13:58:51"/>
    <x v="5"/>
    <x v="1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"/>
    <s v=""/>
    <s v=""/>
    <s v="9 CCNSA"/>
    <s v="  "/>
    <s v="338"/>
    <d v="2022-09-24T00:00:00"/>
    <s v="Zone B"/>
    <b v="0"/>
    <m/>
    <m/>
    <m/>
    <m/>
    <m/>
    <m/>
    <m/>
    <m/>
    <m/>
    <m/>
    <s v=""/>
    <s v=""/>
    <s v="1 - Remains in this court full month"/>
    <s v="Addl: District &amp; Sessions Judge"/>
  </r>
  <r>
    <n v="597"/>
    <s v="3/iii"/>
    <s v="State Vs Din Muhammmad"/>
    <s v="Session"/>
    <x v="1"/>
    <x v="18"/>
    <d v="2023-01-04T00:00:00"/>
    <m/>
    <m/>
    <m/>
    <m/>
    <s v=""/>
    <s v=""/>
    <s v="Attendance"/>
    <s v=""/>
    <s v="Last Month Pendency"/>
    <s v="Windows User"/>
    <s v="30-01-2023 11:34:31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9 D CNSA"/>
    <s v="  "/>
    <s v="163"/>
    <d v="2022-09-18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8"/>
    <s v="4/iii"/>
    <s v="State Vs Fawad Khan"/>
    <s v="Session"/>
    <x v="1"/>
    <x v="18"/>
    <d v="2023-01-05T00:00:00"/>
    <m/>
    <m/>
    <m/>
    <m/>
    <s v=""/>
    <s v=""/>
    <s v="Attendance"/>
    <s v=""/>
    <s v="Last Month Pendency"/>
    <s v="Windows User"/>
    <s v="30-01-2023 11:35:2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C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599"/>
    <s v="5/iii"/>
    <s v="State Vs Naseeb Dar"/>
    <s v="Session"/>
    <x v="1"/>
    <x v="18"/>
    <d v="2023-01-05T00:00:00"/>
    <m/>
    <m/>
    <m/>
    <m/>
    <s v=""/>
    <s v=""/>
    <s v="Attendance"/>
    <s v=""/>
    <s v="Last Month Pendency"/>
    <s v="Windows User"/>
    <s v="30-01-2023 11:36:0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CCNSA/11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0"/>
    <s v="6/iii"/>
    <s v="State Vs Taj Muhammad"/>
    <s v="Session"/>
    <x v="1"/>
    <x v="18"/>
    <d v="2023-01-05T00:00:00"/>
    <m/>
    <m/>
    <m/>
    <m/>
    <s v=""/>
    <s v=""/>
    <s v="Attendance"/>
    <s v=""/>
    <s v="Last Month Pendency"/>
    <s v="Windows User"/>
    <s v="30-01-2023 11:36:4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 D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1"/>
    <s v="7/iii"/>
    <s v="State Vs Shah Wali Khan"/>
    <s v="Session"/>
    <x v="1"/>
    <x v="18"/>
    <d v="2023-01-05T00:00:00"/>
    <m/>
    <m/>
    <m/>
    <m/>
    <s v=""/>
    <s v=""/>
    <s v="Attendance"/>
    <s v=""/>
    <s v="Last Month Pendency"/>
    <s v="Windows User"/>
    <s v="30-01-2023 11:37:1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C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2"/>
    <s v="8/iii"/>
    <s v="State Vs Sarfaraz"/>
    <s v="Session"/>
    <x v="1"/>
    <x v="18"/>
    <d v="2023-01-10T00:00:00"/>
    <m/>
    <m/>
    <m/>
    <m/>
    <s v=""/>
    <s v=""/>
    <s v="Attendance"/>
    <s v=""/>
    <s v="Last Month Pendency"/>
    <s v="Windows User"/>
    <s v="30-01-2023 11:38:0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D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3"/>
    <s v="9/iii"/>
    <s v="State Vs Shehzad"/>
    <s v="Session"/>
    <x v="1"/>
    <x v="18"/>
    <d v="2023-01-10T00:00:00"/>
    <m/>
    <m/>
    <m/>
    <m/>
    <s v=""/>
    <s v=""/>
    <s v="Attendance"/>
    <s v=""/>
    <s v="Last Month Pendency"/>
    <s v="Windows User"/>
    <s v="30-01-2023 11:38:5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C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4"/>
    <s v="10/iii"/>
    <s v="State Vs Shams Hayat"/>
    <s v="Session"/>
    <x v="1"/>
    <x v="18"/>
    <d v="2023-01-12T00:00:00"/>
    <m/>
    <m/>
    <m/>
    <m/>
    <s v=""/>
    <s v=""/>
    <s v="Attendance"/>
    <s v=""/>
    <s v="Last Month Pendency"/>
    <s v="Windows User"/>
    <s v="30-01-2023 11:39:2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C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5"/>
    <s v="11/iii"/>
    <s v="Stat Vs Gul Nawab"/>
    <s v="Session"/>
    <x v="1"/>
    <x v="18"/>
    <d v="2023-01-12T00:00:00"/>
    <m/>
    <m/>
    <m/>
    <m/>
    <s v=""/>
    <s v=""/>
    <s v="Attendance"/>
    <s v=""/>
    <s v="Last Month Pendency"/>
    <s v="Windows User"/>
    <s v="30-01-2023 11:40:0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 C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6"/>
    <s v="13/iii"/>
    <s v="State Vs Akhtar Husain"/>
    <s v="Session"/>
    <x v="1"/>
    <x v="18"/>
    <d v="2023-01-13T00:00:00"/>
    <m/>
    <m/>
    <m/>
    <m/>
    <s v=""/>
    <s v=""/>
    <s v="Attendance"/>
    <s v=""/>
    <s v="Last Month Pendency"/>
    <s v="Windows User"/>
    <s v="30-01-2023 11:41:2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 D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7"/>
    <s v="14/iii"/>
    <s v="State Vs Tahir Husain"/>
    <s v="Session"/>
    <x v="1"/>
    <x v="18"/>
    <d v="2023-01-13T00:00:00"/>
    <m/>
    <m/>
    <m/>
    <m/>
    <s v=""/>
    <s v=""/>
    <s v="Attendance"/>
    <s v=""/>
    <s v="Last Month Pendency"/>
    <s v="Windows User"/>
    <s v="30-01-2023 11:42:0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11ACNSA/11B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8"/>
    <s v="15/iii"/>
    <s v="State Vs Ihteram Ul Haq etc"/>
    <s v="Session"/>
    <x v="1"/>
    <x v="18"/>
    <d v="2023-01-13T00:00:00"/>
    <m/>
    <m/>
    <m/>
    <m/>
    <s v=""/>
    <s v=""/>
    <s v="Attendance"/>
    <s v=""/>
    <s v="Last Month Pendency"/>
    <s v="Windows User"/>
    <s v="30-01-2023 11:42:4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 D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09"/>
    <s v="12/iii"/>
    <s v="State Vs Majid"/>
    <s v="Session"/>
    <x v="1"/>
    <x v="18"/>
    <d v="2023-01-14T00:00:00"/>
    <m/>
    <m/>
    <m/>
    <m/>
    <s v=""/>
    <s v=""/>
    <s v="Attendance"/>
    <s v=""/>
    <s v="Last Month Pendency"/>
    <s v="Windows User"/>
    <s v="30-01-2023 11:40:4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C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0"/>
    <s v="16/iii"/>
    <s v="State Vs Taj Muhammad"/>
    <s v="Session"/>
    <x v="1"/>
    <x v="18"/>
    <d v="2023-01-23T00:00:00"/>
    <m/>
    <m/>
    <m/>
    <m/>
    <s v=""/>
    <s v=""/>
    <s v="Attendance"/>
    <s v=""/>
    <s v="Last Month Pendency"/>
    <s v="Windows User"/>
    <d v="2023-02-02T10:41:32"/>
    <x v="5"/>
    <x v="0"/>
    <s v="PHC0290-73-1"/>
    <s v="Mr Amin Said"/>
    <s v="ADSJ-1"/>
    <s v="Lower Dir - Timergara"/>
    <d v="2023-06-01T00:00:00"/>
    <s v="Regular"/>
    <s v="Timergara"/>
    <s v="Addl: District &amp; Sessions Judge"/>
    <s v="Regular"/>
    <s v="0900"/>
    <s v="0900"/>
    <s v="APP"/>
    <s v=""/>
    <s v=""/>
    <s v="9D CNSA"/>
    <d v="2023-02-10T00:00:00"/>
    <s v="370"/>
    <d v="2022-11-19T00:00:00"/>
    <s v="Zone B"/>
    <b v="1"/>
    <d v="2023-01-12T00:00:00"/>
    <n v="1"/>
    <n v="0"/>
    <n v="0"/>
    <n v="1"/>
    <n v="0"/>
    <n v="12"/>
    <d v="2023-01-23T00:00:00"/>
    <n v="2"/>
    <n v="1"/>
    <s v="7- No Delay Reason, (Proceeding are satisfactory)"/>
    <s v=""/>
    <s v="1 - Remains in this court full month"/>
    <s v="Addl: District &amp; Sessions Judge (Both Civil and Criminal Matter)"/>
  </r>
  <r>
    <n v="611"/>
    <s v="17/iii"/>
    <s v="State Vs Faqeer Muhammad"/>
    <s v="Session"/>
    <x v="1"/>
    <x v="18"/>
    <d v="2023-01-28T00:00:00"/>
    <m/>
    <m/>
    <m/>
    <m/>
    <s v=""/>
    <s v=""/>
    <s v="Attendance"/>
    <s v=""/>
    <s v="Last Month Pendency"/>
    <s v="Windows User"/>
    <s v="30-01-2023 11:44:0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D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2"/>
    <s v="18/iii"/>
    <s v="State Vs Behram Khan"/>
    <s v="Session"/>
    <x v="1"/>
    <x v="18"/>
    <d v="2023-01-28T00:00:00"/>
    <m/>
    <m/>
    <m/>
    <m/>
    <s v=""/>
    <s v=""/>
    <s v="Attendance"/>
    <s v=""/>
    <s v="Last Month Pendency"/>
    <s v="Windows User"/>
    <s v="30-01-2023 11:44:4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9D CNS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3"/>
    <s v="19/ii"/>
    <s v="State Vs Pervin"/>
    <s v="Session"/>
    <x v="1"/>
    <x v="18"/>
    <d v="2023-02-14T00:00:00"/>
    <m/>
    <m/>
    <m/>
    <m/>
    <s v=""/>
    <s v=""/>
    <s v="Attendance"/>
    <s v=""/>
    <s v="Last Month Pendency"/>
    <s v="Windows User"/>
    <s v="23-02-2023 11:10:24"/>
    <x v="5"/>
    <x v="0"/>
    <s v="PHC0290-73-1"/>
    <s v="Mr Amin Said"/>
    <s v="ADSJ-1"/>
    <s v="Lower Dir - Timergara"/>
    <d v="2023-06-01T00:00:00"/>
    <s v="Regular"/>
    <s v="Khall"/>
    <s v="Addl: District &amp; Sessions Judge"/>
    <s v="Regular"/>
    <s v="0900"/>
    <s v="0900"/>
    <s v=""/>
    <s v=""/>
    <s v=""/>
    <s v="9DCNSA"/>
    <s v="  "/>
    <s v="5"/>
    <d v="2023-01-08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4"/>
    <s v="CNSA 20/ii"/>
    <s v="State Vs Sharif Gul"/>
    <s v="Session"/>
    <x v="1"/>
    <x v="18"/>
    <d v="2023-02-27T00:00:00"/>
    <m/>
    <m/>
    <m/>
    <m/>
    <s v=""/>
    <s v=""/>
    <s v="Attendance"/>
    <s v=""/>
    <s v="Last Month Pendency"/>
    <s v="Windows User"/>
    <d v="2023-01-03T10:41:4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5"/>
    <s v="CNSA 21/ii"/>
    <s v="State Vs Muhammad Rehman"/>
    <s v="Session"/>
    <x v="1"/>
    <x v="18"/>
    <d v="2023-02-27T00:00:00"/>
    <m/>
    <m/>
    <m/>
    <m/>
    <s v=""/>
    <s v=""/>
    <s v="Attendance"/>
    <s v=""/>
    <s v="Last Month Pendency"/>
    <s v="Windows User"/>
    <d v="2023-01-03T10:40:0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6"/>
    <s v="CNSA 22/ii"/>
    <s v="State Vs Hazrat Ali"/>
    <s v="Session"/>
    <x v="1"/>
    <x v="18"/>
    <d v="2023-02-27T00:00:00"/>
    <m/>
    <m/>
    <m/>
    <m/>
    <s v=""/>
    <s v=""/>
    <s v="Attendance"/>
    <s v=""/>
    <s v="Last Month Pendency"/>
    <s v="Windows User"/>
    <d v="2023-01-03T10:39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7"/>
    <s v="CNSA 23/ii"/>
    <s v="State Vs Shahid Zeb"/>
    <s v="Session"/>
    <x v="1"/>
    <x v="18"/>
    <d v="2023-02-27T00:00:00"/>
    <m/>
    <m/>
    <m/>
    <m/>
    <s v=""/>
    <s v=""/>
    <s v="Attendance"/>
    <s v=""/>
    <s v="Last Month Pendency"/>
    <s v="Windows User"/>
    <d v="2023-01-03T10:38:5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8"/>
    <s v="24/ii"/>
    <s v="State Vs Ali Khan etc"/>
    <s v="Session"/>
    <x v="1"/>
    <x v="18"/>
    <d v="2023-03-07T00:00:00"/>
    <m/>
    <m/>
    <m/>
    <m/>
    <s v=""/>
    <s v=""/>
    <s v="Attendance"/>
    <s v=""/>
    <s v="Last Month Pendency"/>
    <s v="Windows User"/>
    <s v="31-03-2023 12:29:4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19"/>
    <s v="25/iii"/>
    <s v="State Vs Inam Ullah"/>
    <s v="Session"/>
    <x v="1"/>
    <x v="18"/>
    <d v="2023-03-10T00:00:00"/>
    <m/>
    <m/>
    <m/>
    <m/>
    <s v=""/>
    <s v=""/>
    <s v="Attendance"/>
    <s v=""/>
    <s v="Last Month Pendency"/>
    <s v="Windows User"/>
    <s v="31-03-2023 12:33:2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0"/>
    <s v="27/iii"/>
    <s v="State Vs Tariq Shah"/>
    <s v="Session"/>
    <x v="1"/>
    <x v="18"/>
    <d v="2023-03-24T00:00:00"/>
    <m/>
    <m/>
    <m/>
    <m/>
    <s v=""/>
    <s v=""/>
    <s v="Attendance"/>
    <s v=""/>
    <s v="Last Month Pendency"/>
    <s v="Windows User"/>
    <s v="31-03-2023 12:37:1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1"/>
    <s v="29/iii"/>
    <s v="State Vs Anwar Said"/>
    <s v="Session"/>
    <x v="1"/>
    <x v="18"/>
    <d v="2023-04-05T00:00:00"/>
    <m/>
    <m/>
    <m/>
    <m/>
    <s v=""/>
    <s v=""/>
    <s v="Attendance"/>
    <s v=""/>
    <s v="Last Month Pendency"/>
    <s v="Windows User"/>
    <s v="29-04-2023 12:46:1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2"/>
    <s v="30/iii"/>
    <s v="State Vs Zahid Ullah etc"/>
    <s v="Session"/>
    <x v="1"/>
    <x v="18"/>
    <d v="2023-04-05T00:00:00"/>
    <m/>
    <m/>
    <m/>
    <m/>
    <s v=""/>
    <s v=""/>
    <s v="Attendance"/>
    <s v=""/>
    <s v="Last Month Pendency"/>
    <s v="Windows User"/>
    <s v="29-04-2023 12:46:5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3"/>
    <s v="31/iii"/>
    <s v="State Vs Uzair Abdul Hamid"/>
    <s v="Session"/>
    <x v="1"/>
    <x v="18"/>
    <d v="2023-04-05T00:00:00"/>
    <m/>
    <m/>
    <m/>
    <m/>
    <s v=""/>
    <s v=""/>
    <s v="Attendance"/>
    <s v=""/>
    <s v="Last Month Pendency"/>
    <s v="Windows User"/>
    <s v="29-04-2023 12:47:3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4"/>
    <s v="33/iii"/>
    <s v="State Vs Wajid"/>
    <s v="Session"/>
    <x v="1"/>
    <x v="18"/>
    <d v="2023-05-08T00:00:00"/>
    <m/>
    <m/>
    <m/>
    <m/>
    <s v=""/>
    <s v=""/>
    <s v="Attendance"/>
    <s v=""/>
    <s v="Last Month Pendency"/>
    <s v="Windows User"/>
    <d v="2023-01-06T10:36:3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5"/>
    <s v="34/iii"/>
    <s v="State Vs Zeshan"/>
    <s v="Session"/>
    <x v="1"/>
    <x v="18"/>
    <d v="2023-05-11T00:00:00"/>
    <m/>
    <m/>
    <m/>
    <m/>
    <s v=""/>
    <s v=""/>
    <s v="Attendance"/>
    <s v=""/>
    <s v="Last Month Pendency"/>
    <s v="Windows User"/>
    <d v="2023-01-06T10:37:0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6"/>
    <s v="35/iii"/>
    <s v="State Vs Shahzeb"/>
    <s v="Session"/>
    <x v="1"/>
    <x v="18"/>
    <d v="2023-05-22T00:00:00"/>
    <m/>
    <m/>
    <m/>
    <m/>
    <s v=""/>
    <s v=""/>
    <s v="Attendance"/>
    <s v=""/>
    <s v="Last Month Pendency"/>
    <s v="Windows User"/>
    <d v="2023-01-06T10:37:3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27"/>
    <s v="36/iii"/>
    <s v="State Vs Javeed"/>
    <s v="Session"/>
    <x v="1"/>
    <x v="18"/>
    <d v="2023-06-06T00:00:00"/>
    <m/>
    <m/>
    <m/>
    <m/>
    <s v=""/>
    <s v=""/>
    <s v="Attendance"/>
    <s v=""/>
    <s v="Fresh Month Institution"/>
    <s v="Windows User"/>
    <d v="2023-03-07T10:41:2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28"/>
    <s v="10/ii"/>
    <s v="State Vs Gul Alisha"/>
    <s v="Session"/>
    <x v="1"/>
    <x v="19"/>
    <d v="2021-01-27T00:00:00"/>
    <m/>
    <m/>
    <m/>
    <d v="2023-06-23T00:00:00"/>
    <s v="Disposed"/>
    <s v="Uncontested"/>
    <s v=""/>
    <s v=""/>
    <s v="Last Month Pendency"/>
    <s v="Windows User"/>
    <d v="2023-03-07T14:31:01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29"/>
    <s v="JJS 1/iii"/>
    <s v="State Vs Talha"/>
    <s v="Session"/>
    <x v="1"/>
    <x v="19"/>
    <d v="2023-06-10T00:00:00"/>
    <m/>
    <m/>
    <m/>
    <m/>
    <s v=""/>
    <s v=""/>
    <s v="Attendance"/>
    <s v=""/>
    <s v="Fresh Month Institution"/>
    <s v="Windows User"/>
    <d v="2023-03-07T10:35:3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0"/>
    <s v="23/ii"/>
    <s v="State Vs Usman Ul Haq"/>
    <s v="Session"/>
    <x v="1"/>
    <x v="19"/>
    <d v="2023-06-05T00:00:00"/>
    <m/>
    <m/>
    <m/>
    <m/>
    <s v=""/>
    <s v=""/>
    <s v="Attendance"/>
    <s v=""/>
    <s v="Fresh Month Institution"/>
    <s v="Windows User"/>
    <d v="2023-03-07T10:46:12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1"/>
    <s v="26/ii"/>
    <s v="State Vs Anwar Ul Islam"/>
    <s v="Session"/>
    <x v="1"/>
    <x v="19"/>
    <d v="2023-06-10T00:00:00"/>
    <m/>
    <m/>
    <m/>
    <m/>
    <s v=""/>
    <s v=""/>
    <s v="Attendance"/>
    <s v=""/>
    <s v="Fresh Month Institution"/>
    <s v="Windows User"/>
    <d v="2023-03-07T10:48:5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2"/>
    <s v="27/ii"/>
    <s v="State Vs Fazal nabi"/>
    <s v="Session"/>
    <x v="1"/>
    <x v="20"/>
    <d v="2022-04-16T00:00:00"/>
    <m/>
    <m/>
    <m/>
    <m/>
    <s v=""/>
    <s v=""/>
    <s v="Attendance"/>
    <s v=""/>
    <s v="Last Month Pendency"/>
    <s v="Windows User"/>
    <d v="2022-03-10T10:52:5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33"/>
    <s v="9/ii"/>
    <s v="State Vs Siraj Ul Haq"/>
    <s v="Session"/>
    <x v="1"/>
    <x v="21"/>
    <d v="2023-03-24T00:00:00"/>
    <m/>
    <m/>
    <m/>
    <m/>
    <s v=""/>
    <s v=""/>
    <s v="Attendance"/>
    <s v=""/>
    <s v="Last Month Pendency"/>
    <s v="Windows User"/>
    <s v="31-03-2023 12:40:0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34"/>
    <s v="BA 170/iv"/>
    <s v="Kabir Ullah Vs State"/>
    <s v="Session"/>
    <x v="1"/>
    <x v="22"/>
    <d v="2023-05-30T00:00:00"/>
    <m/>
    <m/>
    <m/>
    <d v="2023-06-03T00:00:00"/>
    <s v="Disposed"/>
    <s v="Contested- Non Trial Based"/>
    <s v=""/>
    <s v=""/>
    <s v="Last Month Pendency"/>
    <s v="Windows User"/>
    <d v="2023-03-07T13:53:57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5"/>
    <s v="BBA No 165/iv"/>
    <s v="Habib Ullah Vs State"/>
    <s v="Session"/>
    <x v="1"/>
    <x v="22"/>
    <d v="2023-05-26T00:00:00"/>
    <m/>
    <m/>
    <m/>
    <d v="2023-06-20T00:00:00"/>
    <s v="Disposed"/>
    <s v="Contested- Non Trial Based"/>
    <s v=""/>
    <s v=""/>
    <s v="Last Month Pendency"/>
    <s v="Windows User"/>
    <d v="2023-03-07T14:24:44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6"/>
    <s v="BA No 169/iv"/>
    <s v="Mujahid Vs State"/>
    <s v="Session"/>
    <x v="1"/>
    <x v="22"/>
    <d v="2023-05-30T00:00:00"/>
    <m/>
    <m/>
    <m/>
    <d v="2023-06-05T00:00:00"/>
    <s v="Disposed"/>
    <s v="Contested- Non Trial Based"/>
    <s v=""/>
    <s v=""/>
    <s v="Last Month Pendency"/>
    <s v="Windows User"/>
    <d v="2023-03-07T15:35:01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7"/>
    <s v="BA No 89/iv"/>
    <s v="Noor Said Vs State"/>
    <s v="Session"/>
    <x v="1"/>
    <x v="22"/>
    <d v="2023-03-16T00:00:00"/>
    <m/>
    <m/>
    <m/>
    <d v="2023-06-27T00:00:00"/>
    <s v="Disposed"/>
    <s v="Contested- Non Trial Based"/>
    <s v=""/>
    <s v=""/>
    <s v="Last Month Pendency"/>
    <s v="Windows User"/>
    <d v="2023-03-07T15:28:3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8"/>
    <s v="BA No 106/iv"/>
    <s v="Wali Khan Vs State"/>
    <s v="Session"/>
    <x v="1"/>
    <x v="22"/>
    <d v="2023-04-11T00:00:00"/>
    <m/>
    <m/>
    <m/>
    <d v="2023-06-12T00:00:00"/>
    <s v="Disposed"/>
    <s v="Contested- Non Trial Based"/>
    <s v=""/>
    <s v=""/>
    <s v="Last Month Pendency"/>
    <s v="Windows User"/>
    <d v="2023-03-07T15:29:2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39"/>
    <s v="BBA No 108/iv"/>
    <s v="Mst Aiman Vs State"/>
    <s v="Session"/>
    <x v="1"/>
    <x v="22"/>
    <d v="2023-04-11T00:00:00"/>
    <m/>
    <m/>
    <m/>
    <d v="2023-06-05T00:00:00"/>
    <s v="Disposed"/>
    <s v="Contested- Non Trial Based"/>
    <s v=""/>
    <s v=""/>
    <s v="Last Month Pendency"/>
    <s v="Windows User"/>
    <d v="2023-03-07T13:46:4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0"/>
    <s v="BA No 116/iv"/>
    <s v="Shah Zeb Vs State"/>
    <s v="Session"/>
    <x v="1"/>
    <x v="22"/>
    <d v="2023-04-18T00:00:00"/>
    <m/>
    <m/>
    <m/>
    <d v="2023-06-18T00:00:00"/>
    <s v="Disposed"/>
    <s v="Contested- Non Trial Based"/>
    <s v=""/>
    <s v=""/>
    <s v="Last Month Pendency"/>
    <s v="Windows User"/>
    <d v="2023-03-07T15:30:01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1"/>
    <s v="BBA No 122/iv"/>
    <s v="Aman Ul Haq Vs State"/>
    <s v="Session"/>
    <x v="1"/>
    <x v="22"/>
    <d v="2023-04-26T00:00:00"/>
    <m/>
    <m/>
    <m/>
    <d v="2023-06-27T00:00:00"/>
    <s v="Disposed"/>
    <s v="In Default"/>
    <s v=""/>
    <s v=""/>
    <s v="Last Month Pendency"/>
    <s v="Windows User"/>
    <d v="2023-03-07T15:30:3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2"/>
    <s v="172/iv"/>
    <s v="Ihsan Ullah Vs State"/>
    <s v="Session"/>
    <x v="1"/>
    <x v="22"/>
    <d v="2023-06-05T00:00:00"/>
    <m/>
    <m/>
    <m/>
    <d v="2023-06-10T00:00:00"/>
    <s v="Disposed"/>
    <s v="Contested- Non Trial Based"/>
    <s v=""/>
    <s v=""/>
    <s v="Fresh Month Institution"/>
    <s v="Windows User"/>
    <d v="2023-03-07T13:57:4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3"/>
    <s v="173/iv"/>
    <s v="Abdul Wasi Vs State"/>
    <s v="Session"/>
    <x v="1"/>
    <x v="22"/>
    <d v="2023-06-07T00:00:00"/>
    <m/>
    <m/>
    <m/>
    <d v="2023-06-24T00:00:00"/>
    <s v="Disposed"/>
    <s v="Contested- Non Trial Based"/>
    <s v=""/>
    <s v=""/>
    <s v="Fresh Month Institution"/>
    <s v="Windows User"/>
    <d v="2023-03-07T14:36:57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4"/>
    <s v="174/iv"/>
    <s v="Salim Khan Vs State"/>
    <s v="Session"/>
    <x v="1"/>
    <x v="22"/>
    <d v="2023-06-07T00:00:00"/>
    <m/>
    <m/>
    <m/>
    <d v="2023-06-24T00:00:00"/>
    <s v="Disposed"/>
    <s v="Contested- Non Trial Based"/>
    <s v=""/>
    <s v=""/>
    <s v="Fresh Month Institution"/>
    <s v="Windows User"/>
    <d v="2023-03-07T14:32:10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5"/>
    <s v="175/iv"/>
    <s v="Arshad Ali Vs State"/>
    <s v="Session"/>
    <x v="1"/>
    <x v="22"/>
    <d v="2023-06-08T00:00:00"/>
    <m/>
    <m/>
    <m/>
    <d v="2023-06-24T00:00:00"/>
    <s v="Disposed"/>
    <s v="Contested- Non Trial Based"/>
    <s v=""/>
    <s v=""/>
    <s v="Fresh Month Institution"/>
    <s v="Windows User"/>
    <d v="2023-03-07T14:31:4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6"/>
    <s v="176/iv"/>
    <s v="Sahib zada Vs State"/>
    <s v="Session"/>
    <x v="1"/>
    <x v="22"/>
    <d v="2023-06-09T00:00:00"/>
    <m/>
    <m/>
    <m/>
    <d v="2023-06-16T00:00:00"/>
    <s v="Disposed"/>
    <s v="Contested- Non Trial Based"/>
    <s v=""/>
    <s v=""/>
    <s v="Fresh Month Institution"/>
    <s v="Windows User"/>
    <d v="2023-03-07T14:00:0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7"/>
    <s v="177/iv"/>
    <s v="Mujahid Vs State"/>
    <s v="Session"/>
    <x v="1"/>
    <x v="22"/>
    <d v="2023-06-09T00:00:00"/>
    <m/>
    <m/>
    <m/>
    <d v="2023-06-10T00:00:00"/>
    <s v="Disposed"/>
    <s v="Contested- Non Trial Based"/>
    <s v=""/>
    <s v=""/>
    <s v="Fresh Month Institution"/>
    <s v="Windows User"/>
    <d v="2023-03-07T13:47:5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8"/>
    <s v="178/iv"/>
    <s v="Muhammad Khan Vs State"/>
    <s v="Session"/>
    <x v="1"/>
    <x v="22"/>
    <d v="2023-06-09T00:00:00"/>
    <m/>
    <m/>
    <m/>
    <m/>
    <s v=""/>
    <s v=""/>
    <s v="Attendance"/>
    <s v=""/>
    <s v="Fresh Month Institution"/>
    <s v="Windows User"/>
    <d v="2023-03-07T11:07:5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49"/>
    <s v="179/iv"/>
    <s v="Asad Ullah Vs State"/>
    <s v="Session"/>
    <x v="1"/>
    <x v="22"/>
    <d v="2023-06-09T00:00:00"/>
    <m/>
    <m/>
    <m/>
    <m/>
    <s v=""/>
    <s v=""/>
    <s v="Attendance"/>
    <s v=""/>
    <s v="Fresh Month Institution"/>
    <s v="Windows User"/>
    <d v="2023-03-07T11:08:5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0"/>
    <s v="181/iv"/>
    <s v="Javeed Vs State"/>
    <s v="Session"/>
    <x v="1"/>
    <x v="22"/>
    <d v="2023-06-16T00:00:00"/>
    <m/>
    <m/>
    <m/>
    <m/>
    <s v=""/>
    <s v=""/>
    <s v="Attendance"/>
    <s v=""/>
    <s v="Fresh Month Institution"/>
    <s v="Windows User"/>
    <d v="2023-03-07T11:13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1"/>
    <s v="182/iv"/>
    <s v="Gul Zahir Vs State"/>
    <s v="Session"/>
    <x v="1"/>
    <x v="22"/>
    <d v="2023-06-16T00:00:00"/>
    <m/>
    <m/>
    <m/>
    <d v="2023-06-20T00:00:00"/>
    <s v="Disposed"/>
    <s v="In Default"/>
    <s v=""/>
    <s v=""/>
    <s v="Fresh Month Institution"/>
    <s v="Windows User"/>
    <d v="2023-03-07T14:32:57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2"/>
    <s v="183/iv"/>
    <s v="Mathi Ullah Vs State"/>
    <s v="Session"/>
    <x v="1"/>
    <x v="22"/>
    <d v="2023-06-17T00:00:00"/>
    <m/>
    <m/>
    <m/>
    <m/>
    <s v=""/>
    <s v=""/>
    <s v="Attendance"/>
    <s v=""/>
    <s v="Fresh Month Institution"/>
    <s v="Windows User"/>
    <d v="2023-03-07T11:14:2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3"/>
    <s v="184/iv"/>
    <s v="Usman Vs State"/>
    <s v="Session"/>
    <x v="1"/>
    <x v="22"/>
    <d v="2023-06-19T00:00:00"/>
    <m/>
    <m/>
    <m/>
    <m/>
    <s v=""/>
    <s v=""/>
    <s v="Attendance"/>
    <s v=""/>
    <s v="Fresh Month Institution"/>
    <s v="Windows User"/>
    <d v="2023-03-07T11:15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4"/>
    <s v="185/iv"/>
    <s v="Najeeb Ullah Vs State"/>
    <s v="Session"/>
    <x v="1"/>
    <x v="22"/>
    <d v="2023-06-19T00:00:00"/>
    <m/>
    <m/>
    <m/>
    <m/>
    <s v=""/>
    <s v=""/>
    <s v="Attendance"/>
    <s v=""/>
    <s v="Fresh Month Institution"/>
    <s v="Windows User"/>
    <d v="2023-03-07T11:16:2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5"/>
    <s v="186/iv"/>
    <s v="Dilfaraz Khan Vs State"/>
    <s v="Session"/>
    <x v="1"/>
    <x v="22"/>
    <d v="2023-06-19T00:00:00"/>
    <m/>
    <m/>
    <m/>
    <d v="2023-06-24T00:00:00"/>
    <s v="Disposed"/>
    <s v="Contested- Non Trial Based"/>
    <s v=""/>
    <s v=""/>
    <s v="Fresh Month Institution"/>
    <s v="Windows User"/>
    <d v="2023-03-07T14:33:23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6"/>
    <s v="187/iv"/>
    <s v="Yasar Shah Vs State"/>
    <s v="Session"/>
    <x v="1"/>
    <x v="22"/>
    <d v="2023-06-16T00:00:00"/>
    <m/>
    <m/>
    <m/>
    <d v="2023-06-17T00:00:00"/>
    <s v="Disposed"/>
    <s v="Contested- Non Trial Based"/>
    <s v=""/>
    <s v=""/>
    <s v="Fresh Month Institution"/>
    <s v="Windows User"/>
    <d v="2023-03-07T14:00:43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7"/>
    <s v="188/iv"/>
    <s v="Wahab Alam Vs State"/>
    <s v="Session"/>
    <x v="1"/>
    <x v="22"/>
    <d v="2023-06-16T00:00:00"/>
    <m/>
    <m/>
    <m/>
    <d v="2023-06-17T00:00:00"/>
    <s v="Disposed"/>
    <s v="Contested- Non Trial Based"/>
    <s v=""/>
    <s v=""/>
    <s v="Fresh Month Institution"/>
    <s v="Windows User"/>
    <d v="2023-03-07T14:01:16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8"/>
    <s v="189/iv"/>
    <s v="Abbas Zeb Vs State"/>
    <s v="Session"/>
    <x v="1"/>
    <x v="22"/>
    <d v="2023-06-16T00:00:00"/>
    <m/>
    <m/>
    <m/>
    <d v="2023-06-17T00:00:00"/>
    <s v="Disposed"/>
    <s v="Contested- Non Trial Based"/>
    <s v=""/>
    <s v=""/>
    <s v="Fresh Month Institution"/>
    <s v="Windows User"/>
    <d v="2023-03-07T14:01:5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59"/>
    <s v="190/iv"/>
    <s v="Muhammad Tahir Vs State"/>
    <s v="Session"/>
    <x v="1"/>
    <x v="22"/>
    <d v="2023-06-20T00:00:00"/>
    <m/>
    <m/>
    <m/>
    <m/>
    <s v=""/>
    <s v=""/>
    <s v="Attendance"/>
    <s v=""/>
    <s v="Fresh Month Institution"/>
    <s v="Windows User"/>
    <d v="2023-03-07T11:23:5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0"/>
    <s v="191/iv"/>
    <s v="Tausif Shah Vs State"/>
    <s v="Session"/>
    <x v="1"/>
    <x v="22"/>
    <d v="2023-06-21T00:00:00"/>
    <m/>
    <m/>
    <m/>
    <m/>
    <s v=""/>
    <s v=""/>
    <s v="Attendance"/>
    <s v=""/>
    <s v="Fresh Month Institution"/>
    <s v="Windows User"/>
    <d v="2023-03-07T11:24:4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1"/>
    <s v="192/iv"/>
    <s v="Tausif Shah Vs State"/>
    <s v="Session"/>
    <x v="1"/>
    <x v="22"/>
    <d v="2023-06-21T00:00:00"/>
    <m/>
    <m/>
    <m/>
    <m/>
    <s v=""/>
    <s v=""/>
    <s v="Attendance"/>
    <s v=""/>
    <s v="Fresh Month Institution"/>
    <s v="Windows User"/>
    <d v="2023-03-07T11:25:2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2"/>
    <s v="193/iv"/>
    <s v="Junaid Qasim Vs State"/>
    <s v="Session"/>
    <x v="1"/>
    <x v="22"/>
    <d v="2023-06-21T00:00:00"/>
    <m/>
    <m/>
    <m/>
    <m/>
    <s v=""/>
    <s v=""/>
    <s v="Attendance"/>
    <s v=""/>
    <s v="Fresh Month Institution"/>
    <s v="Windows User"/>
    <d v="2023-03-07T11:30:3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3"/>
    <s v="194/iv"/>
    <s v="Alim Ul Haq Vs State"/>
    <s v="Session"/>
    <x v="1"/>
    <x v="22"/>
    <d v="2023-06-21T00:00:00"/>
    <m/>
    <m/>
    <m/>
    <m/>
    <s v=""/>
    <s v=""/>
    <s v="Attendance"/>
    <s v=""/>
    <s v="Fresh Month Institution"/>
    <s v="Windows User"/>
    <d v="2023-03-07T11:31:2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4"/>
    <s v="196/iv"/>
    <s v="Dawood Khan Vs State"/>
    <s v="Session"/>
    <x v="1"/>
    <x v="22"/>
    <d v="2023-06-21T00:00:00"/>
    <m/>
    <m/>
    <m/>
    <m/>
    <s v=""/>
    <s v=""/>
    <s v="Attendance"/>
    <s v=""/>
    <s v="Fresh Month Institution"/>
    <s v="Windows User"/>
    <d v="2023-03-07T11:32:43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5"/>
    <s v="197/iv"/>
    <s v="Gul Zahir Vs State"/>
    <s v="Session"/>
    <x v="1"/>
    <x v="22"/>
    <d v="2023-06-23T00:00:00"/>
    <m/>
    <m/>
    <m/>
    <m/>
    <s v=""/>
    <s v=""/>
    <s v="Attendance"/>
    <s v=""/>
    <s v="Fresh Month Institution"/>
    <s v="Windows User"/>
    <d v="2023-03-07T11:33:20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6"/>
    <s v="198/iv"/>
    <s v="Hujaj Khan Vs State"/>
    <s v="Session"/>
    <x v="1"/>
    <x v="22"/>
    <d v="2023-06-24T00:00:00"/>
    <m/>
    <m/>
    <m/>
    <m/>
    <s v=""/>
    <s v=""/>
    <s v="Attendance"/>
    <s v=""/>
    <s v="Fresh Month Institution"/>
    <s v="Windows User"/>
    <d v="2023-03-07T11:34:11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7"/>
    <s v="199/iv"/>
    <s v="Gul Khan Vs State"/>
    <s v="Session"/>
    <x v="1"/>
    <x v="22"/>
    <d v="2023-06-23T00:00:00"/>
    <m/>
    <m/>
    <m/>
    <m/>
    <s v=""/>
    <s v=""/>
    <s v="Attendance"/>
    <s v=""/>
    <s v="Fresh Month Institution"/>
    <s v="Windows User"/>
    <d v="2023-03-07T11:34:4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8"/>
    <s v="200/iv"/>
    <s v="Nasar Khan Vs State"/>
    <s v="Session"/>
    <x v="1"/>
    <x v="22"/>
    <d v="2023-06-22T00:00:00"/>
    <m/>
    <m/>
    <m/>
    <d v="2023-06-22T00:00:00"/>
    <s v="Disposed"/>
    <s v="Contested- Non Trial Based"/>
    <s v=""/>
    <s v=""/>
    <s v="Fresh Month Institution"/>
    <s v="Windows User"/>
    <d v="2023-03-07T14:30:19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69"/>
    <s v="201/iv"/>
    <s v="Khowaja Muhammad Vs State"/>
    <s v="Session"/>
    <x v="1"/>
    <x v="22"/>
    <d v="2023-06-26T00:00:00"/>
    <m/>
    <m/>
    <m/>
    <m/>
    <s v=""/>
    <s v=""/>
    <s v="Attendance"/>
    <s v=""/>
    <s v="Fresh Month Institution"/>
    <s v="Windows User"/>
    <d v="2023-03-07T11:36:0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70"/>
    <s v="202/iv"/>
    <s v="Suliman etc Vs State etc"/>
    <s v="Session"/>
    <x v="1"/>
    <x v="22"/>
    <d v="2023-06-26T00:00:00"/>
    <m/>
    <m/>
    <m/>
    <m/>
    <s v=""/>
    <s v=""/>
    <s v="Attendance"/>
    <s v=""/>
    <s v="Fresh Month Institution"/>
    <s v="Windows User"/>
    <d v="2023-03-07T12:19:37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71"/>
    <s v="180/iv"/>
    <s v="Mujahid Khan Vs State"/>
    <s v="Session"/>
    <x v="1"/>
    <x v="23"/>
    <d v="2023-06-06T00:00:00"/>
    <m/>
    <m/>
    <m/>
    <d v="2023-06-06T00:00:00"/>
    <s v="Disposed"/>
    <s v="Contested- Non Trial Based"/>
    <s v=""/>
    <s v=""/>
    <s v="Fresh Month Institution"/>
    <s v="Windows User"/>
    <d v="2023-03-07T13:55:34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72"/>
    <s v="195/iv"/>
    <s v="Mst Abida Vs SHO etc"/>
    <s v="Session"/>
    <x v="1"/>
    <x v="23"/>
    <d v="2023-06-21T00:00:00"/>
    <m/>
    <m/>
    <m/>
    <m/>
    <s v=""/>
    <s v=""/>
    <s v="Attendance"/>
    <s v=""/>
    <s v="Fresh Month Institution"/>
    <s v="Windows User"/>
    <d v="2023-03-07T11:32:0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73"/>
    <s v="54/ii"/>
    <s v="State Vs Sami Ullah etc"/>
    <s v="Session"/>
    <x v="1"/>
    <x v="24"/>
    <d v="2020-10-05T00:00:00"/>
    <m/>
    <m/>
    <m/>
    <m/>
    <s v=""/>
    <s v=""/>
    <s v="Prosecution Evidence"/>
    <s v=""/>
    <s v="Last Month Pendency"/>
    <s v="Windows User"/>
    <d v="2022-03-10T10:14:38"/>
    <x v="2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74"/>
    <s v="45/ii"/>
    <s v="State Vs Noor Salim"/>
    <s v="Session"/>
    <x v="1"/>
    <x v="24"/>
    <d v="2022-10-10T00:00:00"/>
    <d v="2022-12-06T00:00:00"/>
    <m/>
    <s v="Remanded"/>
    <m/>
    <s v=""/>
    <s v=""/>
    <s v="Attendance"/>
    <s v=""/>
    <s v="Last Month Pendency"/>
    <s v="Windows User"/>
    <s v="23-12-2022 12:18:51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75"/>
    <s v="21/10"/>
    <s v="Bakht Rawan etc Vs Zahid Jan"/>
    <s v="Session"/>
    <x v="1"/>
    <x v="25"/>
    <d v="2022-10-06T00:00:00"/>
    <m/>
    <m/>
    <m/>
    <m/>
    <s v=""/>
    <s v=""/>
    <s v="Attendance"/>
    <s v=""/>
    <s v="Last Month Pendency"/>
    <s v="Windows User"/>
    <s v="31-10-2022 10:26:08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435/436/438 A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76"/>
    <s v="Cr Rev 30/10"/>
    <s v="Shehzad Alii Vs State"/>
    <s v="Session"/>
    <x v="1"/>
    <x v="25"/>
    <d v="2022-12-05T00:00:00"/>
    <m/>
    <m/>
    <m/>
    <d v="2023-06-17T00:00:00"/>
    <s v="Disposed"/>
    <s v="Contested- Non Trial Based"/>
    <s v=""/>
    <s v=""/>
    <s v="Last Month Pendency"/>
    <s v="Windows User"/>
    <d v="2023-03-07T14:27:09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77"/>
    <s v="Cr Rev 31/10"/>
    <s v="Zahid Khan Vs Muhaib Ullah etc"/>
    <s v="Session"/>
    <x v="1"/>
    <x v="25"/>
    <d v="2022-12-19T00:00:00"/>
    <m/>
    <m/>
    <m/>
    <m/>
    <s v=""/>
    <s v=""/>
    <s v="Attendance"/>
    <s v=""/>
    <s v="Last Month Pendency"/>
    <s v="Windows User"/>
    <s v="26-12-2022 12:18:13"/>
    <x v="4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78"/>
    <s v="Cr Rev 26/10"/>
    <s v="Abdul Wahab Vs State"/>
    <s v="Session"/>
    <x v="1"/>
    <x v="25"/>
    <d v="2022-11-19T00:00:00"/>
    <m/>
    <m/>
    <m/>
    <d v="2023-06-20T00:00:00"/>
    <s v="Disposed"/>
    <s v="Contested- Non Trial Based"/>
    <s v=""/>
    <s v=""/>
    <s v="Last Month Pendency"/>
    <s v="Windows User"/>
    <d v="2023-03-07T14:29:50"/>
    <x v="4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79"/>
    <s v="Cr Rev 4/10"/>
    <s v="State Vs Fazal Mola etc"/>
    <s v="Session"/>
    <x v="1"/>
    <x v="25"/>
    <d v="2023-01-23T00:00:00"/>
    <m/>
    <m/>
    <m/>
    <d v="2023-06-06T00:00:00"/>
    <s v="Disposed"/>
    <s v="Contested- Non Trial Based"/>
    <s v=""/>
    <s v=""/>
    <s v="Last Month Pendency"/>
    <s v="Windows User"/>
    <d v="2023-03-07T13:56:36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80"/>
    <s v="5/10"/>
    <s v="Shah Zanab Vs Dil Muhammad"/>
    <s v="Session"/>
    <x v="1"/>
    <x v="25"/>
    <d v="2023-02-02T00:00:00"/>
    <m/>
    <m/>
    <m/>
    <m/>
    <s v=""/>
    <s v=""/>
    <s v="Attendance"/>
    <s v=""/>
    <s v="Last Month Pendency"/>
    <s v="Windows User"/>
    <s v="23-02-2023 10:55:25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81"/>
    <s v="6/10"/>
    <s v="Aksar Khan etc Vs Rahat Ullah etc"/>
    <s v="Session"/>
    <x v="1"/>
    <x v="25"/>
    <d v="2023-02-27T00:00:00"/>
    <m/>
    <m/>
    <m/>
    <m/>
    <s v=""/>
    <s v=""/>
    <s v="Attendance"/>
    <s v=""/>
    <s v="Last Month Pendency"/>
    <s v="Windows User"/>
    <d v="2023-01-03T10:28:56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82"/>
    <s v="Cr Rev 7/10"/>
    <s v="Husain Zaman Vs Gul Zaman etc"/>
    <s v="Session"/>
    <x v="1"/>
    <x v="25"/>
    <d v="2023-03-11T00:00:00"/>
    <m/>
    <m/>
    <m/>
    <m/>
    <s v=""/>
    <s v=""/>
    <s v="Attendance"/>
    <s v=""/>
    <s v="Last Month Pendency"/>
    <s v="Windows User"/>
    <s v="31-03-2023 12:41:58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83"/>
    <s v="Cr Rev 9/10"/>
    <s v="Abdullah Vs Sher Bahadar etc"/>
    <s v="Session"/>
    <x v="1"/>
    <x v="25"/>
    <d v="2023-03-20T00:00:00"/>
    <m/>
    <m/>
    <m/>
    <m/>
    <s v=""/>
    <s v=""/>
    <s v="Attendance"/>
    <s v=""/>
    <s v="Last Month Pendency"/>
    <s v="Windows User"/>
    <d v="2023-03-04T10:28:54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84"/>
    <s v="Cr Rev 10/10"/>
    <s v="Hayat Muhammad Vs Inayat Ul Haq"/>
    <s v="Session"/>
    <x v="1"/>
    <x v="25"/>
    <d v="2023-03-22T00:00:00"/>
    <m/>
    <m/>
    <m/>
    <d v="2023-06-14T00:00:00"/>
    <s v="Disposed"/>
    <s v="Contested- Non Trial Based"/>
    <s v=""/>
    <s v=""/>
    <s v="Last Month Pendency"/>
    <s v="Windows User"/>
    <d v="2023-03-07T14:25:28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85"/>
    <s v="Cr Rev 11/10"/>
    <s v="Hayat Muhammad VS Inayat Ul Haq etc"/>
    <s v="Session"/>
    <x v="1"/>
    <x v="25"/>
    <d v="2023-03-22T00:00:00"/>
    <m/>
    <m/>
    <m/>
    <d v="2023-06-14T00:00:00"/>
    <s v="Disposed"/>
    <s v="Contested- Non Trial Based"/>
    <s v=""/>
    <s v=""/>
    <s v="Last Month Pendency"/>
    <s v="Windows User"/>
    <d v="2023-03-07T14:26:02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86"/>
    <s v="13/10"/>
    <s v="Farooq Khan etc Vs Fazal Mabood"/>
    <s v="Session"/>
    <x v="1"/>
    <x v="25"/>
    <d v="2023-04-12T00:00:00"/>
    <m/>
    <m/>
    <m/>
    <d v="2023-06-06T00:00:00"/>
    <s v="Disposed"/>
    <s v="Uncontested"/>
    <s v=""/>
    <s v=""/>
    <s v="Last Month Pendency"/>
    <s v="Windows User"/>
    <d v="2023-03-07T13:54:49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87"/>
    <s v="Cr Rev 14/10"/>
    <s v="Zubair Shah Vs Sajad Ali"/>
    <s v="Session"/>
    <x v="1"/>
    <x v="25"/>
    <d v="2023-05-18T00:00:00"/>
    <m/>
    <m/>
    <m/>
    <d v="2023-06-16T00:00:00"/>
    <s v="Disposed"/>
    <s v="Contested- Non Trial Based"/>
    <s v=""/>
    <s v=""/>
    <s v="Last Month Pendency"/>
    <s v="Windows User"/>
    <d v="2023-03-07T14:26:35"/>
    <x v="5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88"/>
    <s v="Cr Rev 15/10"/>
    <s v="Zarbaz Khan Vs Said Baaz"/>
    <s v="Session"/>
    <x v="1"/>
    <x v="25"/>
    <d v="2023-06-20T00:00:00"/>
    <m/>
    <m/>
    <m/>
    <m/>
    <s v=""/>
    <s v=""/>
    <s v="Attendance"/>
    <s v=""/>
    <s v="Fresh Month Institution"/>
    <s v="Windows User"/>
    <d v="2023-03-07T10:52:49"/>
    <x v="5"/>
    <x v="0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89"/>
    <s v="4/ii"/>
    <s v="State Vs Rafi Ullah etc"/>
    <s v="Session"/>
    <x v="1"/>
    <x v="26"/>
    <d v="2023-02-02T00:00:00"/>
    <m/>
    <m/>
    <m/>
    <m/>
    <s v=""/>
    <s v=""/>
    <s v="Attendance"/>
    <s v=""/>
    <s v="Last Month Pendency"/>
    <s v="Windows User"/>
    <s v="23-02-2023 11:03:20"/>
    <x v="5"/>
    <x v="0"/>
    <s v="PHC0290-73-1"/>
    <s v="Mr Amin Said"/>
    <s v="ADSJ-1"/>
    <s v="Lower Dir - Timergara"/>
    <d v="2023-06-01T00:00:00"/>
    <s v="Regular"/>
    <s v="Balambat"/>
    <s v="Addl: District &amp; Sessions Judge"/>
    <s v="Regular"/>
    <s v="0900"/>
    <s v="0900"/>
    <s v=""/>
    <s v=""/>
    <s v=""/>
    <s v="419/420/462 C"/>
    <s v="  "/>
    <s v="119"/>
    <d v="2022-08-31T00:00:00"/>
    <s v="Zone B"/>
    <b v="0"/>
    <m/>
    <m/>
    <m/>
    <m/>
    <m/>
    <m/>
    <m/>
    <m/>
    <m/>
    <m/>
    <s v=""/>
    <s v=""/>
    <s v="1 - Remains in this court full month"/>
    <s v="Addl: District &amp; Sessions Judge (Both Civil and Criminal Matter)"/>
  </r>
  <r>
    <n v="690"/>
    <s v="Ex No 45/10 Neem"/>
    <s v="Shafiq Ur Rehman Vs Govt etc"/>
    <s v="Session"/>
    <x v="0"/>
    <x v="3"/>
    <d v="2021-06-30T00:00:00"/>
    <m/>
    <d v="2023-06-19T00:00:00"/>
    <s v="Restored"/>
    <d v="2023-06-27T00:00:00"/>
    <s v="Disposed"/>
    <s v="Uncontested"/>
    <s v=""/>
    <s v=""/>
    <s v="Other Institution"/>
    <s v="Windows User"/>
    <d v="2023-03-07T14:59:30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91"/>
    <s v="Ex No 28/10 Neem"/>
    <s v="Haji Nawab Khan Vs Govt etc"/>
    <s v="Session"/>
    <x v="0"/>
    <x v="3"/>
    <d v="2020-12-03T00:00:00"/>
    <m/>
    <d v="2023-06-15T00:00:00"/>
    <s v="Restored"/>
    <d v="2023-06-27T00:00:00"/>
    <s v="Disposed"/>
    <s v="Uncontested"/>
    <s v=""/>
    <s v=""/>
    <s v="Other Institution"/>
    <s v="Windows User"/>
    <d v="2023-03-07T15:13:36"/>
    <x v="2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92"/>
    <s v="Ex No 2/10 Neem"/>
    <s v="Muhammad Ali Khan Vs Govt etc"/>
    <s v="Session"/>
    <x v="0"/>
    <x v="3"/>
    <d v="2021-01-12T00:00:00"/>
    <m/>
    <d v="2023-06-18T00:00:00"/>
    <s v="Restored"/>
    <d v="2023-06-27T00:00:00"/>
    <s v="Disposed"/>
    <s v="Uncontested"/>
    <s v=""/>
    <s v=""/>
    <s v="Other Institution"/>
    <s v="Windows User"/>
    <d v="2023-03-07T15:19:09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n v="693"/>
    <s v="Ex No 53/10 Neem"/>
    <s v="Nowshad etc Vs Govt etc"/>
    <s v="Session"/>
    <x v="0"/>
    <x v="3"/>
    <d v="2021-12-02T00:00:00"/>
    <m/>
    <d v="2023-06-04T00:00:00"/>
    <s v="Restored"/>
    <d v="2023-06-27T00:00:00"/>
    <s v="Disposed"/>
    <s v="Uncontested"/>
    <s v=""/>
    <s v=""/>
    <s v="Other Institution"/>
    <s v="Windows User"/>
    <d v="2023-03-07T15:21:51"/>
    <x v="3"/>
    <x v="1"/>
    <s v="PHC0290-73-1"/>
    <s v="Mr Amin Said"/>
    <s v="ADSJ-1"/>
    <s v="Lower Dir - Timergara"/>
    <d v="2023-06-01T00:00:00"/>
    <s v="Regular"/>
    <s v=""/>
    <s v="Addl: District &amp; Sessions Judge"/>
    <s v="Regular"/>
    <s v="0900"/>
    <s v="0900"/>
    <s v=""/>
    <s v=""/>
    <s v=""/>
    <s v=""/>
    <s v="  "/>
    <s v=""/>
    <s v=" "/>
    <s v="Zone B"/>
    <b v="0"/>
    <m/>
    <m/>
    <m/>
    <m/>
    <m/>
    <m/>
    <m/>
    <m/>
    <m/>
    <m/>
    <s v=""/>
    <s v=""/>
    <s v="1 - Remains in this court full month"/>
    <s v="Addl: District &amp; Sessions Judge"/>
  </r>
  <r>
    <m/>
    <m/>
    <m/>
    <m/>
    <x v="2"/>
    <x v="27"/>
    <m/>
    <m/>
    <m/>
    <m/>
    <m/>
    <m/>
    <m/>
    <m/>
    <m/>
    <m/>
    <m/>
    <m/>
    <x v="12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8:O38" firstHeaderRow="1" firstDataRow="2" firstDataCol="2" rowPageCount="1" colPageCount="1"/>
  <pivotFields count="54">
    <pivotField dataField="1"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>
      <items count="4">
        <item x="2"/>
        <item x="1"/>
        <item x="0"/>
        <item t="default"/>
      </items>
    </pivotField>
    <pivotField axis="axisRow" compact="0" outline="0" showAll="0">
      <items count="48">
        <item x="27"/>
        <item x="17"/>
        <item m="1" x="45"/>
        <item x="26"/>
        <item m="1" x="32"/>
        <item x="16"/>
        <item x="0"/>
        <item x="5"/>
        <item m="1" x="39"/>
        <item m="1" x="38"/>
        <item m="1" x="28"/>
        <item x="23"/>
        <item m="1" x="42"/>
        <item x="22"/>
        <item m="1" x="29"/>
        <item x="13"/>
        <item x="14"/>
        <item x="18"/>
        <item x="24"/>
        <item x="8"/>
        <item m="1" x="34"/>
        <item x="3"/>
        <item x="15"/>
        <item x="6"/>
        <item m="1" x="40"/>
        <item m="1" x="31"/>
        <item x="7"/>
        <item m="1" x="36"/>
        <item m="1" x="30"/>
        <item m="1" x="44"/>
        <item x="4"/>
        <item x="1"/>
        <item m="1" x="33"/>
        <item x="11"/>
        <item m="1" x="41"/>
        <item m="1" x="43"/>
        <item x="9"/>
        <item x="10"/>
        <item x="12"/>
        <item x="20"/>
        <item x="21"/>
        <item m="1" x="35"/>
        <item x="25"/>
        <item m="1" x="46"/>
        <item m="1" x="37"/>
        <item x="2"/>
        <item x="19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multipleItemSelectionAllowed="1" showAll="0"/>
    <pivotField compact="0" outline="0" multipleItemSelectionAllowed="1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axis="axisCol" compact="0" outline="0" showAll="0" sortType="descending" defaultSubtotal="0">
      <items count="18">
        <item x="12"/>
        <item m="1" x="15"/>
        <item x="5"/>
        <item x="4"/>
        <item x="3"/>
        <item x="2"/>
        <item x="1"/>
        <item x="0"/>
        <item x="6"/>
        <item x="11"/>
        <item x="10"/>
        <item m="1" x="16"/>
        <item x="9"/>
        <item m="1" x="17"/>
        <item x="8"/>
        <item x="7"/>
        <item m="1" x="14"/>
        <item m="1" x="13"/>
      </items>
    </pivotField>
    <pivotField axis="axisPage" compact="0" outline="0" showAll="0" defaultSubtotal="0">
      <items count="3">
        <item x="2"/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4"/>
    <field x="5"/>
  </rowFields>
  <rowItems count="29">
    <i>
      <x v="1"/>
      <x v="1"/>
    </i>
    <i r="1">
      <x v="3"/>
    </i>
    <i r="1">
      <x v="5"/>
    </i>
    <i r="1">
      <x v="11"/>
    </i>
    <i r="1">
      <x v="13"/>
    </i>
    <i r="1">
      <x v="15"/>
    </i>
    <i r="1">
      <x v="16"/>
    </i>
    <i r="1">
      <x v="17"/>
    </i>
    <i r="1">
      <x v="18"/>
    </i>
    <i r="1">
      <x v="22"/>
    </i>
    <i r="1">
      <x v="39"/>
    </i>
    <i r="1">
      <x v="40"/>
    </i>
    <i r="1">
      <x v="42"/>
    </i>
    <i r="1">
      <x v="46"/>
    </i>
    <i t="default">
      <x v="1"/>
    </i>
    <i>
      <x v="2"/>
      <x v="6"/>
    </i>
    <i r="1">
      <x v="7"/>
    </i>
    <i r="1">
      <x v="19"/>
    </i>
    <i r="1">
      <x v="21"/>
    </i>
    <i r="1">
      <x v="23"/>
    </i>
    <i r="1">
      <x v="26"/>
    </i>
    <i r="1">
      <x v="30"/>
    </i>
    <i r="1">
      <x v="31"/>
    </i>
    <i r="1">
      <x v="36"/>
    </i>
    <i r="1">
      <x v="37"/>
    </i>
    <i r="1">
      <x v="38"/>
    </i>
    <i r="1">
      <x v="45"/>
    </i>
    <i t="default">
      <x v="2"/>
    </i>
    <i t="grand">
      <x/>
    </i>
  </rowItems>
  <colFields count="1">
    <field x="18"/>
  </colFields>
  <colItems count="13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 t="grand">
      <x/>
    </i>
  </colItems>
  <pageFields count="1">
    <pageField fld="19" item="1" hier="-1"/>
  </pageFields>
  <dataFields count="1">
    <dataField name="Count of SNo" fld="0" subtotal="count" baseField="0" baseItem="0"/>
  </dataFields>
  <formats count="25">
    <format dxfId="84">
      <pivotArea outline="0" collapsedLevelsAreSubtotals="1" fieldPosition="0"/>
    </format>
    <format dxfId="83">
      <pivotArea type="topRight" dataOnly="0" labelOnly="1" outline="0" fieldPosition="0"/>
    </format>
    <format dxfId="82">
      <pivotArea dataOnly="0" labelOnly="1" grandCol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type="origin" dataOnly="0" labelOnly="1" outline="0" fieldPosition="0"/>
    </format>
    <format dxfId="78">
      <pivotArea type="topRight" dataOnly="0" labelOnly="1" outline="0" fieldPosition="0"/>
    </format>
    <format dxfId="77">
      <pivotArea field="4" type="button" dataOnly="0" labelOnly="1" outline="0" axis="axisRow" fieldPosition="0"/>
    </format>
    <format dxfId="76">
      <pivotArea field="5" type="button" dataOnly="0" labelOnly="1" outline="0" axis="axisRow" fieldPosition="1"/>
    </format>
    <format dxfId="75">
      <pivotArea dataOnly="0" labelOnly="1" grandRow="1" outline="0" fieldPosition="0"/>
    </format>
    <format dxfId="74">
      <pivotArea type="topRight" dataOnly="0" labelOnly="1" outline="0" fieldPosition="0"/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type="topRight" dataOnly="0" labelOnly="1" outline="0" fieldPosition="0"/>
    </format>
    <format dxfId="69">
      <pivotArea field="4" type="button" dataOnly="0" labelOnly="1" outline="0" axis="axisRow" fieldPosition="0"/>
    </format>
    <format dxfId="68">
      <pivotArea field="5" type="button" dataOnly="0" labelOnly="1" outline="0" axis="axisRow" fieldPosition="1"/>
    </format>
    <format dxfId="67">
      <pivotArea dataOnly="0" labelOnly="1" grandRow="1" outline="0" fieldPosition="0"/>
    </format>
    <format dxfId="66">
      <pivotArea type="topRight" dataOnly="0" labelOnly="1" outline="0" fieldPosition="0"/>
    </format>
    <format dxfId="65">
      <pivotArea field="4" type="button" dataOnly="0" labelOnly="1" outline="0" axis="axisRow" fieldPosition="0"/>
    </format>
    <format dxfId="64">
      <pivotArea field="5" type="button" dataOnly="0" labelOnly="1" outline="0" axis="axisRow" fieldPosition="1"/>
    </format>
    <format dxfId="63">
      <pivotArea dataOnly="0" labelOnly="1" grandCol="1" outline="0" fieldPosition="0"/>
    </format>
    <format dxfId="62">
      <pivotArea field="4" type="button" dataOnly="0" labelOnly="1" outline="0" axis="axisRow" fieldPosition="0"/>
    </format>
    <format dxfId="61">
      <pivotArea field="5" type="button" dataOnly="0" labelOnly="1" outline="0" axis="axisRow" fieldPosition="1"/>
    </format>
    <format dxfId="6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70C0"/>
  </sheetPr>
  <dimension ref="I4:I8"/>
  <sheetViews>
    <sheetView showGridLines="0" tabSelected="1" workbookViewId="0">
      <selection activeCell="F20" sqref="F20"/>
    </sheetView>
  </sheetViews>
  <sheetFormatPr defaultColWidth="8.85546875" defaultRowHeight="15"/>
  <cols>
    <col min="1" max="8" width="8.85546875" style="103"/>
    <col min="9" max="9" width="8.85546875" style="251"/>
    <col min="10" max="16384" width="8.85546875" style="103"/>
  </cols>
  <sheetData>
    <row r="4" spans="9:9">
      <c r="I4" s="252"/>
    </row>
    <row r="5" spans="9:9" hidden="1"/>
    <row r="6" spans="9:9" hidden="1"/>
    <row r="8" spans="9:9" hidden="1"/>
  </sheetData>
  <sheetProtection password="EE38" sheet="1" objects="1" scenarios="1"/>
  <customSheetViews>
    <customSheetView guid="{77330FEB-8B75-43E5-931E-B4C5A6173E6D}" showGridLines="0">
      <selection activeCell="B2" sqref="B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9"/>
  <sheetViews>
    <sheetView zoomScale="46" zoomScaleNormal="46" workbookViewId="0">
      <pane xSplit="2" ySplit="9" topLeftCell="L10" activePane="bottomRight" state="frozen"/>
      <selection pane="topRight" activeCell="C1" sqref="C1"/>
      <selection pane="bottomLeft" activeCell="A10" sqref="A10"/>
      <selection pane="bottomRight" activeCell="N38" sqref="N38"/>
    </sheetView>
  </sheetViews>
  <sheetFormatPr defaultRowHeight="15"/>
  <cols>
    <col min="1" max="1" width="19.5703125" customWidth="1"/>
    <col min="2" max="2" width="79.7109375" customWidth="1"/>
    <col min="3" max="14" width="28.42578125" style="38" customWidth="1"/>
    <col min="15" max="15" width="18.85546875" style="38" customWidth="1"/>
    <col min="16" max="16" width="19.7109375" style="38" bestFit="1" customWidth="1"/>
    <col min="17" max="17" width="13.42578125" style="38" bestFit="1" customWidth="1"/>
  </cols>
  <sheetData>
    <row r="1" spans="1:17" s="16" customFormat="1" ht="18.75">
      <c r="A1" s="372" t="s">
        <v>1646</v>
      </c>
      <c r="B1" s="373"/>
      <c r="C1" s="373"/>
      <c r="D1" s="373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</row>
    <row r="2" spans="1:17" s="16" customFormat="1">
      <c r="A2" s="130" t="s">
        <v>1649</v>
      </c>
      <c r="B2" s="131" t="str">
        <f>JudgeProfile!B2&amp;"   "&amp;JudgeProfile!C2</f>
        <v>PHC0290-73-1   Mr Amin Said</v>
      </c>
      <c r="C2" s="121" t="str">
        <f>JudgeProfile!U2</f>
        <v>Addl: District &amp; Sessions Judge (Both Civil and Criminal Matter)</v>
      </c>
      <c r="D2" s="132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</row>
    <row r="3" spans="1:17" s="16" customFormat="1">
      <c r="A3" s="127" t="s">
        <v>1650</v>
      </c>
      <c r="B3" s="128" t="str">
        <f>JudgeProfile!G2</f>
        <v>Regular</v>
      </c>
      <c r="C3" s="121" t="str">
        <f>CONCATENATE(" For the Month= ",'Summary Sheet'!Q1,"-",'Summary Sheet'!S1)</f>
        <v xml:space="preserve"> For the Month= June-2023</v>
      </c>
      <c r="D3" s="132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</row>
    <row r="4" spans="1:17" s="16" customFormat="1" ht="15.6" customHeight="1">
      <c r="A4" s="372"/>
      <c r="B4" s="373"/>
      <c r="C4" s="373"/>
      <c r="D4" s="373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</row>
    <row r="5" spans="1:17" ht="18.75" hidden="1">
      <c r="A5" s="129" t="s">
        <v>1647</v>
      </c>
      <c r="B5" s="129" t="s">
        <v>14</v>
      </c>
      <c r="C5" s="129" t="s">
        <v>1491</v>
      </c>
      <c r="D5" s="129" t="s">
        <v>1648</v>
      </c>
    </row>
    <row r="6" spans="1:17" ht="18.75" hidden="1">
      <c r="A6" s="355" t="s">
        <v>1643</v>
      </c>
      <c r="B6" s="356" t="s">
        <v>2001</v>
      </c>
      <c r="C6" s="118"/>
    </row>
    <row r="7" spans="1:17" ht="10.9" hidden="1" customHeight="1">
      <c r="A7" s="117"/>
      <c r="B7" s="119"/>
      <c r="C7" s="117"/>
      <c r="D7"/>
      <c r="E7"/>
      <c r="F7"/>
      <c r="G7"/>
    </row>
    <row r="8" spans="1:17" ht="18.75" hidden="1">
      <c r="A8" s="355" t="s">
        <v>2019</v>
      </c>
      <c r="B8" s="356"/>
      <c r="C8" s="355" t="s">
        <v>1642</v>
      </c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7"/>
      <c r="P8"/>
      <c r="Q8"/>
    </row>
    <row r="9" spans="1:17" ht="18.75">
      <c r="A9" s="360" t="s">
        <v>7</v>
      </c>
      <c r="B9" s="360" t="s">
        <v>14</v>
      </c>
      <c r="C9" s="356">
        <v>2023</v>
      </c>
      <c r="D9" s="356">
        <v>2022</v>
      </c>
      <c r="E9" s="356">
        <v>2021</v>
      </c>
      <c r="F9" s="356">
        <v>2020</v>
      </c>
      <c r="G9" s="356">
        <v>2019</v>
      </c>
      <c r="H9" s="356">
        <v>2018</v>
      </c>
      <c r="I9" s="356">
        <v>2017</v>
      </c>
      <c r="J9" s="356">
        <v>2016</v>
      </c>
      <c r="K9" s="356">
        <v>2015</v>
      </c>
      <c r="L9" s="356">
        <v>2013</v>
      </c>
      <c r="M9" s="356">
        <v>2011</v>
      </c>
      <c r="N9" s="356">
        <v>2004</v>
      </c>
      <c r="O9" s="359" t="s">
        <v>1641</v>
      </c>
      <c r="P9"/>
      <c r="Q9"/>
    </row>
    <row r="10" spans="1:17" ht="18.75">
      <c r="A10" s="356" t="s">
        <v>13</v>
      </c>
      <c r="B10" s="356" t="s">
        <v>1566</v>
      </c>
      <c r="C10" s="358">
        <v>2</v>
      </c>
      <c r="D10" s="358">
        <v>2</v>
      </c>
      <c r="E10" s="358"/>
      <c r="F10" s="358">
        <v>1</v>
      </c>
      <c r="G10" s="358">
        <v>2</v>
      </c>
      <c r="H10" s="358"/>
      <c r="I10" s="358"/>
      <c r="J10" s="358"/>
      <c r="K10" s="358"/>
      <c r="L10" s="358"/>
      <c r="M10" s="358"/>
      <c r="N10" s="358"/>
      <c r="O10" s="358">
        <v>7</v>
      </c>
      <c r="P10"/>
      <c r="Q10"/>
    </row>
    <row r="11" spans="1:17" ht="18.75">
      <c r="A11" s="356"/>
      <c r="B11" s="356" t="s">
        <v>1868</v>
      </c>
      <c r="C11" s="358">
        <v>1</v>
      </c>
      <c r="D11" s="358"/>
      <c r="E11" s="358"/>
      <c r="F11" s="358"/>
      <c r="G11" s="358"/>
      <c r="H11" s="358"/>
      <c r="I11" s="358"/>
      <c r="J11" s="358"/>
      <c r="K11" s="358"/>
      <c r="L11" s="358"/>
      <c r="M11" s="358"/>
      <c r="N11" s="358"/>
      <c r="O11" s="358">
        <v>1</v>
      </c>
      <c r="P11"/>
      <c r="Q11"/>
    </row>
    <row r="12" spans="1:17" ht="18.75">
      <c r="A12" s="356"/>
      <c r="B12" s="356" t="s">
        <v>1563</v>
      </c>
      <c r="C12" s="358">
        <v>5</v>
      </c>
      <c r="D12" s="358">
        <v>4</v>
      </c>
      <c r="E12" s="358">
        <v>7</v>
      </c>
      <c r="F12" s="358"/>
      <c r="G12" s="358"/>
      <c r="H12" s="358"/>
      <c r="I12" s="358"/>
      <c r="J12" s="358"/>
      <c r="K12" s="358"/>
      <c r="L12" s="358"/>
      <c r="M12" s="358"/>
      <c r="N12" s="358"/>
      <c r="O12" s="358">
        <v>16</v>
      </c>
      <c r="P12"/>
      <c r="Q12"/>
    </row>
    <row r="13" spans="1:17" ht="18.75">
      <c r="A13" s="356"/>
      <c r="B13" s="356" t="s">
        <v>1576</v>
      </c>
      <c r="C13" s="358">
        <v>1</v>
      </c>
      <c r="D13" s="358"/>
      <c r="E13" s="358"/>
      <c r="F13" s="358"/>
      <c r="G13" s="358"/>
      <c r="H13" s="358"/>
      <c r="I13" s="358"/>
      <c r="J13" s="358"/>
      <c r="K13" s="358"/>
      <c r="L13" s="358"/>
      <c r="M13" s="358"/>
      <c r="N13" s="358"/>
      <c r="O13" s="358">
        <v>1</v>
      </c>
      <c r="P13"/>
      <c r="Q13"/>
    </row>
    <row r="14" spans="1:17" ht="18.75">
      <c r="A14" s="356"/>
      <c r="B14" s="356" t="s">
        <v>1575</v>
      </c>
      <c r="C14" s="358">
        <v>17</v>
      </c>
      <c r="D14" s="358"/>
      <c r="E14" s="358"/>
      <c r="F14" s="358"/>
      <c r="G14" s="358"/>
      <c r="H14" s="358"/>
      <c r="I14" s="358"/>
      <c r="J14" s="358"/>
      <c r="K14" s="358"/>
      <c r="L14" s="358"/>
      <c r="M14" s="358"/>
      <c r="N14" s="358"/>
      <c r="O14" s="358">
        <v>17</v>
      </c>
      <c r="P14"/>
      <c r="Q14"/>
    </row>
    <row r="15" spans="1:17" ht="18.75">
      <c r="A15" s="356"/>
      <c r="B15" s="356" t="s">
        <v>1560</v>
      </c>
      <c r="C15" s="358">
        <v>7</v>
      </c>
      <c r="D15" s="358">
        <v>9</v>
      </c>
      <c r="E15" s="358">
        <v>11</v>
      </c>
      <c r="F15" s="358"/>
      <c r="G15" s="358"/>
      <c r="H15" s="358"/>
      <c r="I15" s="358"/>
      <c r="J15" s="358"/>
      <c r="K15" s="358"/>
      <c r="L15" s="358"/>
      <c r="M15" s="358"/>
      <c r="N15" s="358"/>
      <c r="O15" s="358">
        <v>27</v>
      </c>
      <c r="P15"/>
      <c r="Q15"/>
    </row>
    <row r="16" spans="1:17" ht="18.75">
      <c r="A16" s="356"/>
      <c r="B16" s="356" t="s">
        <v>1561</v>
      </c>
      <c r="C16" s="358">
        <v>9</v>
      </c>
      <c r="D16" s="358">
        <v>3</v>
      </c>
      <c r="E16" s="358">
        <v>2</v>
      </c>
      <c r="F16" s="358"/>
      <c r="G16" s="358"/>
      <c r="H16" s="358"/>
      <c r="I16" s="358"/>
      <c r="J16" s="358"/>
      <c r="K16" s="358"/>
      <c r="L16" s="358"/>
      <c r="M16" s="358"/>
      <c r="N16" s="358"/>
      <c r="O16" s="358">
        <v>14</v>
      </c>
      <c r="P16"/>
      <c r="Q16"/>
    </row>
    <row r="17" spans="1:17" ht="18.75">
      <c r="A17" s="356"/>
      <c r="B17" s="356" t="s">
        <v>1567</v>
      </c>
      <c r="C17" s="358">
        <v>32</v>
      </c>
      <c r="D17" s="358">
        <v>41</v>
      </c>
      <c r="E17" s="358">
        <v>21</v>
      </c>
      <c r="F17" s="358"/>
      <c r="G17" s="358"/>
      <c r="H17" s="358"/>
      <c r="I17" s="358"/>
      <c r="J17" s="358"/>
      <c r="K17" s="358"/>
      <c r="L17" s="358"/>
      <c r="M17" s="358"/>
      <c r="N17" s="358"/>
      <c r="O17" s="358">
        <v>94</v>
      </c>
      <c r="P17"/>
      <c r="Q17"/>
    </row>
    <row r="18" spans="1:17" ht="18.75">
      <c r="A18" s="356"/>
      <c r="B18" s="356" t="s">
        <v>1578</v>
      </c>
      <c r="C18" s="358"/>
      <c r="D18" s="358">
        <v>1</v>
      </c>
      <c r="E18" s="358"/>
      <c r="F18" s="358">
        <v>1</v>
      </c>
      <c r="G18" s="358"/>
      <c r="H18" s="358"/>
      <c r="I18" s="358"/>
      <c r="J18" s="358"/>
      <c r="K18" s="358"/>
      <c r="L18" s="358"/>
      <c r="M18" s="358"/>
      <c r="N18" s="358"/>
      <c r="O18" s="358">
        <v>2</v>
      </c>
      <c r="P18"/>
      <c r="Q18"/>
    </row>
    <row r="19" spans="1:17" ht="18.75">
      <c r="A19" s="356"/>
      <c r="B19" s="356" t="s">
        <v>1558</v>
      </c>
      <c r="C19" s="358">
        <v>5</v>
      </c>
      <c r="D19" s="358">
        <v>2</v>
      </c>
      <c r="E19" s="358"/>
      <c r="F19" s="358"/>
      <c r="G19" s="358"/>
      <c r="H19" s="358"/>
      <c r="I19" s="358"/>
      <c r="J19" s="358"/>
      <c r="K19" s="358"/>
      <c r="L19" s="358"/>
      <c r="M19" s="358"/>
      <c r="N19" s="358"/>
      <c r="O19" s="358">
        <v>7</v>
      </c>
      <c r="P19"/>
      <c r="Q19"/>
    </row>
    <row r="20" spans="1:17" ht="18.75">
      <c r="A20" s="356"/>
      <c r="B20" s="356" t="s">
        <v>1570</v>
      </c>
      <c r="C20" s="358"/>
      <c r="D20" s="358">
        <v>1</v>
      </c>
      <c r="E20" s="358"/>
      <c r="F20" s="358"/>
      <c r="G20" s="358"/>
      <c r="H20" s="358"/>
      <c r="I20" s="358"/>
      <c r="J20" s="358"/>
      <c r="K20" s="358"/>
      <c r="L20" s="358"/>
      <c r="M20" s="358"/>
      <c r="N20" s="358"/>
      <c r="O20" s="358">
        <v>1</v>
      </c>
      <c r="P20"/>
      <c r="Q20"/>
    </row>
    <row r="21" spans="1:17" ht="18.75">
      <c r="A21" s="356"/>
      <c r="B21" s="356" t="s">
        <v>1571</v>
      </c>
      <c r="C21" s="358">
        <v>1</v>
      </c>
      <c r="D21" s="358"/>
      <c r="E21" s="358"/>
      <c r="F21" s="358"/>
      <c r="G21" s="358"/>
      <c r="H21" s="358"/>
      <c r="I21" s="358"/>
      <c r="J21" s="358"/>
      <c r="K21" s="358"/>
      <c r="L21" s="358"/>
      <c r="M21" s="358"/>
      <c r="N21" s="358"/>
      <c r="O21" s="358">
        <v>1</v>
      </c>
      <c r="P21"/>
      <c r="Q21"/>
    </row>
    <row r="22" spans="1:17" ht="18.75">
      <c r="A22" s="356"/>
      <c r="B22" s="356" t="s">
        <v>1580</v>
      </c>
      <c r="C22" s="358">
        <v>5</v>
      </c>
      <c r="D22" s="358">
        <v>2</v>
      </c>
      <c r="E22" s="358"/>
      <c r="F22" s="358"/>
      <c r="G22" s="358"/>
      <c r="H22" s="358"/>
      <c r="I22" s="358"/>
      <c r="J22" s="358"/>
      <c r="K22" s="358"/>
      <c r="L22" s="358"/>
      <c r="M22" s="358"/>
      <c r="N22" s="358"/>
      <c r="O22" s="358">
        <v>7</v>
      </c>
      <c r="P22"/>
      <c r="Q22"/>
    </row>
    <row r="23" spans="1:17" ht="18.75">
      <c r="A23" s="356"/>
      <c r="B23" s="356" t="s">
        <v>1569</v>
      </c>
      <c r="C23" s="358">
        <v>3</v>
      </c>
      <c r="D23" s="358"/>
      <c r="E23" s="358"/>
      <c r="F23" s="358"/>
      <c r="G23" s="358"/>
      <c r="H23" s="358"/>
      <c r="I23" s="358"/>
      <c r="J23" s="358"/>
      <c r="K23" s="358"/>
      <c r="L23" s="358"/>
      <c r="M23" s="358"/>
      <c r="N23" s="358"/>
      <c r="O23" s="358">
        <v>3</v>
      </c>
      <c r="P23"/>
      <c r="Q23"/>
    </row>
    <row r="24" spans="1:17" ht="18.75">
      <c r="A24" s="356" t="s">
        <v>3083</v>
      </c>
      <c r="B24" s="356"/>
      <c r="C24" s="358">
        <v>88</v>
      </c>
      <c r="D24" s="358">
        <v>65</v>
      </c>
      <c r="E24" s="358">
        <v>41</v>
      </c>
      <c r="F24" s="358">
        <v>2</v>
      </c>
      <c r="G24" s="358">
        <v>2</v>
      </c>
      <c r="H24" s="358"/>
      <c r="I24" s="358"/>
      <c r="J24" s="358"/>
      <c r="K24" s="358"/>
      <c r="L24" s="358"/>
      <c r="M24" s="358"/>
      <c r="N24" s="358"/>
      <c r="O24" s="358">
        <v>198</v>
      </c>
      <c r="P24"/>
      <c r="Q24"/>
    </row>
    <row r="25" spans="1:17" ht="18.75">
      <c r="A25" s="356" t="s">
        <v>9</v>
      </c>
      <c r="B25" s="356" t="s">
        <v>1753</v>
      </c>
      <c r="C25" s="358">
        <v>12</v>
      </c>
      <c r="D25" s="358">
        <v>27</v>
      </c>
      <c r="E25" s="358">
        <v>9</v>
      </c>
      <c r="F25" s="358">
        <v>3</v>
      </c>
      <c r="G25" s="358">
        <v>1</v>
      </c>
      <c r="H25" s="358">
        <v>4</v>
      </c>
      <c r="I25" s="358"/>
      <c r="J25" s="358"/>
      <c r="K25" s="358"/>
      <c r="L25" s="358"/>
      <c r="M25" s="358"/>
      <c r="N25" s="358"/>
      <c r="O25" s="358">
        <v>56</v>
      </c>
      <c r="P25"/>
      <c r="Q25"/>
    </row>
    <row r="26" spans="1:17" ht="18.75">
      <c r="A26" s="356"/>
      <c r="B26" s="356" t="s">
        <v>1745</v>
      </c>
      <c r="C26" s="358">
        <v>13</v>
      </c>
      <c r="D26" s="358">
        <v>8</v>
      </c>
      <c r="E26" s="358">
        <v>3</v>
      </c>
      <c r="F26" s="358"/>
      <c r="G26" s="358"/>
      <c r="H26" s="358"/>
      <c r="I26" s="358"/>
      <c r="J26" s="358"/>
      <c r="K26" s="358"/>
      <c r="L26" s="358"/>
      <c r="M26" s="358"/>
      <c r="N26" s="358"/>
      <c r="O26" s="358">
        <v>24</v>
      </c>
      <c r="P26"/>
      <c r="Q26"/>
    </row>
    <row r="27" spans="1:17" ht="18.75">
      <c r="A27" s="356"/>
      <c r="B27" s="356" t="s">
        <v>1771</v>
      </c>
      <c r="C27" s="358">
        <v>58</v>
      </c>
      <c r="D27" s="358">
        <v>43</v>
      </c>
      <c r="E27" s="358">
        <v>15</v>
      </c>
      <c r="F27" s="358">
        <v>6</v>
      </c>
      <c r="G27" s="358"/>
      <c r="H27" s="358"/>
      <c r="I27" s="358"/>
      <c r="J27" s="358"/>
      <c r="K27" s="358"/>
      <c r="L27" s="358"/>
      <c r="M27" s="358"/>
      <c r="N27" s="358"/>
      <c r="O27" s="358">
        <v>122</v>
      </c>
      <c r="P27"/>
      <c r="Q27"/>
    </row>
    <row r="28" spans="1:17" ht="18.75">
      <c r="A28" s="356"/>
      <c r="B28" s="356" t="s">
        <v>1765</v>
      </c>
      <c r="C28" s="358">
        <v>31</v>
      </c>
      <c r="D28" s="358">
        <v>10</v>
      </c>
      <c r="E28" s="358">
        <v>6</v>
      </c>
      <c r="F28" s="358">
        <v>4</v>
      </c>
      <c r="G28" s="358"/>
      <c r="H28" s="358"/>
      <c r="I28" s="358"/>
      <c r="J28" s="358">
        <v>1</v>
      </c>
      <c r="K28" s="358">
        <v>1</v>
      </c>
      <c r="L28" s="358">
        <v>1</v>
      </c>
      <c r="M28" s="358">
        <v>1</v>
      </c>
      <c r="N28" s="358">
        <v>1</v>
      </c>
      <c r="O28" s="358">
        <v>56</v>
      </c>
      <c r="P28"/>
      <c r="Q28"/>
    </row>
    <row r="29" spans="1:17" ht="18.75">
      <c r="A29" s="356"/>
      <c r="B29" s="356" t="s">
        <v>1768</v>
      </c>
      <c r="C29" s="358">
        <v>1</v>
      </c>
      <c r="D29" s="358"/>
      <c r="E29" s="358">
        <v>1</v>
      </c>
      <c r="F29" s="358"/>
      <c r="G29" s="358"/>
      <c r="H29" s="358"/>
      <c r="I29" s="358"/>
      <c r="J29" s="358"/>
      <c r="K29" s="358"/>
      <c r="L29" s="358"/>
      <c r="M29" s="358"/>
      <c r="N29" s="358"/>
      <c r="O29" s="358">
        <v>2</v>
      </c>
      <c r="P29"/>
      <c r="Q29"/>
    </row>
    <row r="30" spans="1:17" ht="18.75">
      <c r="A30" s="356"/>
      <c r="B30" s="356" t="s">
        <v>1770</v>
      </c>
      <c r="C30" s="358">
        <v>1</v>
      </c>
      <c r="D30" s="358"/>
      <c r="E30" s="358"/>
      <c r="F30" s="358"/>
      <c r="G30" s="358"/>
      <c r="H30" s="358"/>
      <c r="I30" s="358"/>
      <c r="J30" s="358"/>
      <c r="K30" s="358"/>
      <c r="L30" s="358"/>
      <c r="M30" s="358"/>
      <c r="N30" s="358"/>
      <c r="O30" s="358">
        <v>1</v>
      </c>
    </row>
    <row r="31" spans="1:17" ht="18.75">
      <c r="A31" s="356"/>
      <c r="B31" s="356" t="s">
        <v>1767</v>
      </c>
      <c r="C31" s="358">
        <v>9</v>
      </c>
      <c r="D31" s="358"/>
      <c r="E31" s="358"/>
      <c r="F31" s="358"/>
      <c r="G31" s="358"/>
      <c r="H31" s="358"/>
      <c r="I31" s="358"/>
      <c r="J31" s="358"/>
      <c r="K31" s="358"/>
      <c r="L31" s="358"/>
      <c r="M31" s="358"/>
      <c r="N31" s="358"/>
      <c r="O31" s="358">
        <v>9</v>
      </c>
    </row>
    <row r="32" spans="1:17" ht="18.75">
      <c r="A32" s="356"/>
      <c r="B32" s="356" t="s">
        <v>1754</v>
      </c>
      <c r="C32" s="358">
        <v>3</v>
      </c>
      <c r="D32" s="358"/>
      <c r="E32" s="358"/>
      <c r="F32" s="358"/>
      <c r="G32" s="358"/>
      <c r="H32" s="358"/>
      <c r="I32" s="358"/>
      <c r="J32" s="358"/>
      <c r="K32" s="358"/>
      <c r="L32" s="358"/>
      <c r="M32" s="358"/>
      <c r="N32" s="358"/>
      <c r="O32" s="358">
        <v>3</v>
      </c>
    </row>
    <row r="33" spans="1:15" ht="18.75">
      <c r="A33" s="356"/>
      <c r="B33" s="356" t="s">
        <v>1773</v>
      </c>
      <c r="C33" s="358">
        <v>18</v>
      </c>
      <c r="D33" s="358">
        <v>8</v>
      </c>
      <c r="E33" s="358">
        <v>3</v>
      </c>
      <c r="F33" s="358"/>
      <c r="G33" s="358"/>
      <c r="H33" s="358"/>
      <c r="I33" s="358"/>
      <c r="J33" s="358"/>
      <c r="K33" s="358"/>
      <c r="L33" s="358"/>
      <c r="M33" s="358"/>
      <c r="N33" s="358"/>
      <c r="O33" s="358">
        <v>29</v>
      </c>
    </row>
    <row r="34" spans="1:15" ht="18.75">
      <c r="A34" s="356"/>
      <c r="B34" s="356" t="s">
        <v>1775</v>
      </c>
      <c r="C34" s="358">
        <v>20</v>
      </c>
      <c r="D34" s="358">
        <v>12</v>
      </c>
      <c r="E34" s="358"/>
      <c r="F34" s="358"/>
      <c r="G34" s="358"/>
      <c r="H34" s="358"/>
      <c r="I34" s="358"/>
      <c r="J34" s="358"/>
      <c r="K34" s="358"/>
      <c r="L34" s="358"/>
      <c r="M34" s="358"/>
      <c r="N34" s="358"/>
      <c r="O34" s="358">
        <v>32</v>
      </c>
    </row>
    <row r="35" spans="1:15" ht="18.75">
      <c r="A35" s="356"/>
      <c r="B35" s="356" t="s">
        <v>1871</v>
      </c>
      <c r="C35" s="358"/>
      <c r="D35" s="358">
        <v>4</v>
      </c>
      <c r="E35" s="358">
        <v>2</v>
      </c>
      <c r="F35" s="358"/>
      <c r="G35" s="358"/>
      <c r="H35" s="358"/>
      <c r="I35" s="358"/>
      <c r="J35" s="358"/>
      <c r="K35" s="358"/>
      <c r="L35" s="358"/>
      <c r="M35" s="358"/>
      <c r="N35" s="358"/>
      <c r="O35" s="358">
        <v>6</v>
      </c>
    </row>
    <row r="36" spans="1:15" ht="18.75">
      <c r="A36" s="356"/>
      <c r="B36" s="356" t="s">
        <v>1759</v>
      </c>
      <c r="C36" s="358">
        <v>3</v>
      </c>
      <c r="D36" s="358">
        <v>2</v>
      </c>
      <c r="E36" s="358">
        <v>8</v>
      </c>
      <c r="F36" s="358">
        <v>44</v>
      </c>
      <c r="G36" s="358"/>
      <c r="H36" s="358">
        <v>2</v>
      </c>
      <c r="I36" s="358">
        <v>1</v>
      </c>
      <c r="J36" s="358"/>
      <c r="K36" s="358"/>
      <c r="L36" s="358"/>
      <c r="M36" s="358"/>
      <c r="N36" s="358"/>
      <c r="O36" s="358">
        <v>60</v>
      </c>
    </row>
    <row r="37" spans="1:15" ht="18.75">
      <c r="A37" s="356" t="s">
        <v>2018</v>
      </c>
      <c r="B37" s="356"/>
      <c r="C37" s="358">
        <v>169</v>
      </c>
      <c r="D37" s="358">
        <v>114</v>
      </c>
      <c r="E37" s="358">
        <v>47</v>
      </c>
      <c r="F37" s="358">
        <v>57</v>
      </c>
      <c r="G37" s="358">
        <v>1</v>
      </c>
      <c r="H37" s="358">
        <v>6</v>
      </c>
      <c r="I37" s="358">
        <v>1</v>
      </c>
      <c r="J37" s="358">
        <v>1</v>
      </c>
      <c r="K37" s="358">
        <v>1</v>
      </c>
      <c r="L37" s="358">
        <v>1</v>
      </c>
      <c r="M37" s="358">
        <v>1</v>
      </c>
      <c r="N37" s="358">
        <v>1</v>
      </c>
      <c r="O37" s="358">
        <v>400</v>
      </c>
    </row>
    <row r="38" spans="1:15" ht="18.75">
      <c r="A38" s="356" t="s">
        <v>1641</v>
      </c>
      <c r="B38" s="356"/>
      <c r="C38" s="358">
        <v>257</v>
      </c>
      <c r="D38" s="358">
        <v>179</v>
      </c>
      <c r="E38" s="358">
        <v>88</v>
      </c>
      <c r="F38" s="358">
        <v>59</v>
      </c>
      <c r="G38" s="358">
        <v>3</v>
      </c>
      <c r="H38" s="358">
        <v>6</v>
      </c>
      <c r="I38" s="358">
        <v>1</v>
      </c>
      <c r="J38" s="358">
        <v>1</v>
      </c>
      <c r="K38" s="358">
        <v>1</v>
      </c>
      <c r="L38" s="358">
        <v>1</v>
      </c>
      <c r="M38" s="358">
        <v>1</v>
      </c>
      <c r="N38" s="358">
        <v>1</v>
      </c>
      <c r="O38" s="358">
        <v>598</v>
      </c>
    </row>
    <row r="39" spans="1:15">
      <c r="C39"/>
      <c r="D39"/>
      <c r="E39"/>
      <c r="F39"/>
      <c r="G39"/>
      <c r="H39"/>
      <c r="I39"/>
      <c r="J39"/>
      <c r="K39"/>
      <c r="L39"/>
      <c r="M39"/>
      <c r="N39"/>
    </row>
  </sheetData>
  <sheetProtection algorithmName="SHA-512" hashValue="zTgz87EhSl5bFY/sC0ayJA/GFFvSThQcPck1cOtM6J2H230lNOcE/E5ngztD3XjyTjMPtASXoOawuT0Nc3aunA==" saltValue="59LQdv0EXtTrrpnLVbLz5g==" spinCount="100000" sheet="1" objects="1" scenarios="1"/>
  <mergeCells count="2">
    <mergeCell ref="A4:D4"/>
    <mergeCell ref="A1:D1"/>
  </mergeCell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59999389629810485"/>
  </sheetPr>
  <dimension ref="A1:BG694"/>
  <sheetViews>
    <sheetView showGridLines="0" view="pageBreakPreview" topLeftCell="A522" zoomScale="80" zoomScaleNormal="115" workbookViewId="0">
      <selection activeCell="A2" sqref="A2:A584"/>
    </sheetView>
  </sheetViews>
  <sheetFormatPr defaultColWidth="8.85546875" defaultRowHeight="45" customHeight="1"/>
  <cols>
    <col min="1" max="1" width="10.7109375" style="269" bestFit="1" customWidth="1"/>
    <col min="2" max="2" width="6.140625" style="270" customWidth="1"/>
    <col min="3" max="3" width="18" style="270" customWidth="1"/>
    <col min="4" max="4" width="13.28515625" style="270" customWidth="1"/>
    <col min="5" max="5" width="10.42578125" style="270" bestFit="1" customWidth="1"/>
    <col min="6" max="6" width="54.85546875" style="270" customWidth="1"/>
    <col min="7" max="7" width="41.7109375" style="302" customWidth="1"/>
    <col min="8" max="8" width="15.7109375" style="306" customWidth="1"/>
    <col min="9" max="9" width="14.42578125" style="306" customWidth="1"/>
    <col min="10" max="10" width="10.28515625" style="270" customWidth="1"/>
    <col min="11" max="11" width="16.5703125" style="306" customWidth="1"/>
    <col min="12" max="12" width="19.140625" style="270" customWidth="1"/>
    <col min="13" max="13" width="23.7109375" style="270" customWidth="1"/>
    <col min="14" max="14" width="22.42578125" style="272" customWidth="1"/>
    <col min="15" max="15" width="8.7109375" style="270" bestFit="1" customWidth="1"/>
    <col min="16" max="16" width="12.140625" style="270" customWidth="1"/>
    <col min="17" max="17" width="10" style="270" customWidth="1"/>
    <col min="18" max="18" width="10.85546875" style="306" customWidth="1"/>
    <col min="19" max="19" width="10.28515625" style="285" bestFit="1" customWidth="1"/>
    <col min="20" max="20" width="14.140625" style="270" bestFit="1" customWidth="1"/>
    <col min="21" max="23" width="8.85546875" style="270"/>
    <col min="24" max="24" width="14.85546875" style="270" customWidth="1"/>
    <col min="25" max="25" width="11" style="273" bestFit="1" customWidth="1"/>
    <col min="26" max="26" width="23.28515625" style="288" customWidth="1"/>
    <col min="27" max="27" width="19.28515625" style="288" customWidth="1"/>
    <col min="28" max="29" width="8.85546875" style="288"/>
    <col min="30" max="31" width="9" style="288" bestFit="1" customWidth="1"/>
    <col min="32" max="34" width="8.85546875" style="288"/>
    <col min="35" max="35" width="9" style="288" bestFit="1" customWidth="1"/>
    <col min="36" max="36" width="13.85546875" style="303" bestFit="1" customWidth="1"/>
    <col min="37" max="37" width="9" style="288" bestFit="1" customWidth="1"/>
    <col min="38" max="38" width="14.28515625" style="303" bestFit="1" customWidth="1"/>
    <col min="39" max="39" width="8.85546875" style="288"/>
    <col min="40" max="40" width="9" style="207" bestFit="1" customWidth="1"/>
    <col min="41" max="41" width="12.5703125" style="303" bestFit="1" customWidth="1"/>
    <col min="42" max="47" width="9" style="290" bestFit="1" customWidth="1"/>
    <col min="48" max="48" width="12.5703125" style="303" bestFit="1" customWidth="1"/>
    <col min="49" max="50" width="9" style="207" bestFit="1" customWidth="1"/>
    <col min="51" max="55" width="8.85546875" style="288"/>
    <col min="56" max="16384" width="8.85546875" style="164"/>
  </cols>
  <sheetData>
    <row r="1" spans="1:59" ht="94.35" customHeight="1">
      <c r="A1" s="174" t="s">
        <v>2009</v>
      </c>
      <c r="B1" s="175" t="s">
        <v>4</v>
      </c>
      <c r="C1" s="175" t="s">
        <v>5</v>
      </c>
      <c r="D1" s="175" t="s">
        <v>6</v>
      </c>
      <c r="E1" s="175" t="s">
        <v>7</v>
      </c>
      <c r="F1" s="175" t="s">
        <v>14</v>
      </c>
      <c r="G1" s="309" t="s">
        <v>35</v>
      </c>
      <c r="H1" s="310" t="s">
        <v>36</v>
      </c>
      <c r="I1" s="310" t="s">
        <v>1552</v>
      </c>
      <c r="J1" s="175" t="s">
        <v>378</v>
      </c>
      <c r="K1" s="310" t="s">
        <v>37</v>
      </c>
      <c r="L1" s="175" t="s">
        <v>1551</v>
      </c>
      <c r="M1" s="175" t="s">
        <v>38</v>
      </c>
      <c r="N1" s="175" t="s">
        <v>1897</v>
      </c>
      <c r="O1" s="175" t="s">
        <v>39</v>
      </c>
      <c r="P1" s="175" t="s">
        <v>1553</v>
      </c>
      <c r="Q1" s="175" t="s">
        <v>1</v>
      </c>
      <c r="R1" s="176" t="s">
        <v>2</v>
      </c>
      <c r="S1" s="311" t="s">
        <v>1642</v>
      </c>
      <c r="T1" s="175" t="s">
        <v>1643</v>
      </c>
      <c r="U1" s="175" t="s">
        <v>390</v>
      </c>
      <c r="V1" s="175" t="s">
        <v>1894</v>
      </c>
      <c r="W1" s="175" t="s">
        <v>1895</v>
      </c>
      <c r="X1" s="175" t="s">
        <v>1488</v>
      </c>
      <c r="Y1" s="176" t="s">
        <v>1896</v>
      </c>
      <c r="Z1" s="175" t="s">
        <v>1867</v>
      </c>
      <c r="AA1" s="175" t="s">
        <v>1866</v>
      </c>
      <c r="AB1" s="312" t="s">
        <v>1486</v>
      </c>
      <c r="AC1" s="312" t="s">
        <v>1489</v>
      </c>
      <c r="AD1" s="312" t="s">
        <v>1863</v>
      </c>
      <c r="AE1" s="312" t="s">
        <v>1864</v>
      </c>
      <c r="AF1" s="312" t="s">
        <v>1892</v>
      </c>
      <c r="AG1" s="312" t="s">
        <v>1893</v>
      </c>
      <c r="AH1" s="313" t="s">
        <v>1902</v>
      </c>
      <c r="AI1" s="313" t="s">
        <v>1903</v>
      </c>
      <c r="AJ1" s="314" t="s">
        <v>1904</v>
      </c>
      <c r="AK1" s="313" t="s">
        <v>1905</v>
      </c>
      <c r="AL1" s="314" t="s">
        <v>1906</v>
      </c>
      <c r="AM1" s="315" t="s">
        <v>1958</v>
      </c>
      <c r="AN1" s="210" t="s">
        <v>1956</v>
      </c>
      <c r="AO1" s="316" t="s">
        <v>1996</v>
      </c>
      <c r="AP1" s="317" t="s">
        <v>1946</v>
      </c>
      <c r="AQ1" s="317" t="s">
        <v>1947</v>
      </c>
      <c r="AR1" s="317" t="s">
        <v>1948</v>
      </c>
      <c r="AS1" s="317" t="s">
        <v>1957</v>
      </c>
      <c r="AT1" s="317" t="s">
        <v>1997</v>
      </c>
      <c r="AU1" s="208" t="s">
        <v>1950</v>
      </c>
      <c r="AV1" s="318" t="s">
        <v>1998</v>
      </c>
      <c r="AW1" s="208" t="s">
        <v>1952</v>
      </c>
      <c r="AX1" s="208" t="s">
        <v>1953</v>
      </c>
      <c r="AY1" s="209" t="s">
        <v>1999</v>
      </c>
      <c r="AZ1" s="209" t="s">
        <v>2000</v>
      </c>
      <c r="BA1" s="312" t="s">
        <v>1498</v>
      </c>
      <c r="BB1" s="312" t="s">
        <v>1621</v>
      </c>
      <c r="BC1" s="312" t="s">
        <v>2006</v>
      </c>
    </row>
    <row r="2" spans="1:59" s="282" customFormat="1" ht="45" customHeight="1">
      <c r="A2" s="271">
        <f>ROW()-1</f>
        <v>1</v>
      </c>
      <c r="B2" s="284" t="s">
        <v>3486</v>
      </c>
      <c r="C2" s="270" t="s">
        <v>3487</v>
      </c>
      <c r="D2" s="270" t="s">
        <v>8</v>
      </c>
      <c r="E2" s="270" t="s">
        <v>9</v>
      </c>
      <c r="F2" s="270" t="s">
        <v>1753</v>
      </c>
      <c r="G2" s="302">
        <v>43301</v>
      </c>
      <c r="H2" s="306"/>
      <c r="I2" s="306">
        <v>44968</v>
      </c>
      <c r="J2" s="270" t="s">
        <v>3165</v>
      </c>
      <c r="K2" s="306"/>
      <c r="L2" s="270" t="s">
        <v>2479</v>
      </c>
      <c r="M2" s="270" t="s">
        <v>2479</v>
      </c>
      <c r="N2" s="272" t="s">
        <v>122</v>
      </c>
      <c r="O2" s="270" t="s">
        <v>2479</v>
      </c>
      <c r="P2" s="270" t="s">
        <v>1554</v>
      </c>
      <c r="Q2" s="270" t="s">
        <v>2198</v>
      </c>
      <c r="R2" s="306" t="s">
        <v>3488</v>
      </c>
      <c r="S2" s="285">
        <v>2018</v>
      </c>
      <c r="T2" s="270" t="s">
        <v>2001</v>
      </c>
      <c r="U2" s="270" t="s">
        <v>678</v>
      </c>
      <c r="V2" s="270" t="s">
        <v>679</v>
      </c>
      <c r="W2" s="270" t="s">
        <v>145</v>
      </c>
      <c r="X2" s="270" t="s">
        <v>309</v>
      </c>
      <c r="Y2" s="273">
        <v>45078</v>
      </c>
      <c r="Z2" s="288" t="s">
        <v>1875</v>
      </c>
      <c r="AA2" s="288" t="s">
        <v>2479</v>
      </c>
      <c r="AB2" s="288" t="s">
        <v>139</v>
      </c>
      <c r="AC2" s="288" t="s">
        <v>1875</v>
      </c>
      <c r="AD2" s="288" t="s">
        <v>1805</v>
      </c>
      <c r="AE2" s="288" t="s">
        <v>1805</v>
      </c>
      <c r="AF2" s="288" t="s">
        <v>2479</v>
      </c>
      <c r="AG2" s="288" t="s">
        <v>2479</v>
      </c>
      <c r="AH2" s="288" t="s">
        <v>2479</v>
      </c>
      <c r="AI2" s="288" t="s">
        <v>2479</v>
      </c>
      <c r="AJ2" s="303" t="s">
        <v>2191</v>
      </c>
      <c r="AK2" s="288" t="s">
        <v>2479</v>
      </c>
      <c r="AL2" s="303" t="s">
        <v>2190</v>
      </c>
      <c r="AM2" s="288" t="s">
        <v>1975</v>
      </c>
      <c r="AN2" s="207" t="b">
        <v>0</v>
      </c>
      <c r="AO2" s="303"/>
      <c r="AP2" s="290"/>
      <c r="AQ2" s="290"/>
      <c r="AR2" s="290"/>
      <c r="AS2" s="290"/>
      <c r="AT2" s="290"/>
      <c r="AU2" s="290"/>
      <c r="AV2" s="303"/>
      <c r="AW2" s="207"/>
      <c r="AX2" s="207"/>
      <c r="AY2" s="288" t="s">
        <v>2479</v>
      </c>
      <c r="AZ2" s="288" t="s">
        <v>2479</v>
      </c>
      <c r="BA2" s="288" t="s">
        <v>373</v>
      </c>
      <c r="BB2" s="288" t="s">
        <v>1610</v>
      </c>
      <c r="BC2" s="288" t="s">
        <v>2192</v>
      </c>
      <c r="BD2" s="283"/>
      <c r="BE2" s="283"/>
      <c r="BF2" s="283"/>
      <c r="BG2" s="283"/>
    </row>
    <row r="3" spans="1:59" s="282" customFormat="1" ht="45" customHeight="1">
      <c r="A3" s="271">
        <f t="shared" ref="A3:A66" si="0">ROW()-1</f>
        <v>2</v>
      </c>
      <c r="B3" s="354" t="s">
        <v>2196</v>
      </c>
      <c r="C3" s="37" t="s">
        <v>2197</v>
      </c>
      <c r="D3" s="215" t="s">
        <v>8</v>
      </c>
      <c r="E3" s="215" t="s">
        <v>9</v>
      </c>
      <c r="F3" s="37" t="s">
        <v>1753</v>
      </c>
      <c r="G3" s="337">
        <v>43358</v>
      </c>
      <c r="H3" s="338">
        <v>44105</v>
      </c>
      <c r="I3" s="337"/>
      <c r="J3" s="215"/>
      <c r="K3" s="337"/>
      <c r="L3" s="215"/>
      <c r="M3" s="215"/>
      <c r="N3" s="215" t="s">
        <v>122</v>
      </c>
      <c r="O3" s="215"/>
      <c r="P3" s="215" t="s">
        <v>1554</v>
      </c>
      <c r="Q3" s="215" t="s">
        <v>2198</v>
      </c>
      <c r="R3" s="339">
        <v>44571.45244212963</v>
      </c>
      <c r="S3" s="215">
        <v>2018</v>
      </c>
      <c r="T3" s="215" t="s">
        <v>2001</v>
      </c>
      <c r="U3" s="17" t="s">
        <v>678</v>
      </c>
      <c r="V3" s="17" t="s">
        <v>679</v>
      </c>
      <c r="W3" s="17" t="s">
        <v>145</v>
      </c>
      <c r="X3" s="17" t="s">
        <v>309</v>
      </c>
      <c r="Y3" s="340">
        <v>45078</v>
      </c>
      <c r="Z3" s="17" t="s">
        <v>1875</v>
      </c>
      <c r="AA3" s="17"/>
      <c r="AB3" s="17" t="s">
        <v>139</v>
      </c>
      <c r="AC3" s="17" t="s">
        <v>1875</v>
      </c>
      <c r="AD3" s="17" t="s">
        <v>1805</v>
      </c>
      <c r="AE3" s="17" t="s">
        <v>1805</v>
      </c>
      <c r="AF3" s="17"/>
      <c r="AG3" s="17"/>
      <c r="AH3" s="17"/>
      <c r="AI3" s="17"/>
      <c r="AJ3" s="17" t="s">
        <v>2191</v>
      </c>
      <c r="AK3" s="17"/>
      <c r="AL3" s="17" t="s">
        <v>2190</v>
      </c>
      <c r="AM3" s="17" t="s">
        <v>1975</v>
      </c>
      <c r="AN3" s="17" t="b">
        <v>0</v>
      </c>
      <c r="AO3" s="341"/>
      <c r="AP3" s="142"/>
      <c r="AQ3" s="142"/>
      <c r="AR3" s="142"/>
      <c r="AS3" s="142"/>
      <c r="AT3" s="342"/>
      <c r="AU3" s="17"/>
      <c r="AV3" s="341"/>
      <c r="AW3" s="17"/>
      <c r="AX3" s="17"/>
      <c r="AY3" s="17"/>
      <c r="AZ3" s="17"/>
      <c r="BA3" s="17" t="s">
        <v>373</v>
      </c>
      <c r="BB3" s="17" t="s">
        <v>1610</v>
      </c>
      <c r="BC3" s="17" t="s">
        <v>2192</v>
      </c>
      <c r="BD3" s="283"/>
      <c r="BE3" s="283"/>
      <c r="BF3" s="283"/>
      <c r="BG3" s="283"/>
    </row>
    <row r="4" spans="1:59" s="282" customFormat="1" ht="45" customHeight="1">
      <c r="A4" s="271">
        <f t="shared" si="0"/>
        <v>3</v>
      </c>
      <c r="B4" s="354" t="s">
        <v>2201</v>
      </c>
      <c r="C4" s="37" t="s">
        <v>2202</v>
      </c>
      <c r="D4" s="215" t="s">
        <v>8</v>
      </c>
      <c r="E4" s="215" t="s">
        <v>9</v>
      </c>
      <c r="F4" s="37" t="s">
        <v>1753</v>
      </c>
      <c r="G4" s="337">
        <v>43433</v>
      </c>
      <c r="H4" s="338">
        <v>44000</v>
      </c>
      <c r="I4" s="337"/>
      <c r="J4" s="215"/>
      <c r="K4" s="337"/>
      <c r="L4" s="215"/>
      <c r="M4" s="215"/>
      <c r="N4" s="215" t="s">
        <v>122</v>
      </c>
      <c r="O4" s="215"/>
      <c r="P4" s="215" t="s">
        <v>1554</v>
      </c>
      <c r="Q4" s="215" t="s">
        <v>2198</v>
      </c>
      <c r="R4" s="339">
        <v>44571.454039351855</v>
      </c>
      <c r="S4" s="215">
        <v>2018</v>
      </c>
      <c r="T4" s="215" t="s">
        <v>2001</v>
      </c>
      <c r="U4" s="17" t="s">
        <v>678</v>
      </c>
      <c r="V4" s="17" t="s">
        <v>679</v>
      </c>
      <c r="W4" s="17" t="s">
        <v>145</v>
      </c>
      <c r="X4" s="17" t="s">
        <v>309</v>
      </c>
      <c r="Y4" s="340">
        <v>45078</v>
      </c>
      <c r="Z4" s="17" t="s">
        <v>1875</v>
      </c>
      <c r="AA4" s="17"/>
      <c r="AB4" s="17" t="s">
        <v>139</v>
      </c>
      <c r="AC4" s="17" t="s">
        <v>1875</v>
      </c>
      <c r="AD4" s="17" t="s">
        <v>1805</v>
      </c>
      <c r="AE4" s="17" t="s">
        <v>1805</v>
      </c>
      <c r="AF4" s="17"/>
      <c r="AG4" s="17"/>
      <c r="AH4" s="17"/>
      <c r="AI4" s="17"/>
      <c r="AJ4" s="17" t="s">
        <v>2191</v>
      </c>
      <c r="AK4" s="17"/>
      <c r="AL4" s="17" t="s">
        <v>2190</v>
      </c>
      <c r="AM4" s="17" t="s">
        <v>1975</v>
      </c>
      <c r="AN4" s="17" t="b">
        <v>0</v>
      </c>
      <c r="AO4" s="341"/>
      <c r="AP4" s="142"/>
      <c r="AQ4" s="142"/>
      <c r="AR4" s="142"/>
      <c r="AS4" s="142"/>
      <c r="AT4" s="342"/>
      <c r="AU4" s="17"/>
      <c r="AV4" s="341"/>
      <c r="AW4" s="17"/>
      <c r="AX4" s="17"/>
      <c r="AY4" s="17"/>
      <c r="AZ4" s="17"/>
      <c r="BA4" s="17" t="s">
        <v>373</v>
      </c>
      <c r="BB4" s="17" t="s">
        <v>1610</v>
      </c>
      <c r="BC4" s="17" t="s">
        <v>2192</v>
      </c>
      <c r="BD4" s="283"/>
      <c r="BE4" s="283"/>
      <c r="BF4" s="283"/>
      <c r="BG4" s="283"/>
    </row>
    <row r="5" spans="1:59" s="282" customFormat="1" ht="45" customHeight="1">
      <c r="A5" s="271">
        <f t="shared" si="0"/>
        <v>4</v>
      </c>
      <c r="B5" s="354" t="s">
        <v>2203</v>
      </c>
      <c r="C5" s="37" t="s">
        <v>2204</v>
      </c>
      <c r="D5" s="215" t="s">
        <v>8</v>
      </c>
      <c r="E5" s="215" t="s">
        <v>9</v>
      </c>
      <c r="F5" s="37" t="s">
        <v>1753</v>
      </c>
      <c r="G5" s="337">
        <v>43463</v>
      </c>
      <c r="H5" s="338">
        <v>44000</v>
      </c>
      <c r="I5" s="337"/>
      <c r="J5" s="215"/>
      <c r="K5" s="337"/>
      <c r="L5" s="215"/>
      <c r="M5" s="215"/>
      <c r="N5" s="215" t="s">
        <v>122</v>
      </c>
      <c r="O5" s="215"/>
      <c r="P5" s="215" t="s">
        <v>1554</v>
      </c>
      <c r="Q5" s="215" t="s">
        <v>2198</v>
      </c>
      <c r="R5" s="339">
        <v>44571.455057870371</v>
      </c>
      <c r="S5" s="215">
        <v>2018</v>
      </c>
      <c r="T5" s="215" t="s">
        <v>2001</v>
      </c>
      <c r="U5" s="17" t="s">
        <v>678</v>
      </c>
      <c r="V5" s="17" t="s">
        <v>679</v>
      </c>
      <c r="W5" s="17" t="s">
        <v>145</v>
      </c>
      <c r="X5" s="17" t="s">
        <v>309</v>
      </c>
      <c r="Y5" s="340">
        <v>45078</v>
      </c>
      <c r="Z5" s="17" t="s">
        <v>1875</v>
      </c>
      <c r="AA5" s="17"/>
      <c r="AB5" s="17" t="s">
        <v>139</v>
      </c>
      <c r="AC5" s="17" t="s">
        <v>1875</v>
      </c>
      <c r="AD5" s="17" t="s">
        <v>1805</v>
      </c>
      <c r="AE5" s="17" t="s">
        <v>1805</v>
      </c>
      <c r="AF5" s="17"/>
      <c r="AG5" s="17"/>
      <c r="AH5" s="17"/>
      <c r="AI5" s="17"/>
      <c r="AJ5" s="17" t="s">
        <v>2191</v>
      </c>
      <c r="AK5" s="17"/>
      <c r="AL5" s="17" t="s">
        <v>2190</v>
      </c>
      <c r="AM5" s="17" t="s">
        <v>1975</v>
      </c>
      <c r="AN5" s="17" t="b">
        <v>0</v>
      </c>
      <c r="AO5" s="341"/>
      <c r="AP5" s="142"/>
      <c r="AQ5" s="142"/>
      <c r="AR5" s="142"/>
      <c r="AS5" s="142"/>
      <c r="AT5" s="342"/>
      <c r="AU5" s="17"/>
      <c r="AV5" s="341"/>
      <c r="AW5" s="17"/>
      <c r="AX5" s="17"/>
      <c r="AY5" s="17"/>
      <c r="AZ5" s="17"/>
      <c r="BA5" s="17" t="s">
        <v>373</v>
      </c>
      <c r="BB5" s="17" t="s">
        <v>1610</v>
      </c>
      <c r="BC5" s="17" t="s">
        <v>2192</v>
      </c>
      <c r="BD5" s="283"/>
      <c r="BE5" s="283"/>
      <c r="BF5" s="283"/>
      <c r="BG5" s="283"/>
    </row>
    <row r="6" spans="1:59" s="282" customFormat="1" ht="45" customHeight="1">
      <c r="A6" s="271">
        <f t="shared" si="0"/>
        <v>5</v>
      </c>
      <c r="B6" s="354" t="s">
        <v>2207</v>
      </c>
      <c r="C6" s="37" t="s">
        <v>2208</v>
      </c>
      <c r="D6" s="215" t="s">
        <v>8</v>
      </c>
      <c r="E6" s="215" t="s">
        <v>9</v>
      </c>
      <c r="F6" s="37" t="s">
        <v>1753</v>
      </c>
      <c r="G6" s="337">
        <v>43574</v>
      </c>
      <c r="H6" s="338">
        <v>44015</v>
      </c>
      <c r="I6" s="337"/>
      <c r="J6" s="215"/>
      <c r="K6" s="337"/>
      <c r="L6" s="215"/>
      <c r="M6" s="215"/>
      <c r="N6" s="215" t="s">
        <v>122</v>
      </c>
      <c r="O6" s="215"/>
      <c r="P6" s="215" t="s">
        <v>1554</v>
      </c>
      <c r="Q6" s="215" t="s">
        <v>2198</v>
      </c>
      <c r="R6" s="339">
        <v>44571.458680555559</v>
      </c>
      <c r="S6" s="215">
        <v>2019</v>
      </c>
      <c r="T6" s="215" t="s">
        <v>2001</v>
      </c>
      <c r="U6" s="17" t="s">
        <v>678</v>
      </c>
      <c r="V6" s="17" t="s">
        <v>679</v>
      </c>
      <c r="W6" s="17" t="s">
        <v>145</v>
      </c>
      <c r="X6" s="17" t="s">
        <v>309</v>
      </c>
      <c r="Y6" s="340">
        <v>45078</v>
      </c>
      <c r="Z6" s="17" t="s">
        <v>1875</v>
      </c>
      <c r="AA6" s="17"/>
      <c r="AB6" s="17" t="s">
        <v>139</v>
      </c>
      <c r="AC6" s="17" t="s">
        <v>1875</v>
      </c>
      <c r="AD6" s="17" t="s">
        <v>1805</v>
      </c>
      <c r="AE6" s="17" t="s">
        <v>1805</v>
      </c>
      <c r="AF6" s="17"/>
      <c r="AG6" s="17"/>
      <c r="AH6" s="17"/>
      <c r="AI6" s="17"/>
      <c r="AJ6" s="17" t="s">
        <v>2191</v>
      </c>
      <c r="AK6" s="17"/>
      <c r="AL6" s="17" t="s">
        <v>2190</v>
      </c>
      <c r="AM6" s="17" t="s">
        <v>1975</v>
      </c>
      <c r="AN6" s="17" t="b">
        <v>0</v>
      </c>
      <c r="AO6" s="341"/>
      <c r="AP6" s="142"/>
      <c r="AQ6" s="142"/>
      <c r="AR6" s="142"/>
      <c r="AS6" s="142"/>
      <c r="AT6" s="342"/>
      <c r="AU6" s="17"/>
      <c r="AV6" s="341"/>
      <c r="AW6" s="17"/>
      <c r="AX6" s="17"/>
      <c r="AY6" s="17"/>
      <c r="AZ6" s="17"/>
      <c r="BA6" s="17" t="s">
        <v>373</v>
      </c>
      <c r="BB6" s="17" t="s">
        <v>1610</v>
      </c>
      <c r="BC6" s="17" t="s">
        <v>2192</v>
      </c>
      <c r="BD6" s="283"/>
      <c r="BE6" s="283"/>
      <c r="BF6" s="283"/>
      <c r="BG6" s="283"/>
    </row>
    <row r="7" spans="1:59" s="282" customFormat="1" ht="45" customHeight="1">
      <c r="A7" s="271">
        <f t="shared" si="0"/>
        <v>6</v>
      </c>
      <c r="B7" s="354" t="s">
        <v>2213</v>
      </c>
      <c r="C7" s="37" t="s">
        <v>2214</v>
      </c>
      <c r="D7" s="215" t="s">
        <v>8</v>
      </c>
      <c r="E7" s="215" t="s">
        <v>9</v>
      </c>
      <c r="F7" s="37" t="s">
        <v>1753</v>
      </c>
      <c r="G7" s="337">
        <v>44131</v>
      </c>
      <c r="H7" s="338"/>
      <c r="I7" s="337"/>
      <c r="J7" s="215"/>
      <c r="K7" s="337"/>
      <c r="L7" s="215"/>
      <c r="M7" s="215"/>
      <c r="N7" s="215" t="s">
        <v>122</v>
      </c>
      <c r="O7" s="215"/>
      <c r="P7" s="215" t="s">
        <v>1554</v>
      </c>
      <c r="Q7" s="215" t="s">
        <v>2198</v>
      </c>
      <c r="R7" s="339">
        <v>44571.476087962961</v>
      </c>
      <c r="S7" s="215">
        <v>2020</v>
      </c>
      <c r="T7" s="215" t="s">
        <v>2001</v>
      </c>
      <c r="U7" s="17" t="s">
        <v>678</v>
      </c>
      <c r="V7" s="17" t="s">
        <v>679</v>
      </c>
      <c r="W7" s="17" t="s">
        <v>145</v>
      </c>
      <c r="X7" s="17" t="s">
        <v>309</v>
      </c>
      <c r="Y7" s="340">
        <v>45078</v>
      </c>
      <c r="Z7" s="17" t="s">
        <v>1875</v>
      </c>
      <c r="AA7" s="17"/>
      <c r="AB7" s="17" t="s">
        <v>139</v>
      </c>
      <c r="AC7" s="17" t="s">
        <v>1875</v>
      </c>
      <c r="AD7" s="17" t="s">
        <v>1805</v>
      </c>
      <c r="AE7" s="17" t="s">
        <v>1805</v>
      </c>
      <c r="AF7" s="17"/>
      <c r="AG7" s="17"/>
      <c r="AH7" s="17"/>
      <c r="AI7" s="17"/>
      <c r="AJ7" s="17" t="s">
        <v>2191</v>
      </c>
      <c r="AK7" s="17"/>
      <c r="AL7" s="17" t="s">
        <v>2190</v>
      </c>
      <c r="AM7" s="17" t="s">
        <v>1975</v>
      </c>
      <c r="AN7" s="17" t="b">
        <v>0</v>
      </c>
      <c r="AO7" s="341"/>
      <c r="AP7" s="142"/>
      <c r="AQ7" s="142"/>
      <c r="AR7" s="142"/>
      <c r="AS7" s="142"/>
      <c r="AT7" s="342"/>
      <c r="AU7" s="17"/>
      <c r="AV7" s="341"/>
      <c r="AW7" s="17"/>
      <c r="AX7" s="17"/>
      <c r="AY7" s="17"/>
      <c r="AZ7" s="17"/>
      <c r="BA7" s="17" t="s">
        <v>373</v>
      </c>
      <c r="BB7" s="17" t="s">
        <v>1610</v>
      </c>
      <c r="BC7" s="17" t="s">
        <v>2192</v>
      </c>
      <c r="BD7" s="283"/>
      <c r="BE7" s="283"/>
      <c r="BF7" s="283"/>
      <c r="BG7" s="283"/>
    </row>
    <row r="8" spans="1:59" s="282" customFormat="1" ht="45" customHeight="1">
      <c r="A8" s="271">
        <f t="shared" si="0"/>
        <v>7</v>
      </c>
      <c r="B8" s="354" t="s">
        <v>2215</v>
      </c>
      <c r="C8" s="37" t="s">
        <v>2216</v>
      </c>
      <c r="D8" s="215" t="s">
        <v>8</v>
      </c>
      <c r="E8" s="215" t="s">
        <v>9</v>
      </c>
      <c r="F8" s="37" t="s">
        <v>1753</v>
      </c>
      <c r="G8" s="337">
        <v>44139</v>
      </c>
      <c r="H8" s="338"/>
      <c r="I8" s="337"/>
      <c r="J8" s="215"/>
      <c r="K8" s="337"/>
      <c r="L8" s="215"/>
      <c r="M8" s="215"/>
      <c r="N8" s="215" t="s">
        <v>122</v>
      </c>
      <c r="O8" s="215"/>
      <c r="P8" s="215" t="s">
        <v>1554</v>
      </c>
      <c r="Q8" s="215" t="s">
        <v>2198</v>
      </c>
      <c r="R8" s="339">
        <v>44571.485868055555</v>
      </c>
      <c r="S8" s="215">
        <v>2020</v>
      </c>
      <c r="T8" s="215" t="s">
        <v>2001</v>
      </c>
      <c r="U8" s="17" t="s">
        <v>678</v>
      </c>
      <c r="V8" s="17" t="s">
        <v>679</v>
      </c>
      <c r="W8" s="17" t="s">
        <v>145</v>
      </c>
      <c r="X8" s="17" t="s">
        <v>309</v>
      </c>
      <c r="Y8" s="340">
        <v>45078</v>
      </c>
      <c r="Z8" s="17" t="s">
        <v>1875</v>
      </c>
      <c r="AA8" s="17"/>
      <c r="AB8" s="17" t="s">
        <v>139</v>
      </c>
      <c r="AC8" s="17" t="s">
        <v>1875</v>
      </c>
      <c r="AD8" s="17" t="s">
        <v>1805</v>
      </c>
      <c r="AE8" s="17" t="s">
        <v>1805</v>
      </c>
      <c r="AF8" s="17"/>
      <c r="AG8" s="17"/>
      <c r="AH8" s="17"/>
      <c r="AI8" s="17"/>
      <c r="AJ8" s="17" t="s">
        <v>2191</v>
      </c>
      <c r="AK8" s="17"/>
      <c r="AL8" s="17" t="s">
        <v>2190</v>
      </c>
      <c r="AM8" s="17" t="s">
        <v>1975</v>
      </c>
      <c r="AN8" s="17" t="b">
        <v>0</v>
      </c>
      <c r="AO8" s="341"/>
      <c r="AP8" s="142"/>
      <c r="AQ8" s="142"/>
      <c r="AR8" s="142"/>
      <c r="AS8" s="142"/>
      <c r="AT8" s="342"/>
      <c r="AU8" s="17"/>
      <c r="AV8" s="341"/>
      <c r="AW8" s="17"/>
      <c r="AX8" s="17"/>
      <c r="AY8" s="17"/>
      <c r="AZ8" s="17"/>
      <c r="BA8" s="17" t="s">
        <v>373</v>
      </c>
      <c r="BB8" s="17" t="s">
        <v>1610</v>
      </c>
      <c r="BC8" s="17" t="s">
        <v>2192</v>
      </c>
      <c r="BD8" s="283"/>
      <c r="BE8" s="283"/>
      <c r="BF8" s="283"/>
      <c r="BG8" s="283"/>
    </row>
    <row r="9" spans="1:59" s="282" customFormat="1" ht="45" customHeight="1">
      <c r="A9" s="271">
        <f t="shared" si="0"/>
        <v>8</v>
      </c>
      <c r="B9" s="354" t="s">
        <v>2217</v>
      </c>
      <c r="C9" s="37" t="s">
        <v>2218</v>
      </c>
      <c r="D9" s="215" t="s">
        <v>8</v>
      </c>
      <c r="E9" s="215" t="s">
        <v>9</v>
      </c>
      <c r="F9" s="37" t="s">
        <v>1753</v>
      </c>
      <c r="G9" s="337">
        <v>44153</v>
      </c>
      <c r="H9" s="338"/>
      <c r="I9" s="337"/>
      <c r="J9" s="215"/>
      <c r="K9" s="337"/>
      <c r="L9" s="215"/>
      <c r="M9" s="215"/>
      <c r="N9" s="215" t="s">
        <v>122</v>
      </c>
      <c r="O9" s="215"/>
      <c r="P9" s="215" t="s">
        <v>1554</v>
      </c>
      <c r="Q9" s="215" t="s">
        <v>2198</v>
      </c>
      <c r="R9" s="339">
        <v>44571.486793981479</v>
      </c>
      <c r="S9" s="215">
        <v>2020</v>
      </c>
      <c r="T9" s="215" t="s">
        <v>2001</v>
      </c>
      <c r="U9" s="17" t="s">
        <v>678</v>
      </c>
      <c r="V9" s="17" t="s">
        <v>679</v>
      </c>
      <c r="W9" s="17" t="s">
        <v>145</v>
      </c>
      <c r="X9" s="17" t="s">
        <v>309</v>
      </c>
      <c r="Y9" s="340">
        <v>45078</v>
      </c>
      <c r="Z9" s="17" t="s">
        <v>1875</v>
      </c>
      <c r="AA9" s="17"/>
      <c r="AB9" s="17" t="s">
        <v>139</v>
      </c>
      <c r="AC9" s="17" t="s">
        <v>1875</v>
      </c>
      <c r="AD9" s="17" t="s">
        <v>1805</v>
      </c>
      <c r="AE9" s="17" t="s">
        <v>1805</v>
      </c>
      <c r="AF9" s="17"/>
      <c r="AG9" s="17"/>
      <c r="AH9" s="17"/>
      <c r="AI9" s="17"/>
      <c r="AJ9" s="17" t="s">
        <v>2191</v>
      </c>
      <c r="AK9" s="17"/>
      <c r="AL9" s="17" t="s">
        <v>2190</v>
      </c>
      <c r="AM9" s="17" t="s">
        <v>1975</v>
      </c>
      <c r="AN9" s="17" t="b">
        <v>0</v>
      </c>
      <c r="AO9" s="341"/>
      <c r="AP9" s="142"/>
      <c r="AQ9" s="142"/>
      <c r="AR9" s="142"/>
      <c r="AS9" s="142"/>
      <c r="AT9" s="342"/>
      <c r="AU9" s="17"/>
      <c r="AV9" s="341"/>
      <c r="AW9" s="17"/>
      <c r="AX9" s="17"/>
      <c r="AY9" s="17"/>
      <c r="AZ9" s="17"/>
      <c r="BA9" s="17" t="s">
        <v>373</v>
      </c>
      <c r="BB9" s="17" t="s">
        <v>1610</v>
      </c>
      <c r="BC9" s="17" t="s">
        <v>2192</v>
      </c>
      <c r="BD9" s="283"/>
      <c r="BE9" s="283"/>
      <c r="BF9" s="283"/>
      <c r="BG9" s="283"/>
    </row>
    <row r="10" spans="1:59" s="282" customFormat="1" ht="45" customHeight="1">
      <c r="A10" s="271">
        <f t="shared" si="0"/>
        <v>9</v>
      </c>
      <c r="B10" s="343" t="s">
        <v>2213</v>
      </c>
      <c r="C10" s="348" t="s">
        <v>2221</v>
      </c>
      <c r="D10" s="345" t="s">
        <v>8</v>
      </c>
      <c r="E10" s="345" t="s">
        <v>9</v>
      </c>
      <c r="F10" s="37" t="s">
        <v>1753</v>
      </c>
      <c r="G10" s="337">
        <v>44255</v>
      </c>
      <c r="H10" s="337">
        <v>44471</v>
      </c>
      <c r="I10" s="337"/>
      <c r="J10" s="351"/>
      <c r="K10" s="337"/>
      <c r="L10" s="215"/>
      <c r="M10" s="345"/>
      <c r="N10" s="345" t="s">
        <v>122</v>
      </c>
      <c r="O10" s="345"/>
      <c r="P10" s="349" t="s">
        <v>1554</v>
      </c>
      <c r="Q10" s="349" t="s">
        <v>2198</v>
      </c>
      <c r="R10" s="339">
        <v>44571.488969907405</v>
      </c>
      <c r="S10" s="215">
        <v>2021</v>
      </c>
      <c r="T10" s="215" t="s">
        <v>2001</v>
      </c>
      <c r="U10" s="350" t="s">
        <v>678</v>
      </c>
      <c r="V10" s="350" t="s">
        <v>679</v>
      </c>
      <c r="W10" s="17" t="s">
        <v>145</v>
      </c>
      <c r="X10" s="350" t="s">
        <v>309</v>
      </c>
      <c r="Y10" s="347">
        <v>45078</v>
      </c>
      <c r="Z10" s="171" t="s">
        <v>1875</v>
      </c>
      <c r="AA10" s="171"/>
      <c r="AB10" s="17" t="s">
        <v>139</v>
      </c>
      <c r="AC10" s="17" t="s">
        <v>1875</v>
      </c>
      <c r="AD10" s="17" t="s">
        <v>1805</v>
      </c>
      <c r="AE10" s="17" t="s">
        <v>1805</v>
      </c>
      <c r="AF10" s="171"/>
      <c r="AG10" s="171"/>
      <c r="AH10" s="17"/>
      <c r="AI10" s="17"/>
      <c r="AJ10" s="17" t="s">
        <v>2191</v>
      </c>
      <c r="AK10" s="17"/>
      <c r="AL10" s="17" t="s">
        <v>2190</v>
      </c>
      <c r="AM10" s="17" t="s">
        <v>1975</v>
      </c>
      <c r="AN10" s="17" t="b">
        <v>0</v>
      </c>
      <c r="AO10" s="341"/>
      <c r="AP10" s="142"/>
      <c r="AQ10" s="142"/>
      <c r="AR10" s="142"/>
      <c r="AS10" s="142"/>
      <c r="AT10" s="342"/>
      <c r="AU10" s="17"/>
      <c r="AV10" s="341"/>
      <c r="AW10" s="17"/>
      <c r="AX10" s="17"/>
      <c r="AY10" s="17"/>
      <c r="AZ10" s="17"/>
      <c r="BA10" s="17" t="s">
        <v>373</v>
      </c>
      <c r="BB10" s="17" t="s">
        <v>1610</v>
      </c>
      <c r="BC10" s="17" t="s">
        <v>2192</v>
      </c>
      <c r="BD10" s="283"/>
      <c r="BE10" s="283"/>
      <c r="BF10" s="283"/>
      <c r="BG10" s="283"/>
    </row>
    <row r="11" spans="1:59" s="282" customFormat="1" ht="45" customHeight="1">
      <c r="A11" s="271">
        <f t="shared" si="0"/>
        <v>10</v>
      </c>
      <c r="B11" s="343" t="s">
        <v>2222</v>
      </c>
      <c r="C11" s="344" t="s">
        <v>2223</v>
      </c>
      <c r="D11" s="345" t="s">
        <v>8</v>
      </c>
      <c r="E11" s="345" t="s">
        <v>9</v>
      </c>
      <c r="F11" s="37" t="s">
        <v>1753</v>
      </c>
      <c r="G11" s="337">
        <v>44274</v>
      </c>
      <c r="H11" s="337"/>
      <c r="I11" s="337"/>
      <c r="J11" s="345"/>
      <c r="K11" s="337"/>
      <c r="L11" s="345"/>
      <c r="M11" s="345"/>
      <c r="N11" s="345" t="s">
        <v>122</v>
      </c>
      <c r="O11" s="345"/>
      <c r="P11" s="345" t="s">
        <v>1554</v>
      </c>
      <c r="Q11" s="345" t="s">
        <v>2198</v>
      </c>
      <c r="R11" s="339">
        <v>44571.489444444444</v>
      </c>
      <c r="S11" s="215">
        <v>2021</v>
      </c>
      <c r="T11" s="345" t="s">
        <v>2001</v>
      </c>
      <c r="U11" s="346" t="s">
        <v>678</v>
      </c>
      <c r="V11" s="346" t="s">
        <v>679</v>
      </c>
      <c r="W11" s="346" t="s">
        <v>145</v>
      </c>
      <c r="X11" s="346" t="s">
        <v>309</v>
      </c>
      <c r="Y11" s="347">
        <v>45078</v>
      </c>
      <c r="Z11" s="17" t="s">
        <v>1875</v>
      </c>
      <c r="AA11" s="17"/>
      <c r="AB11" s="17" t="s">
        <v>139</v>
      </c>
      <c r="AC11" s="17" t="s">
        <v>1875</v>
      </c>
      <c r="AD11" s="17" t="s">
        <v>1805</v>
      </c>
      <c r="AE11" s="17" t="s">
        <v>1805</v>
      </c>
      <c r="AF11" s="17"/>
      <c r="AG11" s="17"/>
      <c r="AH11" s="17"/>
      <c r="AI11" s="17"/>
      <c r="AJ11" s="17" t="s">
        <v>2191</v>
      </c>
      <c r="AK11" s="17"/>
      <c r="AL11" s="17" t="s">
        <v>2190</v>
      </c>
      <c r="AM11" s="17" t="s">
        <v>1975</v>
      </c>
      <c r="AN11" s="17" t="b">
        <v>0</v>
      </c>
      <c r="AO11" s="341"/>
      <c r="AP11" s="142"/>
      <c r="AQ11" s="142"/>
      <c r="AR11" s="142"/>
      <c r="AS11" s="142"/>
      <c r="AT11" s="342"/>
      <c r="AU11" s="17"/>
      <c r="AV11" s="341"/>
      <c r="AW11" s="17"/>
      <c r="AX11" s="17"/>
      <c r="AY11" s="17"/>
      <c r="AZ11" s="17"/>
      <c r="BA11" s="17" t="s">
        <v>373</v>
      </c>
      <c r="BB11" s="17" t="s">
        <v>1610</v>
      </c>
      <c r="BC11" s="17" t="s">
        <v>2192</v>
      </c>
      <c r="BD11" s="283"/>
      <c r="BE11" s="283"/>
      <c r="BF11" s="283"/>
      <c r="BG11" s="283"/>
    </row>
    <row r="12" spans="1:59" s="282" customFormat="1" ht="45" customHeight="1">
      <c r="A12" s="271">
        <f t="shared" si="0"/>
        <v>11</v>
      </c>
      <c r="B12" s="343" t="s">
        <v>2227</v>
      </c>
      <c r="C12" s="348" t="s">
        <v>2228</v>
      </c>
      <c r="D12" s="345" t="s">
        <v>8</v>
      </c>
      <c r="E12" s="345" t="s">
        <v>9</v>
      </c>
      <c r="F12" s="37" t="s">
        <v>1753</v>
      </c>
      <c r="G12" s="337">
        <v>44357</v>
      </c>
      <c r="H12" s="337"/>
      <c r="I12" s="337"/>
      <c r="J12" s="345"/>
      <c r="K12" s="337"/>
      <c r="L12" s="215"/>
      <c r="M12" s="345"/>
      <c r="N12" s="345" t="s">
        <v>122</v>
      </c>
      <c r="O12" s="345"/>
      <c r="P12" s="349" t="s">
        <v>1554</v>
      </c>
      <c r="Q12" s="349" t="s">
        <v>2198</v>
      </c>
      <c r="R12" s="339">
        <v>44571.494421296295</v>
      </c>
      <c r="S12" s="215">
        <v>2021</v>
      </c>
      <c r="T12" s="215" t="s">
        <v>2001</v>
      </c>
      <c r="U12" s="350" t="s">
        <v>678</v>
      </c>
      <c r="V12" s="350" t="s">
        <v>679</v>
      </c>
      <c r="W12" s="17" t="s">
        <v>145</v>
      </c>
      <c r="X12" s="350" t="s">
        <v>309</v>
      </c>
      <c r="Y12" s="347">
        <v>45078</v>
      </c>
      <c r="Z12" s="171" t="s">
        <v>1875</v>
      </c>
      <c r="AA12" s="171"/>
      <c r="AB12" s="17" t="s">
        <v>139</v>
      </c>
      <c r="AC12" s="17" t="s">
        <v>1875</v>
      </c>
      <c r="AD12" s="17" t="s">
        <v>1805</v>
      </c>
      <c r="AE12" s="17" t="s">
        <v>1805</v>
      </c>
      <c r="AF12" s="171"/>
      <c r="AG12" s="171"/>
      <c r="AH12" s="17"/>
      <c r="AI12" s="17"/>
      <c r="AJ12" s="17" t="s">
        <v>2191</v>
      </c>
      <c r="AK12" s="17"/>
      <c r="AL12" s="17" t="s">
        <v>2190</v>
      </c>
      <c r="AM12" s="17" t="s">
        <v>1975</v>
      </c>
      <c r="AN12" s="17" t="b">
        <v>0</v>
      </c>
      <c r="AO12" s="341"/>
      <c r="AP12" s="142"/>
      <c r="AQ12" s="142"/>
      <c r="AR12" s="142"/>
      <c r="AS12" s="142"/>
      <c r="AT12" s="342"/>
      <c r="AU12" s="17"/>
      <c r="AV12" s="341"/>
      <c r="AW12" s="17"/>
      <c r="AX12" s="17"/>
      <c r="AY12" s="17"/>
      <c r="AZ12" s="17"/>
      <c r="BA12" s="17" t="s">
        <v>373</v>
      </c>
      <c r="BB12" s="17" t="s">
        <v>1610</v>
      </c>
      <c r="BC12" s="17" t="s">
        <v>2192</v>
      </c>
      <c r="BD12" s="283"/>
      <c r="BE12" s="283"/>
      <c r="BF12" s="283"/>
      <c r="BG12" s="283"/>
    </row>
    <row r="13" spans="1:59" s="282" customFormat="1" ht="45" customHeight="1">
      <c r="A13" s="271">
        <f t="shared" si="0"/>
        <v>12</v>
      </c>
      <c r="B13" s="343" t="s">
        <v>2229</v>
      </c>
      <c r="C13" s="348" t="s">
        <v>2230</v>
      </c>
      <c r="D13" s="345" t="s">
        <v>8</v>
      </c>
      <c r="E13" s="345" t="s">
        <v>9</v>
      </c>
      <c r="F13" s="37" t="s">
        <v>1753</v>
      </c>
      <c r="G13" s="337">
        <v>44368</v>
      </c>
      <c r="H13" s="337"/>
      <c r="I13" s="337"/>
      <c r="J13" s="345"/>
      <c r="K13" s="337"/>
      <c r="L13" s="215"/>
      <c r="M13" s="345"/>
      <c r="N13" s="345" t="s">
        <v>129</v>
      </c>
      <c r="O13" s="345"/>
      <c r="P13" s="349" t="s">
        <v>1554</v>
      </c>
      <c r="Q13" s="349" t="s">
        <v>2198</v>
      </c>
      <c r="R13" s="339">
        <v>44571.495081018518</v>
      </c>
      <c r="S13" s="215">
        <v>2021</v>
      </c>
      <c r="T13" s="215" t="s">
        <v>2001</v>
      </c>
      <c r="U13" s="350" t="s">
        <v>678</v>
      </c>
      <c r="V13" s="350" t="s">
        <v>679</v>
      </c>
      <c r="W13" s="17" t="s">
        <v>145</v>
      </c>
      <c r="X13" s="350" t="s">
        <v>309</v>
      </c>
      <c r="Y13" s="347">
        <v>45078</v>
      </c>
      <c r="Z13" s="171" t="s">
        <v>1875</v>
      </c>
      <c r="AA13" s="171"/>
      <c r="AB13" s="17" t="s">
        <v>139</v>
      </c>
      <c r="AC13" s="17" t="s">
        <v>1875</v>
      </c>
      <c r="AD13" s="17" t="s">
        <v>1805</v>
      </c>
      <c r="AE13" s="17" t="s">
        <v>1805</v>
      </c>
      <c r="AF13" s="171"/>
      <c r="AG13" s="171"/>
      <c r="AH13" s="17"/>
      <c r="AI13" s="17"/>
      <c r="AJ13" s="17" t="s">
        <v>2191</v>
      </c>
      <c r="AK13" s="17"/>
      <c r="AL13" s="17" t="s">
        <v>2190</v>
      </c>
      <c r="AM13" s="17" t="s">
        <v>1975</v>
      </c>
      <c r="AN13" s="17" t="b">
        <v>0</v>
      </c>
      <c r="AO13" s="341"/>
      <c r="AP13" s="142"/>
      <c r="AQ13" s="142"/>
      <c r="AR13" s="142"/>
      <c r="AS13" s="142"/>
      <c r="AT13" s="342"/>
      <c r="AU13" s="17"/>
      <c r="AV13" s="341"/>
      <c r="AW13" s="17"/>
      <c r="AX13" s="17"/>
      <c r="AY13" s="17"/>
      <c r="AZ13" s="17"/>
      <c r="BA13" s="17" t="s">
        <v>373</v>
      </c>
      <c r="BB13" s="17" t="s">
        <v>1610</v>
      </c>
      <c r="BC13" s="17" t="s">
        <v>2192</v>
      </c>
      <c r="BD13" s="283"/>
      <c r="BE13" s="283"/>
      <c r="BF13" s="283"/>
      <c r="BG13" s="283"/>
    </row>
    <row r="14" spans="1:59" s="282" customFormat="1" ht="45" customHeight="1">
      <c r="A14" s="271">
        <f t="shared" si="0"/>
        <v>13</v>
      </c>
      <c r="B14" s="343" t="s">
        <v>2231</v>
      </c>
      <c r="C14" s="348" t="s">
        <v>2232</v>
      </c>
      <c r="D14" s="345" t="s">
        <v>8</v>
      </c>
      <c r="E14" s="345" t="s">
        <v>9</v>
      </c>
      <c r="F14" s="37" t="s">
        <v>1753</v>
      </c>
      <c r="G14" s="337">
        <v>44372</v>
      </c>
      <c r="H14" s="337"/>
      <c r="I14" s="337"/>
      <c r="J14" s="345"/>
      <c r="K14" s="337"/>
      <c r="L14" s="215"/>
      <c r="M14" s="345"/>
      <c r="N14" s="345" t="s">
        <v>122</v>
      </c>
      <c r="O14" s="345"/>
      <c r="P14" s="349" t="s">
        <v>1554</v>
      </c>
      <c r="Q14" s="349" t="s">
        <v>2198</v>
      </c>
      <c r="R14" s="339">
        <v>44571.495567129627</v>
      </c>
      <c r="S14" s="215">
        <v>2021</v>
      </c>
      <c r="T14" s="215" t="s">
        <v>2001</v>
      </c>
      <c r="U14" s="350" t="s">
        <v>678</v>
      </c>
      <c r="V14" s="350" t="s">
        <v>679</v>
      </c>
      <c r="W14" s="17" t="s">
        <v>145</v>
      </c>
      <c r="X14" s="350" t="s">
        <v>309</v>
      </c>
      <c r="Y14" s="347">
        <v>45078</v>
      </c>
      <c r="Z14" s="171" t="s">
        <v>1875</v>
      </c>
      <c r="AA14" s="171"/>
      <c r="AB14" s="17" t="s">
        <v>139</v>
      </c>
      <c r="AC14" s="17" t="s">
        <v>1875</v>
      </c>
      <c r="AD14" s="17" t="s">
        <v>1805</v>
      </c>
      <c r="AE14" s="17" t="s">
        <v>1805</v>
      </c>
      <c r="AF14" s="171"/>
      <c r="AG14" s="171"/>
      <c r="AH14" s="17"/>
      <c r="AI14" s="17"/>
      <c r="AJ14" s="17" t="s">
        <v>2191</v>
      </c>
      <c r="AK14" s="17"/>
      <c r="AL14" s="17" t="s">
        <v>2190</v>
      </c>
      <c r="AM14" s="17" t="s">
        <v>1975</v>
      </c>
      <c r="AN14" s="17" t="b">
        <v>0</v>
      </c>
      <c r="AO14" s="341"/>
      <c r="AP14" s="142"/>
      <c r="AQ14" s="142"/>
      <c r="AR14" s="142"/>
      <c r="AS14" s="142"/>
      <c r="AT14" s="342"/>
      <c r="AU14" s="17"/>
      <c r="AV14" s="341"/>
      <c r="AW14" s="17"/>
      <c r="AX14" s="17"/>
      <c r="AY14" s="17"/>
      <c r="AZ14" s="17"/>
      <c r="BA14" s="17" t="s">
        <v>373</v>
      </c>
      <c r="BB14" s="17" t="s">
        <v>1610</v>
      </c>
      <c r="BC14" s="17" t="s">
        <v>2192</v>
      </c>
      <c r="BD14" s="283"/>
      <c r="BE14" s="283"/>
      <c r="BF14" s="283"/>
      <c r="BG14" s="283"/>
    </row>
    <row r="15" spans="1:59" s="282" customFormat="1" ht="45" customHeight="1">
      <c r="A15" s="271">
        <f t="shared" si="0"/>
        <v>14</v>
      </c>
      <c r="B15" s="343" t="s">
        <v>2233</v>
      </c>
      <c r="C15" s="348" t="s">
        <v>2234</v>
      </c>
      <c r="D15" s="345" t="s">
        <v>8</v>
      </c>
      <c r="E15" s="345" t="s">
        <v>9</v>
      </c>
      <c r="F15" s="37" t="s">
        <v>1753</v>
      </c>
      <c r="G15" s="337">
        <v>44445</v>
      </c>
      <c r="H15" s="337"/>
      <c r="I15" s="337"/>
      <c r="J15" s="345"/>
      <c r="K15" s="337"/>
      <c r="L15" s="215"/>
      <c r="M15" s="345"/>
      <c r="N15" s="345" t="s">
        <v>122</v>
      </c>
      <c r="O15" s="345"/>
      <c r="P15" s="349" t="s">
        <v>1554</v>
      </c>
      <c r="Q15" s="349" t="s">
        <v>2198</v>
      </c>
      <c r="R15" s="339">
        <v>44571.495995370373</v>
      </c>
      <c r="S15" s="215">
        <v>2021</v>
      </c>
      <c r="T15" s="215" t="s">
        <v>2001</v>
      </c>
      <c r="U15" s="350" t="s">
        <v>678</v>
      </c>
      <c r="V15" s="350" t="s">
        <v>679</v>
      </c>
      <c r="W15" s="17" t="s">
        <v>145</v>
      </c>
      <c r="X15" s="350" t="s">
        <v>309</v>
      </c>
      <c r="Y15" s="347">
        <v>45078</v>
      </c>
      <c r="Z15" s="171" t="s">
        <v>1875</v>
      </c>
      <c r="AA15" s="171"/>
      <c r="AB15" s="17" t="s">
        <v>139</v>
      </c>
      <c r="AC15" s="17" t="s">
        <v>1875</v>
      </c>
      <c r="AD15" s="17" t="s">
        <v>1805</v>
      </c>
      <c r="AE15" s="17" t="s">
        <v>1805</v>
      </c>
      <c r="AF15" s="171"/>
      <c r="AG15" s="171"/>
      <c r="AH15" s="17"/>
      <c r="AI15" s="17"/>
      <c r="AJ15" s="17" t="s">
        <v>2191</v>
      </c>
      <c r="AK15" s="17"/>
      <c r="AL15" s="17" t="s">
        <v>2190</v>
      </c>
      <c r="AM15" s="17" t="s">
        <v>1975</v>
      </c>
      <c r="AN15" s="17" t="b">
        <v>0</v>
      </c>
      <c r="AO15" s="341"/>
      <c r="AP15" s="142"/>
      <c r="AQ15" s="142"/>
      <c r="AR15" s="142"/>
      <c r="AS15" s="142"/>
      <c r="AT15" s="342"/>
      <c r="AU15" s="17"/>
      <c r="AV15" s="341"/>
      <c r="AW15" s="17"/>
      <c r="AX15" s="17"/>
      <c r="AY15" s="17"/>
      <c r="AZ15" s="17"/>
      <c r="BA15" s="17" t="s">
        <v>373</v>
      </c>
      <c r="BB15" s="17" t="s">
        <v>1610</v>
      </c>
      <c r="BC15" s="17" t="s">
        <v>2192</v>
      </c>
      <c r="BD15" s="283"/>
      <c r="BE15" s="283"/>
      <c r="BF15" s="283"/>
      <c r="BG15" s="283"/>
    </row>
    <row r="16" spans="1:59" s="282" customFormat="1" ht="45" customHeight="1">
      <c r="A16" s="271">
        <f t="shared" si="0"/>
        <v>15</v>
      </c>
      <c r="B16" s="343" t="s">
        <v>2205</v>
      </c>
      <c r="C16" s="348" t="s">
        <v>2235</v>
      </c>
      <c r="D16" s="345" t="s">
        <v>8</v>
      </c>
      <c r="E16" s="345" t="s">
        <v>9</v>
      </c>
      <c r="F16" s="37" t="s">
        <v>1753</v>
      </c>
      <c r="G16" s="337">
        <v>44445</v>
      </c>
      <c r="H16" s="337"/>
      <c r="I16" s="337"/>
      <c r="J16" s="345"/>
      <c r="K16" s="337"/>
      <c r="L16" s="215"/>
      <c r="M16" s="345"/>
      <c r="N16" s="345" t="s">
        <v>122</v>
      </c>
      <c r="O16" s="345"/>
      <c r="P16" s="349" t="s">
        <v>1554</v>
      </c>
      <c r="Q16" s="349" t="s">
        <v>2198</v>
      </c>
      <c r="R16" s="339">
        <v>44571.497013888889</v>
      </c>
      <c r="S16" s="215">
        <v>2021</v>
      </c>
      <c r="T16" s="215" t="s">
        <v>2001</v>
      </c>
      <c r="U16" s="350" t="s">
        <v>678</v>
      </c>
      <c r="V16" s="350" t="s">
        <v>679</v>
      </c>
      <c r="W16" s="17" t="s">
        <v>145</v>
      </c>
      <c r="X16" s="350" t="s">
        <v>309</v>
      </c>
      <c r="Y16" s="347">
        <v>45078</v>
      </c>
      <c r="Z16" s="171" t="s">
        <v>1875</v>
      </c>
      <c r="AA16" s="171"/>
      <c r="AB16" s="17" t="s">
        <v>139</v>
      </c>
      <c r="AC16" s="17" t="s">
        <v>1875</v>
      </c>
      <c r="AD16" s="17" t="s">
        <v>1805</v>
      </c>
      <c r="AE16" s="17" t="s">
        <v>1805</v>
      </c>
      <c r="AF16" s="171"/>
      <c r="AG16" s="171"/>
      <c r="AH16" s="17"/>
      <c r="AI16" s="17"/>
      <c r="AJ16" s="17" t="s">
        <v>2191</v>
      </c>
      <c r="AK16" s="17"/>
      <c r="AL16" s="17" t="s">
        <v>2190</v>
      </c>
      <c r="AM16" s="17" t="s">
        <v>1975</v>
      </c>
      <c r="AN16" s="17" t="b">
        <v>0</v>
      </c>
      <c r="AO16" s="341"/>
      <c r="AP16" s="142"/>
      <c r="AQ16" s="142"/>
      <c r="AR16" s="142"/>
      <c r="AS16" s="142"/>
      <c r="AT16" s="342"/>
      <c r="AU16" s="17"/>
      <c r="AV16" s="341"/>
      <c r="AW16" s="17"/>
      <c r="AX16" s="17"/>
      <c r="AY16" s="17"/>
      <c r="AZ16" s="17"/>
      <c r="BA16" s="17" t="s">
        <v>373</v>
      </c>
      <c r="BB16" s="17" t="s">
        <v>1610</v>
      </c>
      <c r="BC16" s="17" t="s">
        <v>2192</v>
      </c>
      <c r="BD16" s="283"/>
      <c r="BE16" s="283"/>
      <c r="BF16" s="283"/>
      <c r="BG16" s="283"/>
    </row>
    <row r="17" spans="1:59" s="282" customFormat="1" ht="45" customHeight="1">
      <c r="A17" s="271">
        <f t="shared" si="0"/>
        <v>16</v>
      </c>
      <c r="B17" s="343" t="s">
        <v>2236</v>
      </c>
      <c r="C17" s="348" t="s">
        <v>2237</v>
      </c>
      <c r="D17" s="345" t="s">
        <v>8</v>
      </c>
      <c r="E17" s="345" t="s">
        <v>9</v>
      </c>
      <c r="F17" s="37" t="s">
        <v>1753</v>
      </c>
      <c r="G17" s="337">
        <v>44489</v>
      </c>
      <c r="H17" s="337"/>
      <c r="I17" s="337"/>
      <c r="J17" s="345"/>
      <c r="K17" s="337"/>
      <c r="L17" s="215"/>
      <c r="M17" s="345"/>
      <c r="N17" s="345" t="s">
        <v>122</v>
      </c>
      <c r="O17" s="345"/>
      <c r="P17" s="349" t="s">
        <v>1554</v>
      </c>
      <c r="Q17" s="349" t="s">
        <v>2198</v>
      </c>
      <c r="R17" s="339">
        <v>44571.498113425929</v>
      </c>
      <c r="S17" s="215">
        <v>2021</v>
      </c>
      <c r="T17" s="215" t="s">
        <v>2001</v>
      </c>
      <c r="U17" s="350" t="s">
        <v>678</v>
      </c>
      <c r="V17" s="350" t="s">
        <v>679</v>
      </c>
      <c r="W17" s="17" t="s">
        <v>145</v>
      </c>
      <c r="X17" s="350" t="s">
        <v>309</v>
      </c>
      <c r="Y17" s="347">
        <v>45078</v>
      </c>
      <c r="Z17" s="171" t="s">
        <v>1875</v>
      </c>
      <c r="AA17" s="171"/>
      <c r="AB17" s="17" t="s">
        <v>139</v>
      </c>
      <c r="AC17" s="17" t="s">
        <v>1875</v>
      </c>
      <c r="AD17" s="17" t="s">
        <v>1805</v>
      </c>
      <c r="AE17" s="17" t="s">
        <v>1805</v>
      </c>
      <c r="AF17" s="171"/>
      <c r="AG17" s="171"/>
      <c r="AH17" s="17"/>
      <c r="AI17" s="17"/>
      <c r="AJ17" s="17" t="s">
        <v>2191</v>
      </c>
      <c r="AK17" s="17"/>
      <c r="AL17" s="17" t="s">
        <v>2190</v>
      </c>
      <c r="AM17" s="17" t="s">
        <v>1975</v>
      </c>
      <c r="AN17" s="17" t="b">
        <v>0</v>
      </c>
      <c r="AO17" s="341"/>
      <c r="AP17" s="142"/>
      <c r="AQ17" s="142"/>
      <c r="AR17" s="142"/>
      <c r="AS17" s="142"/>
      <c r="AT17" s="342"/>
      <c r="AU17" s="17"/>
      <c r="AV17" s="341"/>
      <c r="AW17" s="17"/>
      <c r="AX17" s="17"/>
      <c r="AY17" s="17"/>
      <c r="AZ17" s="17"/>
      <c r="BA17" s="17" t="s">
        <v>373</v>
      </c>
      <c r="BB17" s="17" t="s">
        <v>1610</v>
      </c>
      <c r="BC17" s="17" t="s">
        <v>2192</v>
      </c>
      <c r="BD17" s="283"/>
      <c r="BE17" s="283"/>
      <c r="BF17" s="283"/>
      <c r="BG17" s="283"/>
    </row>
    <row r="18" spans="1:59" ht="45" customHeight="1">
      <c r="A18" s="271">
        <f t="shared" si="0"/>
        <v>17</v>
      </c>
      <c r="B18" s="343" t="s">
        <v>2196</v>
      </c>
      <c r="C18" s="348" t="s">
        <v>2244</v>
      </c>
      <c r="D18" s="345" t="s">
        <v>8</v>
      </c>
      <c r="E18" s="345" t="s">
        <v>9</v>
      </c>
      <c r="F18" s="37" t="s">
        <v>1753</v>
      </c>
      <c r="G18" s="337">
        <v>44516</v>
      </c>
      <c r="H18" s="337"/>
      <c r="I18" s="337"/>
      <c r="J18" s="351"/>
      <c r="K18" s="337"/>
      <c r="L18" s="215"/>
      <c r="M18" s="345"/>
      <c r="N18" s="345" t="s">
        <v>122</v>
      </c>
      <c r="O18" s="345"/>
      <c r="P18" s="345" t="s">
        <v>1554</v>
      </c>
      <c r="Q18" s="345" t="s">
        <v>2198</v>
      </c>
      <c r="R18" s="339">
        <v>44571.502129629633</v>
      </c>
      <c r="S18" s="215">
        <v>2021</v>
      </c>
      <c r="T18" s="215" t="s">
        <v>2001</v>
      </c>
      <c r="U18" s="346" t="s">
        <v>678</v>
      </c>
      <c r="V18" s="346" t="s">
        <v>679</v>
      </c>
      <c r="W18" s="17" t="s">
        <v>145</v>
      </c>
      <c r="X18" s="346" t="s">
        <v>309</v>
      </c>
      <c r="Y18" s="347">
        <v>45078</v>
      </c>
      <c r="Z18" s="171" t="s">
        <v>1875</v>
      </c>
      <c r="AA18" s="17"/>
      <c r="AB18" s="17" t="s">
        <v>139</v>
      </c>
      <c r="AC18" s="17" t="s">
        <v>1875</v>
      </c>
      <c r="AD18" s="17" t="s">
        <v>1805</v>
      </c>
      <c r="AE18" s="17" t="s">
        <v>1805</v>
      </c>
      <c r="AF18" s="171"/>
      <c r="AG18" s="171"/>
      <c r="AH18" s="17"/>
      <c r="AI18" s="17"/>
      <c r="AJ18" s="17" t="s">
        <v>2191</v>
      </c>
      <c r="AK18" s="17"/>
      <c r="AL18" s="17" t="s">
        <v>2190</v>
      </c>
      <c r="AM18" s="17" t="s">
        <v>1975</v>
      </c>
      <c r="AN18" s="17" t="b">
        <v>0</v>
      </c>
      <c r="AO18" s="341"/>
      <c r="AP18" s="142"/>
      <c r="AQ18" s="142"/>
      <c r="AR18" s="142"/>
      <c r="AS18" s="142"/>
      <c r="AT18" s="342"/>
      <c r="AU18" s="17"/>
      <c r="AV18" s="341"/>
      <c r="AW18" s="17"/>
      <c r="AX18" s="17"/>
      <c r="AY18" s="17"/>
      <c r="AZ18" s="17"/>
      <c r="BA18" s="17" t="s">
        <v>373</v>
      </c>
      <c r="BB18" s="17" t="s">
        <v>1610</v>
      </c>
      <c r="BC18" s="17" t="s">
        <v>2192</v>
      </c>
      <c r="BD18" s="280"/>
      <c r="BE18" s="280"/>
      <c r="BF18" s="280"/>
      <c r="BG18" s="280"/>
    </row>
    <row r="19" spans="1:59" ht="45" customHeight="1">
      <c r="A19" s="271">
        <f t="shared" si="0"/>
        <v>18</v>
      </c>
      <c r="B19" s="343" t="s">
        <v>2245</v>
      </c>
      <c r="C19" s="348" t="s">
        <v>2246</v>
      </c>
      <c r="D19" s="345" t="s">
        <v>8</v>
      </c>
      <c r="E19" s="345" t="s">
        <v>9</v>
      </c>
      <c r="F19" s="37" t="s">
        <v>1753</v>
      </c>
      <c r="G19" s="337">
        <v>44566</v>
      </c>
      <c r="H19" s="337"/>
      <c r="I19" s="337"/>
      <c r="J19" s="345"/>
      <c r="K19" s="337"/>
      <c r="L19" s="215"/>
      <c r="M19" s="345"/>
      <c r="N19" s="345" t="s">
        <v>122</v>
      </c>
      <c r="O19" s="345"/>
      <c r="P19" s="349" t="s">
        <v>1554</v>
      </c>
      <c r="Q19" s="349" t="s">
        <v>2198</v>
      </c>
      <c r="R19" s="339">
        <v>44571.505902777775</v>
      </c>
      <c r="S19" s="215">
        <v>2022</v>
      </c>
      <c r="T19" s="215" t="s">
        <v>2001</v>
      </c>
      <c r="U19" s="350" t="s">
        <v>678</v>
      </c>
      <c r="V19" s="350" t="s">
        <v>679</v>
      </c>
      <c r="W19" s="17" t="s">
        <v>145</v>
      </c>
      <c r="X19" s="350" t="s">
        <v>309</v>
      </c>
      <c r="Y19" s="347">
        <v>45078</v>
      </c>
      <c r="Z19" s="171" t="s">
        <v>1875</v>
      </c>
      <c r="AA19" s="171"/>
      <c r="AB19" s="17" t="s">
        <v>139</v>
      </c>
      <c r="AC19" s="17" t="s">
        <v>1875</v>
      </c>
      <c r="AD19" s="17" t="s">
        <v>1805</v>
      </c>
      <c r="AE19" s="17" t="s">
        <v>1805</v>
      </c>
      <c r="AF19" s="171"/>
      <c r="AG19" s="171"/>
      <c r="AH19" s="17"/>
      <c r="AI19" s="17"/>
      <c r="AJ19" s="17" t="s">
        <v>2191</v>
      </c>
      <c r="AK19" s="17"/>
      <c r="AL19" s="17" t="s">
        <v>2190</v>
      </c>
      <c r="AM19" s="17" t="s">
        <v>1975</v>
      </c>
      <c r="AN19" s="17" t="b">
        <v>0</v>
      </c>
      <c r="AO19" s="341"/>
      <c r="AP19" s="142"/>
      <c r="AQ19" s="142"/>
      <c r="AR19" s="142"/>
      <c r="AS19" s="142"/>
      <c r="AT19" s="342"/>
      <c r="AU19" s="17"/>
      <c r="AV19" s="341"/>
      <c r="AW19" s="17"/>
      <c r="AX19" s="17"/>
      <c r="AY19" s="17"/>
      <c r="AZ19" s="17"/>
      <c r="BA19" s="17" t="s">
        <v>373</v>
      </c>
      <c r="BB19" s="17" t="s">
        <v>1610</v>
      </c>
      <c r="BC19" s="17" t="s">
        <v>2192</v>
      </c>
      <c r="BD19" s="280"/>
      <c r="BE19" s="280"/>
      <c r="BF19" s="280"/>
      <c r="BG19" s="280"/>
    </row>
    <row r="20" spans="1:59" ht="45" customHeight="1">
      <c r="A20" s="271">
        <f t="shared" si="0"/>
        <v>19</v>
      </c>
      <c r="B20" s="343" t="s">
        <v>2249</v>
      </c>
      <c r="C20" s="348" t="s">
        <v>2250</v>
      </c>
      <c r="D20" s="345" t="s">
        <v>8</v>
      </c>
      <c r="E20" s="345" t="s">
        <v>9</v>
      </c>
      <c r="F20" s="37" t="s">
        <v>1753</v>
      </c>
      <c r="G20" s="337">
        <v>44607</v>
      </c>
      <c r="H20" s="337"/>
      <c r="I20" s="337"/>
      <c r="J20" s="345"/>
      <c r="K20" s="337">
        <v>45094</v>
      </c>
      <c r="L20" s="339" t="s">
        <v>2193</v>
      </c>
      <c r="M20" s="345" t="s">
        <v>114</v>
      </c>
      <c r="N20" s="345"/>
      <c r="O20" s="345"/>
      <c r="P20" s="349" t="s">
        <v>1554</v>
      </c>
      <c r="Q20" s="349" t="s">
        <v>2198</v>
      </c>
      <c r="R20" s="339">
        <v>44992.548634259256</v>
      </c>
      <c r="S20" s="215">
        <v>2022</v>
      </c>
      <c r="T20" s="349" t="s">
        <v>2194</v>
      </c>
      <c r="U20" s="350" t="s">
        <v>678</v>
      </c>
      <c r="V20" s="350" t="s">
        <v>679</v>
      </c>
      <c r="W20" s="350" t="s">
        <v>145</v>
      </c>
      <c r="X20" s="350" t="s">
        <v>309</v>
      </c>
      <c r="Y20" s="347">
        <v>45078</v>
      </c>
      <c r="Z20" s="171" t="s">
        <v>1875</v>
      </c>
      <c r="AA20" s="171"/>
      <c r="AB20" s="17" t="s">
        <v>139</v>
      </c>
      <c r="AC20" s="17" t="s">
        <v>1875</v>
      </c>
      <c r="AD20" s="17">
        <v>900</v>
      </c>
      <c r="AE20" s="17">
        <v>900</v>
      </c>
      <c r="AF20" s="171"/>
      <c r="AG20" s="171"/>
      <c r="AH20" s="17"/>
      <c r="AI20" s="17"/>
      <c r="AJ20" s="17" t="s">
        <v>2191</v>
      </c>
      <c r="AK20" s="17"/>
      <c r="AL20" s="17" t="s">
        <v>2190</v>
      </c>
      <c r="AM20" s="17" t="s">
        <v>1975</v>
      </c>
      <c r="AN20" s="17" t="b">
        <v>0</v>
      </c>
      <c r="AO20" s="341"/>
      <c r="AP20" s="142"/>
      <c r="AQ20" s="142"/>
      <c r="AR20" s="142"/>
      <c r="AS20" s="142"/>
      <c r="AT20" s="342"/>
      <c r="AU20" s="17"/>
      <c r="AV20" s="341"/>
      <c r="AW20" s="17"/>
      <c r="AX20" s="17"/>
      <c r="AY20" s="17"/>
      <c r="AZ20" s="17"/>
      <c r="BA20" s="17" t="s">
        <v>373</v>
      </c>
      <c r="BB20" s="17" t="s">
        <v>139</v>
      </c>
      <c r="BC20" s="17" t="s">
        <v>2192</v>
      </c>
      <c r="BD20" s="280"/>
      <c r="BE20" s="280"/>
      <c r="BF20" s="280"/>
      <c r="BG20" s="280"/>
    </row>
    <row r="21" spans="1:59" ht="45" customHeight="1">
      <c r="A21" s="271">
        <f t="shared" si="0"/>
        <v>20</v>
      </c>
      <c r="B21" s="343" t="s">
        <v>2251</v>
      </c>
      <c r="C21" s="348" t="s">
        <v>2252</v>
      </c>
      <c r="D21" s="345" t="s">
        <v>8</v>
      </c>
      <c r="E21" s="345" t="s">
        <v>9</v>
      </c>
      <c r="F21" s="37" t="s">
        <v>1753</v>
      </c>
      <c r="G21" s="337">
        <v>44629</v>
      </c>
      <c r="H21" s="337"/>
      <c r="I21" s="337"/>
      <c r="J21" s="345"/>
      <c r="K21" s="337"/>
      <c r="L21" s="215"/>
      <c r="M21" s="345"/>
      <c r="N21" s="345" t="s">
        <v>122</v>
      </c>
      <c r="O21" s="345"/>
      <c r="P21" s="349" t="s">
        <v>1554</v>
      </c>
      <c r="Q21" s="349" t="s">
        <v>2198</v>
      </c>
      <c r="R21" s="339">
        <v>44571.513912037037</v>
      </c>
      <c r="S21" s="215">
        <v>2022</v>
      </c>
      <c r="T21" s="215" t="s">
        <v>2001</v>
      </c>
      <c r="U21" s="350" t="s">
        <v>678</v>
      </c>
      <c r="V21" s="350" t="s">
        <v>679</v>
      </c>
      <c r="W21" s="17" t="s">
        <v>145</v>
      </c>
      <c r="X21" s="350" t="s">
        <v>309</v>
      </c>
      <c r="Y21" s="347">
        <v>45078</v>
      </c>
      <c r="Z21" s="171" t="s">
        <v>1875</v>
      </c>
      <c r="AA21" s="171"/>
      <c r="AB21" s="17" t="s">
        <v>139</v>
      </c>
      <c r="AC21" s="17" t="s">
        <v>1875</v>
      </c>
      <c r="AD21" s="17" t="s">
        <v>1805</v>
      </c>
      <c r="AE21" s="17" t="s">
        <v>1805</v>
      </c>
      <c r="AF21" s="171"/>
      <c r="AG21" s="171"/>
      <c r="AH21" s="17"/>
      <c r="AI21" s="17"/>
      <c r="AJ21" s="17" t="s">
        <v>2191</v>
      </c>
      <c r="AK21" s="17"/>
      <c r="AL21" s="17" t="s">
        <v>2190</v>
      </c>
      <c r="AM21" s="17" t="s">
        <v>1975</v>
      </c>
      <c r="AN21" s="17" t="b">
        <v>0</v>
      </c>
      <c r="AO21" s="341"/>
      <c r="AP21" s="142"/>
      <c r="AQ21" s="142"/>
      <c r="AR21" s="142"/>
      <c r="AS21" s="142"/>
      <c r="AT21" s="342"/>
      <c r="AU21" s="17"/>
      <c r="AV21" s="341"/>
      <c r="AW21" s="17"/>
      <c r="AX21" s="17"/>
      <c r="AY21" s="17"/>
      <c r="AZ21" s="17"/>
      <c r="BA21" s="17" t="s">
        <v>373</v>
      </c>
      <c r="BB21" s="17" t="s">
        <v>1610</v>
      </c>
      <c r="BC21" s="17" t="s">
        <v>2192</v>
      </c>
      <c r="BD21" s="280"/>
      <c r="BE21" s="280"/>
      <c r="BF21" s="280"/>
      <c r="BG21" s="280"/>
    </row>
    <row r="22" spans="1:59" ht="45" customHeight="1">
      <c r="A22" s="271">
        <f t="shared" si="0"/>
        <v>21</v>
      </c>
      <c r="B22" s="343" t="s">
        <v>2222</v>
      </c>
      <c r="C22" s="348" t="s">
        <v>2257</v>
      </c>
      <c r="D22" s="345" t="s">
        <v>8</v>
      </c>
      <c r="E22" s="345" t="s">
        <v>9</v>
      </c>
      <c r="F22" s="37" t="s">
        <v>1753</v>
      </c>
      <c r="G22" s="337">
        <v>44713</v>
      </c>
      <c r="H22" s="337"/>
      <c r="I22" s="337"/>
      <c r="J22" s="345"/>
      <c r="K22" s="337"/>
      <c r="L22" s="215"/>
      <c r="M22" s="345"/>
      <c r="N22" s="345" t="s">
        <v>122</v>
      </c>
      <c r="O22" s="345"/>
      <c r="P22" s="349" t="s">
        <v>1554</v>
      </c>
      <c r="Q22" s="349" t="s">
        <v>2198</v>
      </c>
      <c r="R22" s="339">
        <v>44571.5156712963</v>
      </c>
      <c r="S22" s="215">
        <v>2022</v>
      </c>
      <c r="T22" s="215" t="s">
        <v>2001</v>
      </c>
      <c r="U22" s="350" t="s">
        <v>678</v>
      </c>
      <c r="V22" s="350" t="s">
        <v>679</v>
      </c>
      <c r="W22" s="17" t="s">
        <v>145</v>
      </c>
      <c r="X22" s="350" t="s">
        <v>309</v>
      </c>
      <c r="Y22" s="347">
        <v>45078</v>
      </c>
      <c r="Z22" s="171" t="s">
        <v>1875</v>
      </c>
      <c r="AA22" s="171"/>
      <c r="AB22" s="17" t="s">
        <v>139</v>
      </c>
      <c r="AC22" s="17" t="s">
        <v>1875</v>
      </c>
      <c r="AD22" s="17" t="s">
        <v>1805</v>
      </c>
      <c r="AE22" s="17" t="s">
        <v>1805</v>
      </c>
      <c r="AF22" s="171"/>
      <c r="AG22" s="171"/>
      <c r="AH22" s="17"/>
      <c r="AI22" s="17"/>
      <c r="AJ22" s="17" t="s">
        <v>2191</v>
      </c>
      <c r="AK22" s="17"/>
      <c r="AL22" s="17" t="s">
        <v>2190</v>
      </c>
      <c r="AM22" s="17" t="s">
        <v>1975</v>
      </c>
      <c r="AN22" s="17" t="b">
        <v>0</v>
      </c>
      <c r="AO22" s="341"/>
      <c r="AP22" s="142"/>
      <c r="AQ22" s="142"/>
      <c r="AR22" s="142"/>
      <c r="AS22" s="142"/>
      <c r="AT22" s="342"/>
      <c r="AU22" s="17"/>
      <c r="AV22" s="341"/>
      <c r="AW22" s="17"/>
      <c r="AX22" s="17"/>
      <c r="AY22" s="17"/>
      <c r="AZ22" s="17"/>
      <c r="BA22" s="17" t="s">
        <v>373</v>
      </c>
      <c r="BB22" s="17" t="s">
        <v>1610</v>
      </c>
      <c r="BC22" s="17" t="s">
        <v>2192</v>
      </c>
      <c r="BD22" s="280"/>
      <c r="BE22" s="280"/>
      <c r="BF22" s="280"/>
      <c r="BG22" s="280"/>
    </row>
    <row r="23" spans="1:59" ht="45" customHeight="1">
      <c r="A23" s="271">
        <f t="shared" si="0"/>
        <v>22</v>
      </c>
      <c r="B23" s="343" t="s">
        <v>2258</v>
      </c>
      <c r="C23" s="344" t="s">
        <v>2259</v>
      </c>
      <c r="D23" s="345" t="s">
        <v>8</v>
      </c>
      <c r="E23" s="345" t="s">
        <v>9</v>
      </c>
      <c r="F23" s="37" t="s">
        <v>1753</v>
      </c>
      <c r="G23" s="337">
        <v>44734</v>
      </c>
      <c r="H23" s="337"/>
      <c r="I23" s="337"/>
      <c r="J23" s="345"/>
      <c r="K23" s="337"/>
      <c r="L23" s="345"/>
      <c r="M23" s="345"/>
      <c r="N23" s="345" t="s">
        <v>122</v>
      </c>
      <c r="O23" s="345"/>
      <c r="P23" s="345" t="s">
        <v>1554</v>
      </c>
      <c r="Q23" s="345" t="s">
        <v>2198</v>
      </c>
      <c r="R23" s="339">
        <v>44571.516180555554</v>
      </c>
      <c r="S23" s="215">
        <v>2022</v>
      </c>
      <c r="T23" s="345" t="s">
        <v>2001</v>
      </c>
      <c r="U23" s="346" t="s">
        <v>678</v>
      </c>
      <c r="V23" s="346" t="s">
        <v>679</v>
      </c>
      <c r="W23" s="346" t="s">
        <v>145</v>
      </c>
      <c r="X23" s="346" t="s">
        <v>309</v>
      </c>
      <c r="Y23" s="347">
        <v>45078</v>
      </c>
      <c r="Z23" s="17" t="s">
        <v>1875</v>
      </c>
      <c r="AA23" s="17"/>
      <c r="AB23" s="17" t="s">
        <v>139</v>
      </c>
      <c r="AC23" s="17" t="s">
        <v>1875</v>
      </c>
      <c r="AD23" s="17" t="s">
        <v>1805</v>
      </c>
      <c r="AE23" s="17" t="s">
        <v>1805</v>
      </c>
      <c r="AF23" s="17"/>
      <c r="AG23" s="17"/>
      <c r="AH23" s="17"/>
      <c r="AI23" s="17"/>
      <c r="AJ23" s="17" t="s">
        <v>2191</v>
      </c>
      <c r="AK23" s="17"/>
      <c r="AL23" s="17" t="s">
        <v>2190</v>
      </c>
      <c r="AM23" s="17" t="s">
        <v>1975</v>
      </c>
      <c r="AN23" s="17" t="b">
        <v>0</v>
      </c>
      <c r="AO23" s="341"/>
      <c r="AP23" s="142"/>
      <c r="AQ23" s="142"/>
      <c r="AR23" s="142"/>
      <c r="AS23" s="142"/>
      <c r="AT23" s="342"/>
      <c r="AU23" s="17"/>
      <c r="AV23" s="341"/>
      <c r="AW23" s="17"/>
      <c r="AX23" s="17"/>
      <c r="AY23" s="17"/>
      <c r="AZ23" s="17"/>
      <c r="BA23" s="17" t="s">
        <v>373</v>
      </c>
      <c r="BB23" s="17" t="s">
        <v>1610</v>
      </c>
      <c r="BC23" s="17" t="s">
        <v>2192</v>
      </c>
      <c r="BD23" s="280"/>
      <c r="BE23" s="280"/>
      <c r="BF23" s="280"/>
      <c r="BG23" s="280"/>
    </row>
    <row r="24" spans="1:59" ht="45" customHeight="1">
      <c r="A24" s="271">
        <f t="shared" si="0"/>
        <v>23</v>
      </c>
      <c r="B24" s="343" t="s">
        <v>2199</v>
      </c>
      <c r="C24" s="348" t="s">
        <v>2260</v>
      </c>
      <c r="D24" s="345" t="s">
        <v>8</v>
      </c>
      <c r="E24" s="345" t="s">
        <v>9</v>
      </c>
      <c r="F24" s="37" t="s">
        <v>1753</v>
      </c>
      <c r="G24" s="337">
        <v>44739</v>
      </c>
      <c r="H24" s="337"/>
      <c r="I24" s="337"/>
      <c r="J24" s="345"/>
      <c r="K24" s="337"/>
      <c r="L24" s="215"/>
      <c r="M24" s="345"/>
      <c r="N24" s="345" t="s">
        <v>122</v>
      </c>
      <c r="O24" s="345"/>
      <c r="P24" s="349" t="s">
        <v>1554</v>
      </c>
      <c r="Q24" s="349" t="s">
        <v>2198</v>
      </c>
      <c r="R24" s="339">
        <v>44571.516643518517</v>
      </c>
      <c r="S24" s="215">
        <v>2022</v>
      </c>
      <c r="T24" s="215" t="s">
        <v>2001</v>
      </c>
      <c r="U24" s="350" t="s">
        <v>678</v>
      </c>
      <c r="V24" s="350" t="s">
        <v>679</v>
      </c>
      <c r="W24" s="17" t="s">
        <v>145</v>
      </c>
      <c r="X24" s="350" t="s">
        <v>309</v>
      </c>
      <c r="Y24" s="347">
        <v>45078</v>
      </c>
      <c r="Z24" s="171" t="s">
        <v>1875</v>
      </c>
      <c r="AA24" s="171"/>
      <c r="AB24" s="17" t="s">
        <v>139</v>
      </c>
      <c r="AC24" s="17" t="s">
        <v>1875</v>
      </c>
      <c r="AD24" s="17" t="s">
        <v>1805</v>
      </c>
      <c r="AE24" s="17" t="s">
        <v>1805</v>
      </c>
      <c r="AF24" s="171"/>
      <c r="AG24" s="171"/>
      <c r="AH24" s="17"/>
      <c r="AI24" s="17"/>
      <c r="AJ24" s="17" t="s">
        <v>2191</v>
      </c>
      <c r="AK24" s="17"/>
      <c r="AL24" s="17" t="s">
        <v>2190</v>
      </c>
      <c r="AM24" s="17" t="s">
        <v>1975</v>
      </c>
      <c r="AN24" s="17" t="b">
        <v>0</v>
      </c>
      <c r="AO24" s="341"/>
      <c r="AP24" s="142"/>
      <c r="AQ24" s="142"/>
      <c r="AR24" s="142"/>
      <c r="AS24" s="142"/>
      <c r="AT24" s="342"/>
      <c r="AU24" s="17"/>
      <c r="AV24" s="341"/>
      <c r="AW24" s="17"/>
      <c r="AX24" s="17"/>
      <c r="AY24" s="17"/>
      <c r="AZ24" s="17"/>
      <c r="BA24" s="17" t="s">
        <v>373</v>
      </c>
      <c r="BB24" s="17" t="s">
        <v>1610</v>
      </c>
      <c r="BC24" s="17" t="s">
        <v>2192</v>
      </c>
      <c r="BD24" s="280"/>
      <c r="BE24" s="280"/>
      <c r="BF24" s="280"/>
      <c r="BG24" s="280"/>
    </row>
    <row r="25" spans="1:59" ht="45" customHeight="1">
      <c r="A25" s="271">
        <f t="shared" si="0"/>
        <v>24</v>
      </c>
      <c r="B25" s="343" t="s">
        <v>2201</v>
      </c>
      <c r="C25" s="344" t="s">
        <v>2261</v>
      </c>
      <c r="D25" s="345" t="s">
        <v>8</v>
      </c>
      <c r="E25" s="345" t="s">
        <v>9</v>
      </c>
      <c r="F25" s="37" t="s">
        <v>1753</v>
      </c>
      <c r="G25" s="337">
        <v>44746</v>
      </c>
      <c r="H25" s="337"/>
      <c r="I25" s="337"/>
      <c r="J25" s="345"/>
      <c r="K25" s="337"/>
      <c r="L25" s="345"/>
      <c r="M25" s="345"/>
      <c r="N25" s="345" t="s">
        <v>122</v>
      </c>
      <c r="O25" s="345"/>
      <c r="P25" s="345" t="s">
        <v>1554</v>
      </c>
      <c r="Q25" s="345" t="s">
        <v>2198</v>
      </c>
      <c r="R25" s="339">
        <v>44571.517175925925</v>
      </c>
      <c r="S25" s="215">
        <v>2022</v>
      </c>
      <c r="T25" s="345" t="s">
        <v>2001</v>
      </c>
      <c r="U25" s="346" t="s">
        <v>678</v>
      </c>
      <c r="V25" s="346" t="s">
        <v>679</v>
      </c>
      <c r="W25" s="346" t="s">
        <v>145</v>
      </c>
      <c r="X25" s="346" t="s">
        <v>309</v>
      </c>
      <c r="Y25" s="347">
        <v>45078</v>
      </c>
      <c r="Z25" s="17" t="s">
        <v>1875</v>
      </c>
      <c r="AA25" s="17"/>
      <c r="AB25" s="17" t="s">
        <v>139</v>
      </c>
      <c r="AC25" s="17" t="s">
        <v>1875</v>
      </c>
      <c r="AD25" s="17" t="s">
        <v>1805</v>
      </c>
      <c r="AE25" s="17" t="s">
        <v>1805</v>
      </c>
      <c r="AF25" s="17"/>
      <c r="AG25" s="17"/>
      <c r="AH25" s="17"/>
      <c r="AI25" s="17"/>
      <c r="AJ25" s="17" t="s">
        <v>2191</v>
      </c>
      <c r="AK25" s="17"/>
      <c r="AL25" s="17" t="s">
        <v>2190</v>
      </c>
      <c r="AM25" s="17" t="s">
        <v>1975</v>
      </c>
      <c r="AN25" s="17" t="b">
        <v>0</v>
      </c>
      <c r="AO25" s="341"/>
      <c r="AP25" s="142"/>
      <c r="AQ25" s="142"/>
      <c r="AR25" s="142"/>
      <c r="AS25" s="142"/>
      <c r="AT25" s="342"/>
      <c r="AU25" s="17"/>
      <c r="AV25" s="341"/>
      <c r="AW25" s="17"/>
      <c r="AX25" s="17"/>
      <c r="AY25" s="17"/>
      <c r="AZ25" s="17"/>
      <c r="BA25" s="17" t="s">
        <v>373</v>
      </c>
      <c r="BB25" s="17" t="s">
        <v>1610</v>
      </c>
      <c r="BC25" s="17" t="s">
        <v>2192</v>
      </c>
      <c r="BD25" s="280"/>
      <c r="BE25" s="280"/>
      <c r="BF25" s="280"/>
      <c r="BG25" s="280"/>
    </row>
    <row r="26" spans="1:59" ht="45" customHeight="1">
      <c r="A26" s="271">
        <f t="shared" si="0"/>
        <v>25</v>
      </c>
      <c r="B26" s="343" t="s">
        <v>2203</v>
      </c>
      <c r="C26" s="348" t="s">
        <v>2262</v>
      </c>
      <c r="D26" s="345" t="s">
        <v>8</v>
      </c>
      <c r="E26" s="345" t="s">
        <v>9</v>
      </c>
      <c r="F26" s="37" t="s">
        <v>1753</v>
      </c>
      <c r="G26" s="337">
        <v>44746</v>
      </c>
      <c r="H26" s="337"/>
      <c r="I26" s="337"/>
      <c r="J26" s="345"/>
      <c r="K26" s="337"/>
      <c r="L26" s="215"/>
      <c r="M26" s="345"/>
      <c r="N26" s="345" t="s">
        <v>123</v>
      </c>
      <c r="O26" s="345"/>
      <c r="P26" s="349" t="s">
        <v>1554</v>
      </c>
      <c r="Q26" s="349" t="s">
        <v>2198</v>
      </c>
      <c r="R26" s="339">
        <v>44571.51761574074</v>
      </c>
      <c r="S26" s="215">
        <v>2022</v>
      </c>
      <c r="T26" s="215" t="s">
        <v>2001</v>
      </c>
      <c r="U26" s="350" t="s">
        <v>678</v>
      </c>
      <c r="V26" s="350" t="s">
        <v>679</v>
      </c>
      <c r="W26" s="17" t="s">
        <v>145</v>
      </c>
      <c r="X26" s="350" t="s">
        <v>309</v>
      </c>
      <c r="Y26" s="347">
        <v>45078</v>
      </c>
      <c r="Z26" s="171" t="s">
        <v>1875</v>
      </c>
      <c r="AA26" s="171"/>
      <c r="AB26" s="17" t="s">
        <v>139</v>
      </c>
      <c r="AC26" s="17" t="s">
        <v>1875</v>
      </c>
      <c r="AD26" s="17" t="s">
        <v>1805</v>
      </c>
      <c r="AE26" s="17" t="s">
        <v>1805</v>
      </c>
      <c r="AF26" s="171"/>
      <c r="AG26" s="171"/>
      <c r="AH26" s="17"/>
      <c r="AI26" s="17"/>
      <c r="AJ26" s="17" t="s">
        <v>2191</v>
      </c>
      <c r="AK26" s="17"/>
      <c r="AL26" s="17" t="s">
        <v>2190</v>
      </c>
      <c r="AM26" s="17" t="s">
        <v>1975</v>
      </c>
      <c r="AN26" s="17" t="b">
        <v>0</v>
      </c>
      <c r="AO26" s="341"/>
      <c r="AP26" s="142"/>
      <c r="AQ26" s="142"/>
      <c r="AR26" s="142"/>
      <c r="AS26" s="142"/>
      <c r="AT26" s="342"/>
      <c r="AU26" s="17"/>
      <c r="AV26" s="341"/>
      <c r="AW26" s="17"/>
      <c r="AX26" s="17"/>
      <c r="AY26" s="17"/>
      <c r="AZ26" s="17"/>
      <c r="BA26" s="17" t="s">
        <v>373</v>
      </c>
      <c r="BB26" s="17" t="s">
        <v>1610</v>
      </c>
      <c r="BC26" s="17" t="s">
        <v>2192</v>
      </c>
      <c r="BD26" s="280"/>
      <c r="BE26" s="280"/>
      <c r="BF26" s="280"/>
      <c r="BG26" s="280"/>
    </row>
    <row r="27" spans="1:59" ht="45" customHeight="1">
      <c r="A27" s="271">
        <f t="shared" si="0"/>
        <v>26</v>
      </c>
      <c r="B27" s="343" t="s">
        <v>2263</v>
      </c>
      <c r="C27" s="348" t="s">
        <v>2264</v>
      </c>
      <c r="D27" s="345" t="s">
        <v>8</v>
      </c>
      <c r="E27" s="345" t="s">
        <v>9</v>
      </c>
      <c r="F27" s="37" t="s">
        <v>1753</v>
      </c>
      <c r="G27" s="337">
        <v>44746</v>
      </c>
      <c r="H27" s="337"/>
      <c r="I27" s="337"/>
      <c r="J27" s="351"/>
      <c r="K27" s="337"/>
      <c r="L27" s="215"/>
      <c r="M27" s="345"/>
      <c r="N27" s="345" t="s">
        <v>122</v>
      </c>
      <c r="O27" s="345"/>
      <c r="P27" s="345" t="s">
        <v>1554</v>
      </c>
      <c r="Q27" s="345" t="s">
        <v>2198</v>
      </c>
      <c r="R27" s="339">
        <v>44571.51803240741</v>
      </c>
      <c r="S27" s="215">
        <v>2022</v>
      </c>
      <c r="T27" s="215" t="s">
        <v>2001</v>
      </c>
      <c r="U27" s="346" t="s">
        <v>678</v>
      </c>
      <c r="V27" s="346" t="s">
        <v>679</v>
      </c>
      <c r="W27" s="17" t="s">
        <v>145</v>
      </c>
      <c r="X27" s="346" t="s">
        <v>309</v>
      </c>
      <c r="Y27" s="347">
        <v>45078</v>
      </c>
      <c r="Z27" s="171" t="s">
        <v>1875</v>
      </c>
      <c r="AA27" s="17"/>
      <c r="AB27" s="17" t="s">
        <v>139</v>
      </c>
      <c r="AC27" s="17" t="s">
        <v>1875</v>
      </c>
      <c r="AD27" s="17" t="s">
        <v>1805</v>
      </c>
      <c r="AE27" s="17" t="s">
        <v>1805</v>
      </c>
      <c r="AF27" s="171"/>
      <c r="AG27" s="171"/>
      <c r="AH27" s="17"/>
      <c r="AI27" s="17"/>
      <c r="AJ27" s="17" t="s">
        <v>2191</v>
      </c>
      <c r="AK27" s="17"/>
      <c r="AL27" s="17" t="s">
        <v>2190</v>
      </c>
      <c r="AM27" s="17" t="s">
        <v>1975</v>
      </c>
      <c r="AN27" s="17" t="b">
        <v>0</v>
      </c>
      <c r="AO27" s="341"/>
      <c r="AP27" s="142"/>
      <c r="AQ27" s="142"/>
      <c r="AR27" s="142"/>
      <c r="AS27" s="142"/>
      <c r="AT27" s="342"/>
      <c r="AU27" s="17"/>
      <c r="AV27" s="341"/>
      <c r="AW27" s="17"/>
      <c r="AX27" s="17"/>
      <c r="AY27" s="17"/>
      <c r="AZ27" s="17"/>
      <c r="BA27" s="17" t="s">
        <v>373</v>
      </c>
      <c r="BB27" s="17" t="s">
        <v>1610</v>
      </c>
      <c r="BC27" s="17" t="s">
        <v>2192</v>
      </c>
      <c r="BD27" s="280"/>
      <c r="BE27" s="280"/>
      <c r="BF27" s="280"/>
      <c r="BG27" s="280"/>
    </row>
    <row r="28" spans="1:59" ht="45" customHeight="1">
      <c r="A28" s="271">
        <f t="shared" si="0"/>
        <v>27</v>
      </c>
      <c r="B28" s="343" t="s">
        <v>2227</v>
      </c>
      <c r="C28" s="348" t="s">
        <v>2265</v>
      </c>
      <c r="D28" s="345" t="s">
        <v>8</v>
      </c>
      <c r="E28" s="345" t="s">
        <v>9</v>
      </c>
      <c r="F28" s="37" t="s">
        <v>1753</v>
      </c>
      <c r="G28" s="337">
        <v>44746</v>
      </c>
      <c r="H28" s="337"/>
      <c r="I28" s="337"/>
      <c r="J28" s="345"/>
      <c r="K28" s="337"/>
      <c r="L28" s="215"/>
      <c r="M28" s="345"/>
      <c r="N28" s="345" t="s">
        <v>122</v>
      </c>
      <c r="O28" s="345"/>
      <c r="P28" s="349" t="s">
        <v>1554</v>
      </c>
      <c r="Q28" s="349" t="s">
        <v>2198</v>
      </c>
      <c r="R28" s="339">
        <v>44571.518472222226</v>
      </c>
      <c r="S28" s="215">
        <v>2022</v>
      </c>
      <c r="T28" s="215" t="s">
        <v>2001</v>
      </c>
      <c r="U28" s="350" t="s">
        <v>678</v>
      </c>
      <c r="V28" s="350" t="s">
        <v>679</v>
      </c>
      <c r="W28" s="17" t="s">
        <v>145</v>
      </c>
      <c r="X28" s="350" t="s">
        <v>309</v>
      </c>
      <c r="Y28" s="347">
        <v>45078</v>
      </c>
      <c r="Z28" s="171" t="s">
        <v>1875</v>
      </c>
      <c r="AA28" s="171"/>
      <c r="AB28" s="17" t="s">
        <v>139</v>
      </c>
      <c r="AC28" s="17" t="s">
        <v>1875</v>
      </c>
      <c r="AD28" s="17" t="s">
        <v>1805</v>
      </c>
      <c r="AE28" s="17" t="s">
        <v>1805</v>
      </c>
      <c r="AF28" s="171"/>
      <c r="AG28" s="171"/>
      <c r="AH28" s="17"/>
      <c r="AI28" s="17"/>
      <c r="AJ28" s="17" t="s">
        <v>2191</v>
      </c>
      <c r="AK28" s="17"/>
      <c r="AL28" s="17" t="s">
        <v>2190</v>
      </c>
      <c r="AM28" s="17" t="s">
        <v>1975</v>
      </c>
      <c r="AN28" s="17" t="b">
        <v>0</v>
      </c>
      <c r="AO28" s="341"/>
      <c r="AP28" s="142"/>
      <c r="AQ28" s="142"/>
      <c r="AR28" s="142"/>
      <c r="AS28" s="142"/>
      <c r="AT28" s="342"/>
      <c r="AU28" s="17"/>
      <c r="AV28" s="341"/>
      <c r="AW28" s="17"/>
      <c r="AX28" s="17"/>
      <c r="AY28" s="17"/>
      <c r="AZ28" s="17"/>
      <c r="BA28" s="17" t="s">
        <v>373</v>
      </c>
      <c r="BB28" s="17" t="s">
        <v>1610</v>
      </c>
      <c r="BC28" s="17" t="s">
        <v>2192</v>
      </c>
      <c r="BD28" s="280"/>
      <c r="BE28" s="280"/>
      <c r="BF28" s="280"/>
      <c r="BG28" s="280"/>
    </row>
    <row r="29" spans="1:59" ht="45" customHeight="1">
      <c r="A29" s="271">
        <f t="shared" si="0"/>
        <v>28</v>
      </c>
      <c r="B29" s="343" t="s">
        <v>2266</v>
      </c>
      <c r="C29" s="348" t="s">
        <v>2267</v>
      </c>
      <c r="D29" s="345" t="s">
        <v>8</v>
      </c>
      <c r="E29" s="345" t="s">
        <v>9</v>
      </c>
      <c r="F29" s="37" t="s">
        <v>1753</v>
      </c>
      <c r="G29" s="337">
        <v>44746</v>
      </c>
      <c r="H29" s="337"/>
      <c r="I29" s="337"/>
      <c r="J29" s="345"/>
      <c r="K29" s="337"/>
      <c r="L29" s="339"/>
      <c r="M29" s="345"/>
      <c r="N29" s="345" t="s">
        <v>122</v>
      </c>
      <c r="O29" s="345"/>
      <c r="P29" s="349" t="s">
        <v>1554</v>
      </c>
      <c r="Q29" s="349" t="s">
        <v>2198</v>
      </c>
      <c r="R29" s="339">
        <v>44571.518993055557</v>
      </c>
      <c r="S29" s="215">
        <v>2022</v>
      </c>
      <c r="T29" s="349" t="s">
        <v>2001</v>
      </c>
      <c r="U29" s="350" t="s">
        <v>678</v>
      </c>
      <c r="V29" s="350" t="s">
        <v>679</v>
      </c>
      <c r="W29" s="350" t="s">
        <v>145</v>
      </c>
      <c r="X29" s="350" t="s">
        <v>309</v>
      </c>
      <c r="Y29" s="347">
        <v>45078</v>
      </c>
      <c r="Z29" s="171" t="s">
        <v>1875</v>
      </c>
      <c r="AA29" s="171"/>
      <c r="AB29" s="17" t="s">
        <v>139</v>
      </c>
      <c r="AC29" s="17" t="s">
        <v>1875</v>
      </c>
      <c r="AD29" s="17" t="s">
        <v>1805</v>
      </c>
      <c r="AE29" s="17" t="s">
        <v>1805</v>
      </c>
      <c r="AF29" s="171"/>
      <c r="AG29" s="171"/>
      <c r="AH29" s="17"/>
      <c r="AI29" s="17"/>
      <c r="AJ29" s="17" t="s">
        <v>2191</v>
      </c>
      <c r="AK29" s="17"/>
      <c r="AL29" s="17" t="s">
        <v>2190</v>
      </c>
      <c r="AM29" s="17" t="s">
        <v>1975</v>
      </c>
      <c r="AN29" s="17" t="b">
        <v>0</v>
      </c>
      <c r="AO29" s="341"/>
      <c r="AP29" s="142"/>
      <c r="AQ29" s="142"/>
      <c r="AR29" s="142"/>
      <c r="AS29" s="142"/>
      <c r="AT29" s="342"/>
      <c r="AU29" s="17"/>
      <c r="AV29" s="341"/>
      <c r="AW29" s="17"/>
      <c r="AX29" s="17"/>
      <c r="AY29" s="17"/>
      <c r="AZ29" s="17"/>
      <c r="BA29" s="17" t="s">
        <v>373</v>
      </c>
      <c r="BB29" s="17" t="s">
        <v>1610</v>
      </c>
      <c r="BC29" s="17" t="s">
        <v>2192</v>
      </c>
      <c r="BD29" s="280"/>
      <c r="BE29" s="280"/>
      <c r="BF29" s="280"/>
      <c r="BG29" s="280"/>
    </row>
    <row r="30" spans="1:59" ht="45" customHeight="1">
      <c r="A30" s="271">
        <f t="shared" si="0"/>
        <v>29</v>
      </c>
      <c r="B30" s="343" t="s">
        <v>2268</v>
      </c>
      <c r="C30" s="348" t="s">
        <v>2269</v>
      </c>
      <c r="D30" s="345" t="s">
        <v>8</v>
      </c>
      <c r="E30" s="345" t="s">
        <v>9</v>
      </c>
      <c r="F30" s="37" t="s">
        <v>1753</v>
      </c>
      <c r="G30" s="337">
        <v>44746</v>
      </c>
      <c r="H30" s="337"/>
      <c r="I30" s="337"/>
      <c r="J30" s="345"/>
      <c r="K30" s="337"/>
      <c r="L30" s="339"/>
      <c r="M30" s="345"/>
      <c r="N30" s="345" t="s">
        <v>122</v>
      </c>
      <c r="O30" s="345"/>
      <c r="P30" s="349" t="s">
        <v>1554</v>
      </c>
      <c r="Q30" s="349" t="s">
        <v>2198</v>
      </c>
      <c r="R30" s="339">
        <v>44571.519328703704</v>
      </c>
      <c r="S30" s="215">
        <v>2022</v>
      </c>
      <c r="T30" s="349" t="s">
        <v>2001</v>
      </c>
      <c r="U30" s="350" t="s">
        <v>678</v>
      </c>
      <c r="V30" s="350" t="s">
        <v>679</v>
      </c>
      <c r="W30" s="350" t="s">
        <v>145</v>
      </c>
      <c r="X30" s="350" t="s">
        <v>309</v>
      </c>
      <c r="Y30" s="347">
        <v>45078</v>
      </c>
      <c r="Z30" s="171" t="s">
        <v>1875</v>
      </c>
      <c r="AA30" s="171"/>
      <c r="AB30" s="17" t="s">
        <v>139</v>
      </c>
      <c r="AC30" s="17" t="s">
        <v>1875</v>
      </c>
      <c r="AD30" s="17" t="s">
        <v>1805</v>
      </c>
      <c r="AE30" s="17" t="s">
        <v>1805</v>
      </c>
      <c r="AF30" s="171"/>
      <c r="AG30" s="171"/>
      <c r="AH30" s="17"/>
      <c r="AI30" s="17"/>
      <c r="AJ30" s="17" t="s">
        <v>2191</v>
      </c>
      <c r="AK30" s="17"/>
      <c r="AL30" s="17" t="s">
        <v>2190</v>
      </c>
      <c r="AM30" s="17" t="s">
        <v>1975</v>
      </c>
      <c r="AN30" s="17" t="b">
        <v>0</v>
      </c>
      <c r="AO30" s="341"/>
      <c r="AP30" s="142"/>
      <c r="AQ30" s="142"/>
      <c r="AR30" s="142"/>
      <c r="AS30" s="142"/>
      <c r="AT30" s="342"/>
      <c r="AU30" s="17"/>
      <c r="AV30" s="341"/>
      <c r="AW30" s="17"/>
      <c r="AX30" s="17"/>
      <c r="AY30" s="17"/>
      <c r="AZ30" s="17"/>
      <c r="BA30" s="17" t="s">
        <v>373</v>
      </c>
      <c r="BB30" s="17" t="s">
        <v>1610</v>
      </c>
      <c r="BC30" s="17" t="s">
        <v>2192</v>
      </c>
      <c r="BD30" s="280"/>
      <c r="BE30" s="280"/>
      <c r="BF30" s="280"/>
      <c r="BG30" s="280"/>
    </row>
    <row r="31" spans="1:59" ht="45" customHeight="1">
      <c r="A31" s="271">
        <f t="shared" si="0"/>
        <v>30</v>
      </c>
      <c r="B31" s="343" t="s">
        <v>2229</v>
      </c>
      <c r="C31" s="348" t="s">
        <v>2270</v>
      </c>
      <c r="D31" s="345" t="s">
        <v>8</v>
      </c>
      <c r="E31" s="345" t="s">
        <v>9</v>
      </c>
      <c r="F31" s="37" t="s">
        <v>1753</v>
      </c>
      <c r="G31" s="337">
        <v>44746</v>
      </c>
      <c r="H31" s="337"/>
      <c r="I31" s="337"/>
      <c r="J31" s="345"/>
      <c r="K31" s="337"/>
      <c r="L31" s="215"/>
      <c r="M31" s="345"/>
      <c r="N31" s="345" t="s">
        <v>122</v>
      </c>
      <c r="O31" s="345"/>
      <c r="P31" s="349" t="s">
        <v>1554</v>
      </c>
      <c r="Q31" s="349" t="s">
        <v>2198</v>
      </c>
      <c r="R31" s="339">
        <v>44571.519745370373</v>
      </c>
      <c r="S31" s="215">
        <v>2022</v>
      </c>
      <c r="T31" s="215" t="s">
        <v>2001</v>
      </c>
      <c r="U31" s="350" t="s">
        <v>678</v>
      </c>
      <c r="V31" s="350" t="s">
        <v>679</v>
      </c>
      <c r="W31" s="17" t="s">
        <v>145</v>
      </c>
      <c r="X31" s="350" t="s">
        <v>309</v>
      </c>
      <c r="Y31" s="347">
        <v>45078</v>
      </c>
      <c r="Z31" s="171" t="s">
        <v>1875</v>
      </c>
      <c r="AA31" s="171"/>
      <c r="AB31" s="17" t="s">
        <v>139</v>
      </c>
      <c r="AC31" s="17" t="s">
        <v>1875</v>
      </c>
      <c r="AD31" s="17" t="s">
        <v>1805</v>
      </c>
      <c r="AE31" s="17" t="s">
        <v>1805</v>
      </c>
      <c r="AF31" s="171"/>
      <c r="AG31" s="171"/>
      <c r="AH31" s="17"/>
      <c r="AI31" s="17"/>
      <c r="AJ31" s="17" t="s">
        <v>2191</v>
      </c>
      <c r="AK31" s="17"/>
      <c r="AL31" s="17" t="s">
        <v>2190</v>
      </c>
      <c r="AM31" s="17" t="s">
        <v>1975</v>
      </c>
      <c r="AN31" s="17" t="b">
        <v>0</v>
      </c>
      <c r="AO31" s="341"/>
      <c r="AP31" s="142"/>
      <c r="AQ31" s="142"/>
      <c r="AR31" s="142"/>
      <c r="AS31" s="142"/>
      <c r="AT31" s="342"/>
      <c r="AU31" s="17"/>
      <c r="AV31" s="341"/>
      <c r="AW31" s="17"/>
      <c r="AX31" s="17"/>
      <c r="AY31" s="17"/>
      <c r="AZ31" s="17"/>
      <c r="BA31" s="17" t="s">
        <v>373</v>
      </c>
      <c r="BB31" s="17" t="s">
        <v>1610</v>
      </c>
      <c r="BC31" s="17" t="s">
        <v>2192</v>
      </c>
      <c r="BD31" s="280"/>
      <c r="BE31" s="280"/>
      <c r="BF31" s="280"/>
      <c r="BG31" s="280"/>
    </row>
    <row r="32" spans="1:59" ht="45" customHeight="1">
      <c r="A32" s="271">
        <f t="shared" si="0"/>
        <v>31</v>
      </c>
      <c r="B32" s="343" t="s">
        <v>2231</v>
      </c>
      <c r="C32" s="348" t="s">
        <v>2271</v>
      </c>
      <c r="D32" s="345" t="s">
        <v>8</v>
      </c>
      <c r="E32" s="345" t="s">
        <v>9</v>
      </c>
      <c r="F32" s="37" t="s">
        <v>1753</v>
      </c>
      <c r="G32" s="337">
        <v>44746</v>
      </c>
      <c r="H32" s="337"/>
      <c r="I32" s="337"/>
      <c r="J32" s="345"/>
      <c r="K32" s="337"/>
      <c r="L32" s="215"/>
      <c r="M32" s="345"/>
      <c r="N32" s="345" t="s">
        <v>122</v>
      </c>
      <c r="O32" s="345"/>
      <c r="P32" s="349" t="s">
        <v>1554</v>
      </c>
      <c r="Q32" s="349" t="s">
        <v>2198</v>
      </c>
      <c r="R32" s="339">
        <v>44571.52008101852</v>
      </c>
      <c r="S32" s="215">
        <v>2022</v>
      </c>
      <c r="T32" s="215" t="s">
        <v>2001</v>
      </c>
      <c r="U32" s="350" t="s">
        <v>678</v>
      </c>
      <c r="V32" s="350" t="s">
        <v>679</v>
      </c>
      <c r="W32" s="17" t="s">
        <v>145</v>
      </c>
      <c r="X32" s="350" t="s">
        <v>309</v>
      </c>
      <c r="Y32" s="347">
        <v>45078</v>
      </c>
      <c r="Z32" s="171" t="s">
        <v>1875</v>
      </c>
      <c r="AA32" s="171"/>
      <c r="AB32" s="17" t="s">
        <v>139</v>
      </c>
      <c r="AC32" s="17" t="s">
        <v>1875</v>
      </c>
      <c r="AD32" s="17" t="s">
        <v>1805</v>
      </c>
      <c r="AE32" s="17" t="s">
        <v>1805</v>
      </c>
      <c r="AF32" s="171"/>
      <c r="AG32" s="171"/>
      <c r="AH32" s="17"/>
      <c r="AI32" s="17"/>
      <c r="AJ32" s="17" t="s">
        <v>2191</v>
      </c>
      <c r="AK32" s="17"/>
      <c r="AL32" s="17" t="s">
        <v>2190</v>
      </c>
      <c r="AM32" s="17" t="s">
        <v>1975</v>
      </c>
      <c r="AN32" s="17" t="b">
        <v>0</v>
      </c>
      <c r="AO32" s="341"/>
      <c r="AP32" s="142"/>
      <c r="AQ32" s="142"/>
      <c r="AR32" s="142"/>
      <c r="AS32" s="142"/>
      <c r="AT32" s="342"/>
      <c r="AU32" s="17"/>
      <c r="AV32" s="341"/>
      <c r="AW32" s="17"/>
      <c r="AX32" s="17"/>
      <c r="AY32" s="17"/>
      <c r="AZ32" s="17"/>
      <c r="BA32" s="17" t="s">
        <v>373</v>
      </c>
      <c r="BB32" s="17" t="s">
        <v>1610</v>
      </c>
      <c r="BC32" s="17" t="s">
        <v>2192</v>
      </c>
      <c r="BD32" s="280"/>
      <c r="BE32" s="280"/>
      <c r="BF32" s="280"/>
      <c r="BG32" s="280"/>
    </row>
    <row r="33" spans="1:59" ht="45" customHeight="1">
      <c r="A33" s="271">
        <f t="shared" si="0"/>
        <v>32</v>
      </c>
      <c r="B33" s="343" t="s">
        <v>2274</v>
      </c>
      <c r="C33" s="348" t="s">
        <v>2275</v>
      </c>
      <c r="D33" s="345" t="s">
        <v>8</v>
      </c>
      <c r="E33" s="345" t="s">
        <v>9</v>
      </c>
      <c r="F33" s="37" t="s">
        <v>1753</v>
      </c>
      <c r="G33" s="337">
        <v>44785</v>
      </c>
      <c r="H33" s="337"/>
      <c r="I33" s="337"/>
      <c r="J33" s="345"/>
      <c r="K33" s="337"/>
      <c r="L33" s="215"/>
      <c r="M33" s="345"/>
      <c r="N33" s="345" t="s">
        <v>122</v>
      </c>
      <c r="O33" s="345"/>
      <c r="P33" s="349" t="s">
        <v>1554</v>
      </c>
      <c r="Q33" s="349" t="s">
        <v>2198</v>
      </c>
      <c r="R33" s="339">
        <v>44571.520787037036</v>
      </c>
      <c r="S33" s="215">
        <v>2022</v>
      </c>
      <c r="T33" s="215" t="s">
        <v>2001</v>
      </c>
      <c r="U33" s="350" t="s">
        <v>678</v>
      </c>
      <c r="V33" s="350" t="s">
        <v>679</v>
      </c>
      <c r="W33" s="17" t="s">
        <v>145</v>
      </c>
      <c r="X33" s="350" t="s">
        <v>309</v>
      </c>
      <c r="Y33" s="347">
        <v>45078</v>
      </c>
      <c r="Z33" s="171" t="s">
        <v>1875</v>
      </c>
      <c r="AA33" s="171"/>
      <c r="AB33" s="17" t="s">
        <v>139</v>
      </c>
      <c r="AC33" s="17" t="s">
        <v>1875</v>
      </c>
      <c r="AD33" s="17" t="s">
        <v>1805</v>
      </c>
      <c r="AE33" s="17" t="s">
        <v>1805</v>
      </c>
      <c r="AF33" s="171"/>
      <c r="AG33" s="171"/>
      <c r="AH33" s="17"/>
      <c r="AI33" s="17"/>
      <c r="AJ33" s="17" t="s">
        <v>2191</v>
      </c>
      <c r="AK33" s="17"/>
      <c r="AL33" s="17" t="s">
        <v>2190</v>
      </c>
      <c r="AM33" s="17" t="s">
        <v>1975</v>
      </c>
      <c r="AN33" s="17" t="b">
        <v>0</v>
      </c>
      <c r="AO33" s="341"/>
      <c r="AP33" s="142"/>
      <c r="AQ33" s="142"/>
      <c r="AR33" s="142"/>
      <c r="AS33" s="142"/>
      <c r="AT33" s="342"/>
      <c r="AU33" s="17"/>
      <c r="AV33" s="341"/>
      <c r="AW33" s="17"/>
      <c r="AX33" s="17"/>
      <c r="AY33" s="17"/>
      <c r="AZ33" s="17"/>
      <c r="BA33" s="17" t="s">
        <v>373</v>
      </c>
      <c r="BB33" s="17" t="s">
        <v>1610</v>
      </c>
      <c r="BC33" s="17" t="s">
        <v>2192</v>
      </c>
      <c r="BD33" s="280"/>
      <c r="BE33" s="280"/>
      <c r="BF33" s="280"/>
      <c r="BG33" s="280"/>
    </row>
    <row r="34" spans="1:59" ht="45" customHeight="1">
      <c r="A34" s="271">
        <f t="shared" si="0"/>
        <v>33</v>
      </c>
      <c r="B34" s="343" t="s">
        <v>2207</v>
      </c>
      <c r="C34" s="348" t="s">
        <v>2276</v>
      </c>
      <c r="D34" s="345" t="s">
        <v>8</v>
      </c>
      <c r="E34" s="345" t="s">
        <v>9</v>
      </c>
      <c r="F34" s="37" t="s">
        <v>1753</v>
      </c>
      <c r="G34" s="337">
        <v>44785</v>
      </c>
      <c r="H34" s="337"/>
      <c r="I34" s="337"/>
      <c r="J34" s="345"/>
      <c r="K34" s="337"/>
      <c r="L34" s="339"/>
      <c r="M34" s="345"/>
      <c r="N34" s="345" t="s">
        <v>122</v>
      </c>
      <c r="O34" s="345"/>
      <c r="P34" s="349" t="s">
        <v>1554</v>
      </c>
      <c r="Q34" s="349" t="s">
        <v>2198</v>
      </c>
      <c r="R34" s="339">
        <v>44571.521192129629</v>
      </c>
      <c r="S34" s="215">
        <v>2022</v>
      </c>
      <c r="T34" s="349" t="s">
        <v>2001</v>
      </c>
      <c r="U34" s="350" t="s">
        <v>678</v>
      </c>
      <c r="V34" s="350" t="s">
        <v>679</v>
      </c>
      <c r="W34" s="350" t="s">
        <v>145</v>
      </c>
      <c r="X34" s="350" t="s">
        <v>309</v>
      </c>
      <c r="Y34" s="347">
        <v>45078</v>
      </c>
      <c r="Z34" s="171" t="s">
        <v>1875</v>
      </c>
      <c r="AA34" s="171"/>
      <c r="AB34" s="17" t="s">
        <v>139</v>
      </c>
      <c r="AC34" s="17" t="s">
        <v>1875</v>
      </c>
      <c r="AD34" s="17" t="s">
        <v>1805</v>
      </c>
      <c r="AE34" s="17" t="s">
        <v>1805</v>
      </c>
      <c r="AF34" s="171"/>
      <c r="AG34" s="171"/>
      <c r="AH34" s="17"/>
      <c r="AI34" s="17"/>
      <c r="AJ34" s="17" t="s">
        <v>2191</v>
      </c>
      <c r="AK34" s="17"/>
      <c r="AL34" s="17" t="s">
        <v>2190</v>
      </c>
      <c r="AM34" s="17" t="s">
        <v>1975</v>
      </c>
      <c r="AN34" s="17" t="b">
        <v>0</v>
      </c>
      <c r="AO34" s="341"/>
      <c r="AP34" s="142"/>
      <c r="AQ34" s="142"/>
      <c r="AR34" s="142"/>
      <c r="AS34" s="142"/>
      <c r="AT34" s="342"/>
      <c r="AU34" s="17"/>
      <c r="AV34" s="341"/>
      <c r="AW34" s="17"/>
      <c r="AX34" s="17"/>
      <c r="AY34" s="17"/>
      <c r="AZ34" s="17"/>
      <c r="BA34" s="17" t="s">
        <v>373</v>
      </c>
      <c r="BB34" s="17" t="s">
        <v>1610</v>
      </c>
      <c r="BC34" s="17" t="s">
        <v>2192</v>
      </c>
      <c r="BD34" s="280"/>
      <c r="BE34" s="280"/>
      <c r="BF34" s="280"/>
      <c r="BG34" s="280"/>
    </row>
    <row r="35" spans="1:59" ht="45" customHeight="1">
      <c r="A35" s="271">
        <f t="shared" si="0"/>
        <v>34</v>
      </c>
      <c r="B35" s="343" t="s">
        <v>2233</v>
      </c>
      <c r="C35" s="348" t="s">
        <v>2277</v>
      </c>
      <c r="D35" s="345" t="s">
        <v>8</v>
      </c>
      <c r="E35" s="345" t="s">
        <v>9</v>
      </c>
      <c r="F35" s="37" t="s">
        <v>1753</v>
      </c>
      <c r="G35" s="337">
        <v>44793</v>
      </c>
      <c r="H35" s="337"/>
      <c r="I35" s="337"/>
      <c r="J35" s="345"/>
      <c r="K35" s="337"/>
      <c r="L35" s="215"/>
      <c r="M35" s="345"/>
      <c r="N35" s="345" t="s">
        <v>122</v>
      </c>
      <c r="O35" s="345"/>
      <c r="P35" s="349" t="s">
        <v>1554</v>
      </c>
      <c r="Q35" s="349" t="s">
        <v>2198</v>
      </c>
      <c r="R35" s="339">
        <v>44571.521539351852</v>
      </c>
      <c r="S35" s="215">
        <v>2022</v>
      </c>
      <c r="T35" s="215" t="s">
        <v>2001</v>
      </c>
      <c r="U35" s="350" t="s">
        <v>678</v>
      </c>
      <c r="V35" s="350" t="s">
        <v>679</v>
      </c>
      <c r="W35" s="17" t="s">
        <v>145</v>
      </c>
      <c r="X35" s="350" t="s">
        <v>309</v>
      </c>
      <c r="Y35" s="347">
        <v>45078</v>
      </c>
      <c r="Z35" s="171" t="s">
        <v>1875</v>
      </c>
      <c r="AA35" s="171"/>
      <c r="AB35" s="17" t="s">
        <v>139</v>
      </c>
      <c r="AC35" s="17" t="s">
        <v>1875</v>
      </c>
      <c r="AD35" s="17" t="s">
        <v>1805</v>
      </c>
      <c r="AE35" s="17" t="s">
        <v>1805</v>
      </c>
      <c r="AF35" s="171"/>
      <c r="AG35" s="171"/>
      <c r="AH35" s="17"/>
      <c r="AI35" s="17"/>
      <c r="AJ35" s="17" t="s">
        <v>2191</v>
      </c>
      <c r="AK35" s="17"/>
      <c r="AL35" s="17" t="s">
        <v>2190</v>
      </c>
      <c r="AM35" s="17" t="s">
        <v>1975</v>
      </c>
      <c r="AN35" s="17" t="b">
        <v>0</v>
      </c>
      <c r="AO35" s="341"/>
      <c r="AP35" s="142"/>
      <c r="AQ35" s="142"/>
      <c r="AR35" s="142"/>
      <c r="AS35" s="142"/>
      <c r="AT35" s="342"/>
      <c r="AU35" s="17"/>
      <c r="AV35" s="341"/>
      <c r="AW35" s="17"/>
      <c r="AX35" s="17"/>
      <c r="AY35" s="17"/>
      <c r="AZ35" s="17"/>
      <c r="BA35" s="17" t="s">
        <v>373</v>
      </c>
      <c r="BB35" s="17" t="s">
        <v>1610</v>
      </c>
      <c r="BC35" s="17" t="s">
        <v>2192</v>
      </c>
      <c r="BD35" s="280"/>
      <c r="BE35" s="280"/>
      <c r="BF35" s="280"/>
      <c r="BG35" s="280"/>
    </row>
    <row r="36" spans="1:59" ht="45" customHeight="1">
      <c r="A36" s="271">
        <f t="shared" si="0"/>
        <v>35</v>
      </c>
      <c r="B36" s="276" t="s">
        <v>2209</v>
      </c>
      <c r="C36" s="277" t="s">
        <v>2799</v>
      </c>
      <c r="D36" s="277" t="s">
        <v>8</v>
      </c>
      <c r="E36" s="277" t="s">
        <v>9</v>
      </c>
      <c r="F36" s="277" t="s">
        <v>1753</v>
      </c>
      <c r="G36" s="307">
        <v>44810</v>
      </c>
      <c r="H36" s="308"/>
      <c r="I36" s="308"/>
      <c r="J36" s="277"/>
      <c r="K36" s="279"/>
      <c r="L36" s="277" t="s">
        <v>2479</v>
      </c>
      <c r="M36" s="277" t="s">
        <v>2479</v>
      </c>
      <c r="N36" s="277" t="s">
        <v>122</v>
      </c>
      <c r="O36" s="277" t="s">
        <v>2479</v>
      </c>
      <c r="P36" s="277" t="s">
        <v>1554</v>
      </c>
      <c r="Q36" s="277" t="s">
        <v>2198</v>
      </c>
      <c r="R36" s="279">
        <v>44630.529953703706</v>
      </c>
      <c r="S36" s="286">
        <v>2022</v>
      </c>
      <c r="T36" s="277" t="s">
        <v>2001</v>
      </c>
      <c r="U36" s="277" t="s">
        <v>678</v>
      </c>
      <c r="V36" s="277" t="s">
        <v>679</v>
      </c>
      <c r="W36" s="277" t="s">
        <v>145</v>
      </c>
      <c r="X36" s="277" t="s">
        <v>309</v>
      </c>
      <c r="Y36" s="278">
        <v>45078</v>
      </c>
      <c r="Z36" s="287" t="s">
        <v>1875</v>
      </c>
      <c r="AA36" s="287" t="s">
        <v>2479</v>
      </c>
      <c r="AB36" s="287" t="s">
        <v>139</v>
      </c>
      <c r="AC36" s="287" t="s">
        <v>1875</v>
      </c>
      <c r="AD36" s="287" t="s">
        <v>1805</v>
      </c>
      <c r="AE36" s="287" t="s">
        <v>1805</v>
      </c>
      <c r="AF36" s="287" t="s">
        <v>2479</v>
      </c>
      <c r="AG36" s="287" t="s">
        <v>2479</v>
      </c>
      <c r="AH36" s="287" t="s">
        <v>2479</v>
      </c>
      <c r="AI36" s="287" t="s">
        <v>2479</v>
      </c>
      <c r="AJ36" s="304" t="s">
        <v>2191</v>
      </c>
      <c r="AK36" s="287" t="s">
        <v>2479</v>
      </c>
      <c r="AL36" s="304" t="s">
        <v>2190</v>
      </c>
      <c r="AM36" s="289" t="s">
        <v>1975</v>
      </c>
      <c r="AN36" s="281" t="b">
        <v>0</v>
      </c>
      <c r="AO36" s="305"/>
      <c r="AP36" s="291"/>
      <c r="AQ36" s="291"/>
      <c r="AR36" s="291"/>
      <c r="AS36" s="291"/>
      <c r="AT36" s="291"/>
      <c r="AU36" s="291"/>
      <c r="AV36" s="305"/>
      <c r="AW36" s="281"/>
      <c r="AX36" s="281"/>
      <c r="AY36" s="289" t="s">
        <v>2479</v>
      </c>
      <c r="AZ36" s="289" t="s">
        <v>2479</v>
      </c>
      <c r="BA36" s="289" t="s">
        <v>373</v>
      </c>
      <c r="BB36" s="289" t="s">
        <v>1610</v>
      </c>
      <c r="BC36" s="292" t="s">
        <v>2192</v>
      </c>
      <c r="BD36" s="280"/>
      <c r="BE36" s="280"/>
      <c r="BF36" s="280"/>
      <c r="BG36" s="280"/>
    </row>
    <row r="37" spans="1:59" ht="45" customHeight="1">
      <c r="A37" s="271">
        <f t="shared" si="0"/>
        <v>36</v>
      </c>
      <c r="B37" s="276" t="s">
        <v>2800</v>
      </c>
      <c r="C37" s="277" t="s">
        <v>2801</v>
      </c>
      <c r="D37" s="277" t="s">
        <v>8</v>
      </c>
      <c r="E37" s="277" t="s">
        <v>9</v>
      </c>
      <c r="F37" s="277" t="s">
        <v>1753</v>
      </c>
      <c r="G37" s="307">
        <v>44810</v>
      </c>
      <c r="H37" s="308"/>
      <c r="I37" s="308"/>
      <c r="J37" s="277"/>
      <c r="K37" s="279"/>
      <c r="L37" s="277" t="s">
        <v>2479</v>
      </c>
      <c r="M37" s="277" t="s">
        <v>2479</v>
      </c>
      <c r="N37" s="277" t="s">
        <v>122</v>
      </c>
      <c r="O37" s="277" t="s">
        <v>2479</v>
      </c>
      <c r="P37" s="277" t="s">
        <v>1554</v>
      </c>
      <c r="Q37" s="277" t="s">
        <v>2198</v>
      </c>
      <c r="R37" s="279">
        <v>44630.530277777776</v>
      </c>
      <c r="S37" s="286">
        <v>2022</v>
      </c>
      <c r="T37" s="277" t="s">
        <v>2001</v>
      </c>
      <c r="U37" s="277" t="s">
        <v>678</v>
      </c>
      <c r="V37" s="277" t="s">
        <v>679</v>
      </c>
      <c r="W37" s="277" t="s">
        <v>145</v>
      </c>
      <c r="X37" s="277" t="s">
        <v>309</v>
      </c>
      <c r="Y37" s="278">
        <v>45078</v>
      </c>
      <c r="Z37" s="287" t="s">
        <v>1875</v>
      </c>
      <c r="AA37" s="287" t="s">
        <v>2479</v>
      </c>
      <c r="AB37" s="287" t="s">
        <v>139</v>
      </c>
      <c r="AC37" s="287" t="s">
        <v>1875</v>
      </c>
      <c r="AD37" s="287" t="s">
        <v>1805</v>
      </c>
      <c r="AE37" s="287" t="s">
        <v>1805</v>
      </c>
      <c r="AF37" s="287" t="s">
        <v>2479</v>
      </c>
      <c r="AG37" s="287" t="s">
        <v>2479</v>
      </c>
      <c r="AH37" s="287" t="s">
        <v>2479</v>
      </c>
      <c r="AI37" s="287" t="s">
        <v>2479</v>
      </c>
      <c r="AJ37" s="304" t="s">
        <v>2191</v>
      </c>
      <c r="AK37" s="287" t="s">
        <v>2479</v>
      </c>
      <c r="AL37" s="304" t="s">
        <v>2190</v>
      </c>
      <c r="AM37" s="289" t="s">
        <v>1975</v>
      </c>
      <c r="AN37" s="281" t="b">
        <v>0</v>
      </c>
      <c r="AO37" s="305"/>
      <c r="AP37" s="291"/>
      <c r="AQ37" s="291"/>
      <c r="AR37" s="291"/>
      <c r="AS37" s="291"/>
      <c r="AT37" s="291"/>
      <c r="AU37" s="291"/>
      <c r="AV37" s="305"/>
      <c r="AW37" s="281"/>
      <c r="AX37" s="281"/>
      <c r="AY37" s="289" t="s">
        <v>2479</v>
      </c>
      <c r="AZ37" s="289" t="s">
        <v>2479</v>
      </c>
      <c r="BA37" s="289" t="s">
        <v>373</v>
      </c>
      <c r="BB37" s="289" t="s">
        <v>1610</v>
      </c>
      <c r="BC37" s="292" t="s">
        <v>2192</v>
      </c>
      <c r="BD37" s="280"/>
      <c r="BE37" s="280"/>
      <c r="BF37" s="280"/>
      <c r="BG37" s="280"/>
    </row>
    <row r="38" spans="1:59" ht="45" customHeight="1">
      <c r="A38" s="271">
        <f t="shared" si="0"/>
        <v>37</v>
      </c>
      <c r="B38" s="276" t="s">
        <v>2205</v>
      </c>
      <c r="C38" s="277" t="s">
        <v>2798</v>
      </c>
      <c r="D38" s="277" t="s">
        <v>8</v>
      </c>
      <c r="E38" s="277" t="s">
        <v>9</v>
      </c>
      <c r="F38" s="277" t="s">
        <v>1753</v>
      </c>
      <c r="G38" s="307">
        <v>44814</v>
      </c>
      <c r="H38" s="308"/>
      <c r="I38" s="308"/>
      <c r="J38" s="277"/>
      <c r="K38" s="279"/>
      <c r="L38" s="277" t="s">
        <v>2479</v>
      </c>
      <c r="M38" s="277" t="s">
        <v>2479</v>
      </c>
      <c r="N38" s="277" t="s">
        <v>122</v>
      </c>
      <c r="O38" s="277" t="s">
        <v>2479</v>
      </c>
      <c r="P38" s="277" t="s">
        <v>1554</v>
      </c>
      <c r="Q38" s="277" t="s">
        <v>2198</v>
      </c>
      <c r="R38" s="279">
        <v>44630.529444444444</v>
      </c>
      <c r="S38" s="286">
        <v>2022</v>
      </c>
      <c r="T38" s="277" t="s">
        <v>2001</v>
      </c>
      <c r="U38" s="277" t="s">
        <v>678</v>
      </c>
      <c r="V38" s="277" t="s">
        <v>679</v>
      </c>
      <c r="W38" s="277" t="s">
        <v>145</v>
      </c>
      <c r="X38" s="277" t="s">
        <v>309</v>
      </c>
      <c r="Y38" s="278">
        <v>45078</v>
      </c>
      <c r="Z38" s="287" t="s">
        <v>1875</v>
      </c>
      <c r="AA38" s="287" t="s">
        <v>2479</v>
      </c>
      <c r="AB38" s="287" t="s">
        <v>139</v>
      </c>
      <c r="AC38" s="287" t="s">
        <v>1875</v>
      </c>
      <c r="AD38" s="287" t="s">
        <v>1805</v>
      </c>
      <c r="AE38" s="287" t="s">
        <v>1805</v>
      </c>
      <c r="AF38" s="287" t="s">
        <v>2479</v>
      </c>
      <c r="AG38" s="287" t="s">
        <v>2479</v>
      </c>
      <c r="AH38" s="287" t="s">
        <v>2479</v>
      </c>
      <c r="AI38" s="287" t="s">
        <v>2479</v>
      </c>
      <c r="AJ38" s="304" t="s">
        <v>2191</v>
      </c>
      <c r="AK38" s="287" t="s">
        <v>2479</v>
      </c>
      <c r="AL38" s="304" t="s">
        <v>2190</v>
      </c>
      <c r="AM38" s="289" t="s">
        <v>1975</v>
      </c>
      <c r="AN38" s="281" t="b">
        <v>0</v>
      </c>
      <c r="AO38" s="305"/>
      <c r="AP38" s="291"/>
      <c r="AQ38" s="291"/>
      <c r="AR38" s="291"/>
      <c r="AS38" s="291"/>
      <c r="AT38" s="291"/>
      <c r="AU38" s="291"/>
      <c r="AV38" s="305"/>
      <c r="AW38" s="281"/>
      <c r="AX38" s="281"/>
      <c r="AY38" s="289" t="s">
        <v>2479</v>
      </c>
      <c r="AZ38" s="289" t="s">
        <v>2479</v>
      </c>
      <c r="BA38" s="289" t="s">
        <v>373</v>
      </c>
      <c r="BB38" s="289" t="s">
        <v>1610</v>
      </c>
      <c r="BC38" s="292" t="s">
        <v>2192</v>
      </c>
      <c r="BD38" s="280"/>
      <c r="BE38" s="280"/>
      <c r="BF38" s="280"/>
      <c r="BG38" s="280"/>
    </row>
    <row r="39" spans="1:59" ht="45" customHeight="1">
      <c r="A39" s="271">
        <f t="shared" si="0"/>
        <v>38</v>
      </c>
      <c r="B39" s="276" t="s">
        <v>2215</v>
      </c>
      <c r="C39" s="277" t="s">
        <v>2935</v>
      </c>
      <c r="D39" s="277" t="s">
        <v>8</v>
      </c>
      <c r="E39" s="277" t="s">
        <v>9</v>
      </c>
      <c r="F39" s="277" t="s">
        <v>1753</v>
      </c>
      <c r="G39" s="307">
        <v>44846</v>
      </c>
      <c r="H39" s="308"/>
      <c r="I39" s="308"/>
      <c r="J39" s="277"/>
      <c r="K39" s="279"/>
      <c r="L39" s="277" t="s">
        <v>2479</v>
      </c>
      <c r="M39" s="277" t="s">
        <v>2479</v>
      </c>
      <c r="N39" s="277" t="s">
        <v>122</v>
      </c>
      <c r="O39" s="277" t="s">
        <v>2479</v>
      </c>
      <c r="P39" s="277" t="s">
        <v>1554</v>
      </c>
      <c r="Q39" s="277" t="s">
        <v>2198</v>
      </c>
      <c r="R39" s="279" t="s">
        <v>2936</v>
      </c>
      <c r="S39" s="286">
        <v>2022</v>
      </c>
      <c r="T39" s="277" t="s">
        <v>2001</v>
      </c>
      <c r="U39" s="277" t="s">
        <v>678</v>
      </c>
      <c r="V39" s="277" t="s">
        <v>679</v>
      </c>
      <c r="W39" s="277" t="s">
        <v>145</v>
      </c>
      <c r="X39" s="277" t="s">
        <v>309</v>
      </c>
      <c r="Y39" s="278">
        <v>45078</v>
      </c>
      <c r="Z39" s="287" t="s">
        <v>1875</v>
      </c>
      <c r="AA39" s="287" t="s">
        <v>2479</v>
      </c>
      <c r="AB39" s="287" t="s">
        <v>139</v>
      </c>
      <c r="AC39" s="287" t="s">
        <v>1875</v>
      </c>
      <c r="AD39" s="287" t="s">
        <v>1805</v>
      </c>
      <c r="AE39" s="287" t="s">
        <v>1805</v>
      </c>
      <c r="AF39" s="287" t="s">
        <v>2479</v>
      </c>
      <c r="AG39" s="287" t="s">
        <v>2479</v>
      </c>
      <c r="AH39" s="287" t="s">
        <v>2479</v>
      </c>
      <c r="AI39" s="287" t="s">
        <v>2479</v>
      </c>
      <c r="AJ39" s="304" t="s">
        <v>2191</v>
      </c>
      <c r="AK39" s="287" t="s">
        <v>2479</v>
      </c>
      <c r="AL39" s="304" t="s">
        <v>2190</v>
      </c>
      <c r="AM39" s="289" t="s">
        <v>1975</v>
      </c>
      <c r="AN39" s="281" t="b">
        <v>0</v>
      </c>
      <c r="AO39" s="305"/>
      <c r="AP39" s="291"/>
      <c r="AQ39" s="291"/>
      <c r="AR39" s="291"/>
      <c r="AS39" s="291"/>
      <c r="AT39" s="291"/>
      <c r="AU39" s="291"/>
      <c r="AV39" s="305"/>
      <c r="AW39" s="281"/>
      <c r="AX39" s="281"/>
      <c r="AY39" s="289" t="s">
        <v>2479</v>
      </c>
      <c r="AZ39" s="289" t="s">
        <v>2479</v>
      </c>
      <c r="BA39" s="289" t="s">
        <v>373</v>
      </c>
      <c r="BB39" s="289" t="s">
        <v>1610</v>
      </c>
      <c r="BC39" s="292" t="s">
        <v>2192</v>
      </c>
      <c r="BD39" s="280"/>
      <c r="BE39" s="280"/>
      <c r="BF39" s="280"/>
      <c r="BG39" s="280"/>
    </row>
    <row r="40" spans="1:59" ht="45" customHeight="1">
      <c r="A40" s="271">
        <f t="shared" si="0"/>
        <v>39</v>
      </c>
      <c r="B40" s="276" t="s">
        <v>2217</v>
      </c>
      <c r="C40" s="277" t="s">
        <v>2937</v>
      </c>
      <c r="D40" s="277" t="s">
        <v>8</v>
      </c>
      <c r="E40" s="277" t="s">
        <v>9</v>
      </c>
      <c r="F40" s="277" t="s">
        <v>1753</v>
      </c>
      <c r="G40" s="307">
        <v>44862</v>
      </c>
      <c r="H40" s="308"/>
      <c r="I40" s="308"/>
      <c r="J40" s="277"/>
      <c r="K40" s="279"/>
      <c r="L40" s="277" t="s">
        <v>2479</v>
      </c>
      <c r="M40" s="277" t="s">
        <v>2479</v>
      </c>
      <c r="N40" s="277" t="s">
        <v>122</v>
      </c>
      <c r="O40" s="277" t="s">
        <v>2479</v>
      </c>
      <c r="P40" s="277" t="s">
        <v>1554</v>
      </c>
      <c r="Q40" s="277" t="s">
        <v>2198</v>
      </c>
      <c r="R40" s="279" t="s">
        <v>2938</v>
      </c>
      <c r="S40" s="286">
        <v>2022</v>
      </c>
      <c r="T40" s="277" t="s">
        <v>2001</v>
      </c>
      <c r="U40" s="277" t="s">
        <v>678</v>
      </c>
      <c r="V40" s="277" t="s">
        <v>679</v>
      </c>
      <c r="W40" s="277" t="s">
        <v>145</v>
      </c>
      <c r="X40" s="277" t="s">
        <v>309</v>
      </c>
      <c r="Y40" s="278">
        <v>45078</v>
      </c>
      <c r="Z40" s="287" t="s">
        <v>1875</v>
      </c>
      <c r="AA40" s="287" t="s">
        <v>2479</v>
      </c>
      <c r="AB40" s="287" t="s">
        <v>139</v>
      </c>
      <c r="AC40" s="287" t="s">
        <v>1875</v>
      </c>
      <c r="AD40" s="287" t="s">
        <v>1805</v>
      </c>
      <c r="AE40" s="287" t="s">
        <v>1805</v>
      </c>
      <c r="AF40" s="287" t="s">
        <v>2479</v>
      </c>
      <c r="AG40" s="287" t="s">
        <v>2479</v>
      </c>
      <c r="AH40" s="287" t="s">
        <v>2479</v>
      </c>
      <c r="AI40" s="287" t="s">
        <v>2479</v>
      </c>
      <c r="AJ40" s="304" t="s">
        <v>2191</v>
      </c>
      <c r="AK40" s="287" t="s">
        <v>2479</v>
      </c>
      <c r="AL40" s="304" t="s">
        <v>2190</v>
      </c>
      <c r="AM40" s="289" t="s">
        <v>1975</v>
      </c>
      <c r="AN40" s="281" t="b">
        <v>0</v>
      </c>
      <c r="AO40" s="305"/>
      <c r="AP40" s="291"/>
      <c r="AQ40" s="291"/>
      <c r="AR40" s="291"/>
      <c r="AS40" s="291"/>
      <c r="AT40" s="291"/>
      <c r="AU40" s="291"/>
      <c r="AV40" s="305"/>
      <c r="AW40" s="281"/>
      <c r="AX40" s="281"/>
      <c r="AY40" s="289" t="s">
        <v>2479</v>
      </c>
      <c r="AZ40" s="289" t="s">
        <v>2479</v>
      </c>
      <c r="BA40" s="289" t="s">
        <v>373</v>
      </c>
      <c r="BB40" s="289" t="s">
        <v>1610</v>
      </c>
      <c r="BC40" s="292" t="s">
        <v>2192</v>
      </c>
      <c r="BD40" s="280"/>
      <c r="BE40" s="280"/>
      <c r="BF40" s="280"/>
      <c r="BG40" s="280"/>
    </row>
    <row r="41" spans="1:59" ht="45" customHeight="1">
      <c r="A41" s="271">
        <f t="shared" si="0"/>
        <v>40</v>
      </c>
      <c r="B41" s="276" t="s">
        <v>3136</v>
      </c>
      <c r="C41" s="277" t="s">
        <v>3137</v>
      </c>
      <c r="D41" s="277" t="s">
        <v>8</v>
      </c>
      <c r="E41" s="277" t="s">
        <v>9</v>
      </c>
      <c r="F41" s="277" t="s">
        <v>1753</v>
      </c>
      <c r="G41" s="307">
        <v>44867</v>
      </c>
      <c r="H41" s="308"/>
      <c r="I41" s="308"/>
      <c r="J41" s="277"/>
      <c r="K41" s="279"/>
      <c r="L41" s="277" t="s">
        <v>2479</v>
      </c>
      <c r="M41" s="277" t="s">
        <v>2479</v>
      </c>
      <c r="N41" s="277" t="s">
        <v>122</v>
      </c>
      <c r="O41" s="277" t="s">
        <v>2479</v>
      </c>
      <c r="P41" s="277" t="s">
        <v>1554</v>
      </c>
      <c r="Q41" s="277" t="s">
        <v>2198</v>
      </c>
      <c r="R41" s="279" t="s">
        <v>3138</v>
      </c>
      <c r="S41" s="286">
        <v>2022</v>
      </c>
      <c r="T41" s="277" t="s">
        <v>2001</v>
      </c>
      <c r="U41" s="277" t="s">
        <v>678</v>
      </c>
      <c r="V41" s="277" t="s">
        <v>679</v>
      </c>
      <c r="W41" s="277" t="s">
        <v>145</v>
      </c>
      <c r="X41" s="277" t="s">
        <v>309</v>
      </c>
      <c r="Y41" s="278">
        <v>45078</v>
      </c>
      <c r="Z41" s="287" t="s">
        <v>1875</v>
      </c>
      <c r="AA41" s="287" t="s">
        <v>2479</v>
      </c>
      <c r="AB41" s="287" t="s">
        <v>139</v>
      </c>
      <c r="AC41" s="287" t="s">
        <v>1875</v>
      </c>
      <c r="AD41" s="287" t="s">
        <v>1805</v>
      </c>
      <c r="AE41" s="287" t="s">
        <v>1805</v>
      </c>
      <c r="AF41" s="287" t="s">
        <v>2479</v>
      </c>
      <c r="AG41" s="287" t="s">
        <v>2479</v>
      </c>
      <c r="AH41" s="287" t="s">
        <v>2479</v>
      </c>
      <c r="AI41" s="287" t="s">
        <v>2479</v>
      </c>
      <c r="AJ41" s="304" t="s">
        <v>2191</v>
      </c>
      <c r="AK41" s="287" t="s">
        <v>2479</v>
      </c>
      <c r="AL41" s="304" t="s">
        <v>2190</v>
      </c>
      <c r="AM41" s="289" t="s">
        <v>1975</v>
      </c>
      <c r="AN41" s="281" t="b">
        <v>0</v>
      </c>
      <c r="AO41" s="305"/>
      <c r="AP41" s="291"/>
      <c r="AQ41" s="291"/>
      <c r="AR41" s="291"/>
      <c r="AS41" s="291"/>
      <c r="AT41" s="291"/>
      <c r="AU41" s="291"/>
      <c r="AV41" s="305"/>
      <c r="AW41" s="281"/>
      <c r="AX41" s="281"/>
      <c r="AY41" s="289" t="s">
        <v>2479</v>
      </c>
      <c r="AZ41" s="289" t="s">
        <v>2479</v>
      </c>
      <c r="BA41" s="289" t="s">
        <v>373</v>
      </c>
      <c r="BB41" s="289" t="s">
        <v>1610</v>
      </c>
      <c r="BC41" s="292" t="s">
        <v>2192</v>
      </c>
      <c r="BD41" s="280"/>
      <c r="BE41" s="280"/>
      <c r="BF41" s="280"/>
      <c r="BG41" s="280"/>
    </row>
    <row r="42" spans="1:59" ht="45" customHeight="1">
      <c r="A42" s="271">
        <f t="shared" si="0"/>
        <v>41</v>
      </c>
      <c r="B42" s="276" t="s">
        <v>3139</v>
      </c>
      <c r="C42" s="277" t="s">
        <v>3140</v>
      </c>
      <c r="D42" s="277" t="s">
        <v>8</v>
      </c>
      <c r="E42" s="277" t="s">
        <v>9</v>
      </c>
      <c r="F42" s="277" t="s">
        <v>1753</v>
      </c>
      <c r="G42" s="307">
        <v>44867</v>
      </c>
      <c r="H42" s="308"/>
      <c r="I42" s="308"/>
      <c r="J42" s="277"/>
      <c r="K42" s="279"/>
      <c r="L42" s="277" t="s">
        <v>2479</v>
      </c>
      <c r="M42" s="277" t="s">
        <v>2479</v>
      </c>
      <c r="N42" s="277" t="s">
        <v>122</v>
      </c>
      <c r="O42" s="277" t="s">
        <v>2479</v>
      </c>
      <c r="P42" s="277" t="s">
        <v>1554</v>
      </c>
      <c r="Q42" s="277" t="s">
        <v>2198</v>
      </c>
      <c r="R42" s="279" t="s">
        <v>3141</v>
      </c>
      <c r="S42" s="286">
        <v>2022</v>
      </c>
      <c r="T42" s="277" t="s">
        <v>2001</v>
      </c>
      <c r="U42" s="277" t="s">
        <v>678</v>
      </c>
      <c r="V42" s="277" t="s">
        <v>679</v>
      </c>
      <c r="W42" s="277" t="s">
        <v>145</v>
      </c>
      <c r="X42" s="277" t="s">
        <v>309</v>
      </c>
      <c r="Y42" s="278">
        <v>45078</v>
      </c>
      <c r="Z42" s="287" t="s">
        <v>1875</v>
      </c>
      <c r="AA42" s="287" t="s">
        <v>2479</v>
      </c>
      <c r="AB42" s="287" t="s">
        <v>139</v>
      </c>
      <c r="AC42" s="287" t="s">
        <v>1875</v>
      </c>
      <c r="AD42" s="287" t="s">
        <v>1805</v>
      </c>
      <c r="AE42" s="287" t="s">
        <v>1805</v>
      </c>
      <c r="AF42" s="287" t="s">
        <v>2479</v>
      </c>
      <c r="AG42" s="287" t="s">
        <v>2479</v>
      </c>
      <c r="AH42" s="287" t="s">
        <v>2479</v>
      </c>
      <c r="AI42" s="287" t="s">
        <v>2479</v>
      </c>
      <c r="AJ42" s="304" t="s">
        <v>2191</v>
      </c>
      <c r="AK42" s="287" t="s">
        <v>2479</v>
      </c>
      <c r="AL42" s="304" t="s">
        <v>2190</v>
      </c>
      <c r="AM42" s="289" t="s">
        <v>1975</v>
      </c>
      <c r="AN42" s="281" t="b">
        <v>0</v>
      </c>
      <c r="AO42" s="305"/>
      <c r="AP42" s="291"/>
      <c r="AQ42" s="291"/>
      <c r="AR42" s="291"/>
      <c r="AS42" s="291"/>
      <c r="AT42" s="291"/>
      <c r="AU42" s="291"/>
      <c r="AV42" s="305"/>
      <c r="AW42" s="281"/>
      <c r="AX42" s="281"/>
      <c r="AY42" s="289" t="s">
        <v>2479</v>
      </c>
      <c r="AZ42" s="289" t="s">
        <v>2479</v>
      </c>
      <c r="BA42" s="289" t="s">
        <v>373</v>
      </c>
      <c r="BB42" s="289" t="s">
        <v>1610</v>
      </c>
      <c r="BC42" s="292" t="s">
        <v>2192</v>
      </c>
      <c r="BD42" s="280"/>
      <c r="BE42" s="280"/>
      <c r="BF42" s="280"/>
      <c r="BG42" s="280"/>
    </row>
    <row r="43" spans="1:59" ht="45" customHeight="1">
      <c r="A43" s="271">
        <f t="shared" si="0"/>
        <v>42</v>
      </c>
      <c r="B43" s="276" t="s">
        <v>3167</v>
      </c>
      <c r="C43" s="277" t="s">
        <v>3168</v>
      </c>
      <c r="D43" s="277" t="s">
        <v>8</v>
      </c>
      <c r="E43" s="277" t="s">
        <v>9</v>
      </c>
      <c r="F43" s="277" t="s">
        <v>1753</v>
      </c>
      <c r="G43" s="307">
        <v>44902</v>
      </c>
      <c r="H43" s="308"/>
      <c r="I43" s="308"/>
      <c r="J43" s="277"/>
      <c r="K43" s="279"/>
      <c r="L43" s="277" t="s">
        <v>2479</v>
      </c>
      <c r="M43" s="277" t="s">
        <v>2479</v>
      </c>
      <c r="N43" s="277" t="s">
        <v>122</v>
      </c>
      <c r="O43" s="277" t="s">
        <v>2479</v>
      </c>
      <c r="P43" s="277" t="s">
        <v>1554</v>
      </c>
      <c r="Q43" s="277" t="s">
        <v>2198</v>
      </c>
      <c r="R43" s="279" t="s">
        <v>3169</v>
      </c>
      <c r="S43" s="286">
        <v>2022</v>
      </c>
      <c r="T43" s="277" t="s">
        <v>2001</v>
      </c>
      <c r="U43" s="277" t="s">
        <v>678</v>
      </c>
      <c r="V43" s="277" t="s">
        <v>679</v>
      </c>
      <c r="W43" s="277" t="s">
        <v>145</v>
      </c>
      <c r="X43" s="277" t="s">
        <v>309</v>
      </c>
      <c r="Y43" s="278">
        <v>45078</v>
      </c>
      <c r="Z43" s="287" t="s">
        <v>1875</v>
      </c>
      <c r="AA43" s="287" t="s">
        <v>2479</v>
      </c>
      <c r="AB43" s="287" t="s">
        <v>139</v>
      </c>
      <c r="AC43" s="287" t="s">
        <v>1875</v>
      </c>
      <c r="AD43" s="287" t="s">
        <v>1805</v>
      </c>
      <c r="AE43" s="287" t="s">
        <v>1805</v>
      </c>
      <c r="AF43" s="287" t="s">
        <v>2479</v>
      </c>
      <c r="AG43" s="287" t="s">
        <v>2479</v>
      </c>
      <c r="AH43" s="287" t="s">
        <v>2479</v>
      </c>
      <c r="AI43" s="287" t="s">
        <v>2479</v>
      </c>
      <c r="AJ43" s="304" t="s">
        <v>2191</v>
      </c>
      <c r="AK43" s="287" t="s">
        <v>2479</v>
      </c>
      <c r="AL43" s="304" t="s">
        <v>2190</v>
      </c>
      <c r="AM43" s="289" t="s">
        <v>1975</v>
      </c>
      <c r="AN43" s="281" t="b">
        <v>0</v>
      </c>
      <c r="AO43" s="305"/>
      <c r="AP43" s="291"/>
      <c r="AQ43" s="291"/>
      <c r="AR43" s="291"/>
      <c r="AS43" s="291"/>
      <c r="AT43" s="291"/>
      <c r="AU43" s="291"/>
      <c r="AV43" s="305"/>
      <c r="AW43" s="281"/>
      <c r="AX43" s="281"/>
      <c r="AY43" s="289" t="s">
        <v>2479</v>
      </c>
      <c r="AZ43" s="289" t="s">
        <v>2479</v>
      </c>
      <c r="BA43" s="289" t="s">
        <v>373</v>
      </c>
      <c r="BB43" s="289" t="s">
        <v>1610</v>
      </c>
      <c r="BC43" s="292" t="s">
        <v>2192</v>
      </c>
      <c r="BD43" s="280"/>
      <c r="BE43" s="280"/>
      <c r="BF43" s="280"/>
      <c r="BG43" s="280"/>
    </row>
    <row r="44" spans="1:59" ht="45" customHeight="1">
      <c r="A44" s="271">
        <f t="shared" si="0"/>
        <v>43</v>
      </c>
      <c r="B44" s="276" t="s">
        <v>3170</v>
      </c>
      <c r="C44" s="277" t="s">
        <v>3171</v>
      </c>
      <c r="D44" s="277" t="s">
        <v>8</v>
      </c>
      <c r="E44" s="277" t="s">
        <v>9</v>
      </c>
      <c r="F44" s="277" t="s">
        <v>1753</v>
      </c>
      <c r="G44" s="307">
        <v>44911</v>
      </c>
      <c r="H44" s="308"/>
      <c r="I44" s="308"/>
      <c r="J44" s="277"/>
      <c r="K44" s="279">
        <v>45099</v>
      </c>
      <c r="L44" s="277" t="s">
        <v>2193</v>
      </c>
      <c r="M44" s="277" t="s">
        <v>115</v>
      </c>
      <c r="N44" s="277" t="s">
        <v>2479</v>
      </c>
      <c r="O44" s="277" t="s">
        <v>2479</v>
      </c>
      <c r="P44" s="277" t="s">
        <v>1554</v>
      </c>
      <c r="Q44" s="277" t="s">
        <v>2198</v>
      </c>
      <c r="R44" s="279">
        <v>44992.546307870369</v>
      </c>
      <c r="S44" s="286">
        <v>2022</v>
      </c>
      <c r="T44" s="277" t="s">
        <v>2194</v>
      </c>
      <c r="U44" s="277" t="s">
        <v>678</v>
      </c>
      <c r="V44" s="277" t="s">
        <v>679</v>
      </c>
      <c r="W44" s="277" t="s">
        <v>145</v>
      </c>
      <c r="X44" s="277" t="s">
        <v>309</v>
      </c>
      <c r="Y44" s="278">
        <v>45078</v>
      </c>
      <c r="Z44" s="287" t="s">
        <v>1875</v>
      </c>
      <c r="AA44" s="287" t="s">
        <v>2479</v>
      </c>
      <c r="AB44" s="287" t="s">
        <v>139</v>
      </c>
      <c r="AC44" s="287" t="s">
        <v>1875</v>
      </c>
      <c r="AD44" s="287" t="s">
        <v>1805</v>
      </c>
      <c r="AE44" s="287" t="s">
        <v>1805</v>
      </c>
      <c r="AF44" s="287" t="s">
        <v>2479</v>
      </c>
      <c r="AG44" s="287" t="s">
        <v>2479</v>
      </c>
      <c r="AH44" s="287" t="s">
        <v>2479</v>
      </c>
      <c r="AI44" s="287" t="s">
        <v>2479</v>
      </c>
      <c r="AJ44" s="304" t="s">
        <v>2191</v>
      </c>
      <c r="AK44" s="287" t="s">
        <v>2479</v>
      </c>
      <c r="AL44" s="304" t="s">
        <v>2190</v>
      </c>
      <c r="AM44" s="289" t="s">
        <v>1975</v>
      </c>
      <c r="AN44" s="281" t="b">
        <v>0</v>
      </c>
      <c r="AO44" s="305"/>
      <c r="AP44" s="291"/>
      <c r="AQ44" s="291"/>
      <c r="AR44" s="291"/>
      <c r="AS44" s="291"/>
      <c r="AT44" s="291"/>
      <c r="AU44" s="291"/>
      <c r="AV44" s="305"/>
      <c r="AW44" s="281"/>
      <c r="AX44" s="281"/>
      <c r="AY44" s="289" t="s">
        <v>2479</v>
      </c>
      <c r="AZ44" s="289" t="s">
        <v>2479</v>
      </c>
      <c r="BA44" s="289" t="s">
        <v>373</v>
      </c>
      <c r="BB44" s="289" t="s">
        <v>139</v>
      </c>
      <c r="BC44" s="292" t="s">
        <v>2192</v>
      </c>
      <c r="BD44" s="280"/>
      <c r="BE44" s="280"/>
      <c r="BF44" s="280"/>
      <c r="BG44" s="280"/>
    </row>
    <row r="45" spans="1:59" ht="45" customHeight="1">
      <c r="A45" s="271">
        <f t="shared" si="0"/>
        <v>44</v>
      </c>
      <c r="B45" s="276" t="s">
        <v>3172</v>
      </c>
      <c r="C45" s="277" t="s">
        <v>3173</v>
      </c>
      <c r="D45" s="277" t="s">
        <v>8</v>
      </c>
      <c r="E45" s="277" t="s">
        <v>9</v>
      </c>
      <c r="F45" s="277" t="s">
        <v>1753</v>
      </c>
      <c r="G45" s="307">
        <v>44915</v>
      </c>
      <c r="H45" s="308"/>
      <c r="I45" s="308"/>
      <c r="J45" s="277"/>
      <c r="K45" s="279"/>
      <c r="L45" s="277" t="s">
        <v>2479</v>
      </c>
      <c r="M45" s="277" t="s">
        <v>2479</v>
      </c>
      <c r="N45" s="277" t="s">
        <v>122</v>
      </c>
      <c r="O45" s="277" t="s">
        <v>2479</v>
      </c>
      <c r="P45" s="277" t="s">
        <v>1554</v>
      </c>
      <c r="Q45" s="277" t="s">
        <v>2198</v>
      </c>
      <c r="R45" s="279" t="s">
        <v>3174</v>
      </c>
      <c r="S45" s="286">
        <v>2022</v>
      </c>
      <c r="T45" s="277" t="s">
        <v>2001</v>
      </c>
      <c r="U45" s="277" t="s">
        <v>678</v>
      </c>
      <c r="V45" s="277" t="s">
        <v>679</v>
      </c>
      <c r="W45" s="277" t="s">
        <v>145</v>
      </c>
      <c r="X45" s="277" t="s">
        <v>309</v>
      </c>
      <c r="Y45" s="278">
        <v>45078</v>
      </c>
      <c r="Z45" s="287" t="s">
        <v>1875</v>
      </c>
      <c r="AA45" s="287" t="s">
        <v>2479</v>
      </c>
      <c r="AB45" s="287" t="s">
        <v>139</v>
      </c>
      <c r="AC45" s="287" t="s">
        <v>1875</v>
      </c>
      <c r="AD45" s="287" t="s">
        <v>1805</v>
      </c>
      <c r="AE45" s="287" t="s">
        <v>1805</v>
      </c>
      <c r="AF45" s="287" t="s">
        <v>2479</v>
      </c>
      <c r="AG45" s="287" t="s">
        <v>2479</v>
      </c>
      <c r="AH45" s="287" t="s">
        <v>2479</v>
      </c>
      <c r="AI45" s="287" t="s">
        <v>2479</v>
      </c>
      <c r="AJ45" s="304" t="s">
        <v>2191</v>
      </c>
      <c r="AK45" s="287" t="s">
        <v>2479</v>
      </c>
      <c r="AL45" s="304" t="s">
        <v>2190</v>
      </c>
      <c r="AM45" s="289" t="s">
        <v>1975</v>
      </c>
      <c r="AN45" s="281" t="b">
        <v>0</v>
      </c>
      <c r="AO45" s="305"/>
      <c r="AP45" s="291"/>
      <c r="AQ45" s="291"/>
      <c r="AR45" s="291"/>
      <c r="AS45" s="291"/>
      <c r="AT45" s="291"/>
      <c r="AU45" s="291"/>
      <c r="AV45" s="305"/>
      <c r="AW45" s="281"/>
      <c r="AX45" s="281"/>
      <c r="AY45" s="289" t="s">
        <v>2479</v>
      </c>
      <c r="AZ45" s="289" t="s">
        <v>2479</v>
      </c>
      <c r="BA45" s="289" t="s">
        <v>373</v>
      </c>
      <c r="BB45" s="289" t="s">
        <v>1610</v>
      </c>
      <c r="BC45" s="292" t="s">
        <v>2192</v>
      </c>
      <c r="BD45" s="280"/>
      <c r="BE45" s="280"/>
      <c r="BF45" s="280"/>
      <c r="BG45" s="280"/>
    </row>
    <row r="46" spans="1:59" ht="45" customHeight="1">
      <c r="A46" s="271">
        <f t="shared" si="0"/>
        <v>45</v>
      </c>
      <c r="B46" s="284" t="s">
        <v>2247</v>
      </c>
      <c r="C46" s="270" t="s">
        <v>3320</v>
      </c>
      <c r="D46" s="270" t="s">
        <v>8</v>
      </c>
      <c r="E46" s="270" t="s">
        <v>9</v>
      </c>
      <c r="F46" s="270" t="s">
        <v>1753</v>
      </c>
      <c r="G46" s="302">
        <v>44929</v>
      </c>
      <c r="L46" s="270" t="s">
        <v>2479</v>
      </c>
      <c r="M46" s="270" t="s">
        <v>2479</v>
      </c>
      <c r="N46" s="272" t="s">
        <v>122</v>
      </c>
      <c r="O46" s="270" t="s">
        <v>2479</v>
      </c>
      <c r="P46" s="270" t="s">
        <v>1554</v>
      </c>
      <c r="Q46" s="270" t="s">
        <v>2198</v>
      </c>
      <c r="R46" s="306" t="s">
        <v>3321</v>
      </c>
      <c r="S46" s="285">
        <v>2023</v>
      </c>
      <c r="T46" s="270" t="s">
        <v>2001</v>
      </c>
      <c r="U46" s="270" t="s">
        <v>678</v>
      </c>
      <c r="V46" s="270" t="s">
        <v>679</v>
      </c>
      <c r="W46" s="270" t="s">
        <v>145</v>
      </c>
      <c r="X46" s="270" t="s">
        <v>309</v>
      </c>
      <c r="Y46" s="273">
        <v>45078</v>
      </c>
      <c r="Z46" s="288" t="s">
        <v>1875</v>
      </c>
      <c r="AA46" s="288" t="s">
        <v>2479</v>
      </c>
      <c r="AB46" s="288" t="s">
        <v>139</v>
      </c>
      <c r="AC46" s="288" t="s">
        <v>1875</v>
      </c>
      <c r="AD46" s="288" t="s">
        <v>1805</v>
      </c>
      <c r="AE46" s="288" t="s">
        <v>1805</v>
      </c>
      <c r="AF46" s="288" t="s">
        <v>2479</v>
      </c>
      <c r="AG46" s="288" t="s">
        <v>2479</v>
      </c>
      <c r="AH46" s="288" t="s">
        <v>2479</v>
      </c>
      <c r="AI46" s="288" t="s">
        <v>2479</v>
      </c>
      <c r="AJ46" s="303" t="s">
        <v>2191</v>
      </c>
      <c r="AK46" s="288" t="s">
        <v>2479</v>
      </c>
      <c r="AL46" s="303" t="s">
        <v>2190</v>
      </c>
      <c r="AM46" s="288" t="s">
        <v>1975</v>
      </c>
      <c r="AN46" s="207" t="b">
        <v>0</v>
      </c>
      <c r="AY46" s="288" t="s">
        <v>2479</v>
      </c>
      <c r="AZ46" s="288" t="s">
        <v>2479</v>
      </c>
      <c r="BA46" s="288" t="s">
        <v>373</v>
      </c>
      <c r="BB46" s="288" t="s">
        <v>1610</v>
      </c>
      <c r="BC46" s="288" t="s">
        <v>2192</v>
      </c>
      <c r="BD46" s="280"/>
      <c r="BE46" s="280"/>
      <c r="BF46" s="280"/>
      <c r="BG46" s="280"/>
    </row>
    <row r="47" spans="1:59" ht="45" customHeight="1">
      <c r="A47" s="271">
        <f t="shared" si="0"/>
        <v>46</v>
      </c>
      <c r="B47" s="284" t="s">
        <v>2245</v>
      </c>
      <c r="C47" s="270" t="s">
        <v>3322</v>
      </c>
      <c r="D47" s="270" t="s">
        <v>8</v>
      </c>
      <c r="E47" s="270" t="s">
        <v>9</v>
      </c>
      <c r="F47" s="270" t="s">
        <v>1753</v>
      </c>
      <c r="G47" s="302">
        <v>44929</v>
      </c>
      <c r="L47" s="270" t="s">
        <v>2479</v>
      </c>
      <c r="M47" s="270" t="s">
        <v>2479</v>
      </c>
      <c r="N47" s="272" t="s">
        <v>122</v>
      </c>
      <c r="O47" s="270" t="s">
        <v>2479</v>
      </c>
      <c r="P47" s="270" t="s">
        <v>1554</v>
      </c>
      <c r="Q47" s="270" t="s">
        <v>2198</v>
      </c>
      <c r="R47" s="306" t="s">
        <v>3323</v>
      </c>
      <c r="S47" s="285">
        <v>2023</v>
      </c>
      <c r="T47" s="270" t="s">
        <v>2001</v>
      </c>
      <c r="U47" s="270" t="s">
        <v>678</v>
      </c>
      <c r="V47" s="270" t="s">
        <v>679</v>
      </c>
      <c r="W47" s="270" t="s">
        <v>145</v>
      </c>
      <c r="X47" s="270" t="s">
        <v>309</v>
      </c>
      <c r="Y47" s="273">
        <v>45078</v>
      </c>
      <c r="Z47" s="288" t="s">
        <v>1875</v>
      </c>
      <c r="AA47" s="288" t="s">
        <v>2479</v>
      </c>
      <c r="AB47" s="288" t="s">
        <v>139</v>
      </c>
      <c r="AC47" s="288" t="s">
        <v>1875</v>
      </c>
      <c r="AD47" s="288" t="s">
        <v>1805</v>
      </c>
      <c r="AE47" s="288" t="s">
        <v>1805</v>
      </c>
      <c r="AF47" s="288" t="s">
        <v>2479</v>
      </c>
      <c r="AG47" s="288" t="s">
        <v>2479</v>
      </c>
      <c r="AH47" s="288" t="s">
        <v>2479</v>
      </c>
      <c r="AI47" s="288" t="s">
        <v>2479</v>
      </c>
      <c r="AJ47" s="303" t="s">
        <v>2191</v>
      </c>
      <c r="AK47" s="288" t="s">
        <v>2479</v>
      </c>
      <c r="AL47" s="303" t="s">
        <v>2190</v>
      </c>
      <c r="AM47" s="288" t="s">
        <v>1975</v>
      </c>
      <c r="AN47" s="207" t="b">
        <v>0</v>
      </c>
      <c r="AY47" s="288" t="s">
        <v>2479</v>
      </c>
      <c r="AZ47" s="288" t="s">
        <v>2479</v>
      </c>
      <c r="BA47" s="288" t="s">
        <v>373</v>
      </c>
      <c r="BB47" s="288" t="s">
        <v>1610</v>
      </c>
      <c r="BC47" s="288" t="s">
        <v>2192</v>
      </c>
      <c r="BD47" s="280"/>
      <c r="BE47" s="280"/>
      <c r="BF47" s="280"/>
      <c r="BG47" s="280"/>
    </row>
    <row r="48" spans="1:59" ht="45" customHeight="1">
      <c r="A48" s="271">
        <f t="shared" si="0"/>
        <v>47</v>
      </c>
      <c r="B48" s="284" t="s">
        <v>2219</v>
      </c>
      <c r="C48" s="270" t="s">
        <v>3324</v>
      </c>
      <c r="D48" s="270" t="s">
        <v>8</v>
      </c>
      <c r="E48" s="270" t="s">
        <v>9</v>
      </c>
      <c r="F48" s="270" t="s">
        <v>1753</v>
      </c>
      <c r="G48" s="302">
        <v>44949</v>
      </c>
      <c r="L48" s="270" t="s">
        <v>2479</v>
      </c>
      <c r="M48" s="270" t="s">
        <v>2479</v>
      </c>
      <c r="N48" s="272" t="s">
        <v>122</v>
      </c>
      <c r="O48" s="270" t="s">
        <v>2479</v>
      </c>
      <c r="P48" s="270" t="s">
        <v>1554</v>
      </c>
      <c r="Q48" s="270" t="s">
        <v>2198</v>
      </c>
      <c r="R48" s="306" t="s">
        <v>3325</v>
      </c>
      <c r="S48" s="285">
        <v>2023</v>
      </c>
      <c r="T48" s="270" t="s">
        <v>2001</v>
      </c>
      <c r="U48" s="270" t="s">
        <v>678</v>
      </c>
      <c r="V48" s="270" t="s">
        <v>679</v>
      </c>
      <c r="W48" s="270" t="s">
        <v>145</v>
      </c>
      <c r="X48" s="270" t="s">
        <v>309</v>
      </c>
      <c r="Y48" s="273">
        <v>45078</v>
      </c>
      <c r="Z48" s="288" t="s">
        <v>1875</v>
      </c>
      <c r="AA48" s="288" t="s">
        <v>2479</v>
      </c>
      <c r="AB48" s="288" t="s">
        <v>139</v>
      </c>
      <c r="AC48" s="288" t="s">
        <v>1875</v>
      </c>
      <c r="AD48" s="288" t="s">
        <v>1805</v>
      </c>
      <c r="AE48" s="288" t="s">
        <v>1805</v>
      </c>
      <c r="AF48" s="288" t="s">
        <v>2479</v>
      </c>
      <c r="AG48" s="288" t="s">
        <v>2479</v>
      </c>
      <c r="AH48" s="288" t="s">
        <v>2479</v>
      </c>
      <c r="AI48" s="288" t="s">
        <v>2479</v>
      </c>
      <c r="AJ48" s="303" t="s">
        <v>2191</v>
      </c>
      <c r="AK48" s="288" t="s">
        <v>2479</v>
      </c>
      <c r="AL48" s="303" t="s">
        <v>2190</v>
      </c>
      <c r="AM48" s="288" t="s">
        <v>1975</v>
      </c>
      <c r="AN48" s="207" t="b">
        <v>0</v>
      </c>
      <c r="AY48" s="288" t="s">
        <v>2479</v>
      </c>
      <c r="AZ48" s="288" t="s">
        <v>2479</v>
      </c>
      <c r="BA48" s="288" t="s">
        <v>373</v>
      </c>
      <c r="BB48" s="288" t="s">
        <v>1610</v>
      </c>
      <c r="BC48" s="288" t="s">
        <v>2192</v>
      </c>
      <c r="BD48" s="280"/>
      <c r="BE48" s="280"/>
      <c r="BF48" s="280"/>
      <c r="BG48" s="280"/>
    </row>
    <row r="49" spans="1:59" ht="45" customHeight="1">
      <c r="A49" s="271">
        <f t="shared" si="0"/>
        <v>48</v>
      </c>
      <c r="B49" s="284" t="s">
        <v>3467</v>
      </c>
      <c r="C49" s="270" t="s">
        <v>3468</v>
      </c>
      <c r="D49" s="270" t="s">
        <v>8</v>
      </c>
      <c r="E49" s="270" t="s">
        <v>9</v>
      </c>
      <c r="F49" s="270" t="s">
        <v>1753</v>
      </c>
      <c r="G49" s="302">
        <v>44964</v>
      </c>
      <c r="L49" s="270" t="s">
        <v>2479</v>
      </c>
      <c r="M49" s="270" t="s">
        <v>2479</v>
      </c>
      <c r="N49" s="272" t="s">
        <v>122</v>
      </c>
      <c r="O49" s="270" t="s">
        <v>2479</v>
      </c>
      <c r="P49" s="270" t="s">
        <v>1554</v>
      </c>
      <c r="Q49" s="270" t="s">
        <v>2198</v>
      </c>
      <c r="R49" s="306">
        <v>44932.497812499998</v>
      </c>
      <c r="S49" s="285">
        <v>2023</v>
      </c>
      <c r="T49" s="270" t="s">
        <v>2001</v>
      </c>
      <c r="U49" s="270" t="s">
        <v>678</v>
      </c>
      <c r="V49" s="270" t="s">
        <v>679</v>
      </c>
      <c r="W49" s="270" t="s">
        <v>145</v>
      </c>
      <c r="X49" s="270" t="s">
        <v>309</v>
      </c>
      <c r="Y49" s="273">
        <v>45078</v>
      </c>
      <c r="Z49" s="288" t="s">
        <v>1875</v>
      </c>
      <c r="AA49" s="288" t="s">
        <v>2479</v>
      </c>
      <c r="AB49" s="288" t="s">
        <v>139</v>
      </c>
      <c r="AC49" s="288" t="s">
        <v>1875</v>
      </c>
      <c r="AD49" s="288" t="s">
        <v>1805</v>
      </c>
      <c r="AE49" s="288" t="s">
        <v>1805</v>
      </c>
      <c r="AF49" s="288" t="s">
        <v>2479</v>
      </c>
      <c r="AG49" s="288" t="s">
        <v>2479</v>
      </c>
      <c r="AH49" s="288" t="s">
        <v>2479</v>
      </c>
      <c r="AI49" s="288" t="s">
        <v>2479</v>
      </c>
      <c r="AJ49" s="303" t="s">
        <v>2191</v>
      </c>
      <c r="AK49" s="288" t="s">
        <v>2479</v>
      </c>
      <c r="AL49" s="303" t="s">
        <v>2190</v>
      </c>
      <c r="AM49" s="288" t="s">
        <v>1975</v>
      </c>
      <c r="AN49" s="207" t="b">
        <v>0</v>
      </c>
      <c r="AY49" s="288" t="s">
        <v>2479</v>
      </c>
      <c r="AZ49" s="288" t="s">
        <v>2479</v>
      </c>
      <c r="BA49" s="288" t="s">
        <v>373</v>
      </c>
      <c r="BB49" s="288" t="s">
        <v>1610</v>
      </c>
      <c r="BC49" s="288" t="s">
        <v>2192</v>
      </c>
      <c r="BD49" s="280"/>
      <c r="BE49" s="280"/>
      <c r="BF49" s="280"/>
      <c r="BG49" s="280"/>
    </row>
    <row r="50" spans="1:59" ht="45" customHeight="1">
      <c r="A50" s="271">
        <f t="shared" si="0"/>
        <v>49</v>
      </c>
      <c r="B50" s="284" t="s">
        <v>2251</v>
      </c>
      <c r="C50" s="270" t="s">
        <v>3469</v>
      </c>
      <c r="D50" s="270" t="s">
        <v>8</v>
      </c>
      <c r="E50" s="270" t="s">
        <v>9</v>
      </c>
      <c r="F50" s="270" t="s">
        <v>1753</v>
      </c>
      <c r="G50" s="302">
        <v>44971</v>
      </c>
      <c r="L50" s="270" t="s">
        <v>2479</v>
      </c>
      <c r="M50" s="270" t="s">
        <v>2479</v>
      </c>
      <c r="N50" s="272" t="s">
        <v>122</v>
      </c>
      <c r="O50" s="270" t="s">
        <v>2479</v>
      </c>
      <c r="P50" s="270" t="s">
        <v>1554</v>
      </c>
      <c r="Q50" s="270" t="s">
        <v>2198</v>
      </c>
      <c r="R50" s="306" t="s">
        <v>3470</v>
      </c>
      <c r="S50" s="285">
        <v>2023</v>
      </c>
      <c r="T50" s="270" t="s">
        <v>2001</v>
      </c>
      <c r="U50" s="270" t="s">
        <v>678</v>
      </c>
      <c r="V50" s="270" t="s">
        <v>679</v>
      </c>
      <c r="W50" s="270" t="s">
        <v>145</v>
      </c>
      <c r="X50" s="270" t="s">
        <v>309</v>
      </c>
      <c r="Y50" s="273">
        <v>45078</v>
      </c>
      <c r="Z50" s="288" t="s">
        <v>1875</v>
      </c>
      <c r="AA50" s="288" t="s">
        <v>2479</v>
      </c>
      <c r="AB50" s="288" t="s">
        <v>139</v>
      </c>
      <c r="AC50" s="288" t="s">
        <v>1875</v>
      </c>
      <c r="AD50" s="288" t="s">
        <v>1805</v>
      </c>
      <c r="AE50" s="288" t="s">
        <v>1805</v>
      </c>
      <c r="AF50" s="288" t="s">
        <v>2479</v>
      </c>
      <c r="AG50" s="288" t="s">
        <v>2479</v>
      </c>
      <c r="AH50" s="288" t="s">
        <v>2479</v>
      </c>
      <c r="AI50" s="288" t="s">
        <v>2479</v>
      </c>
      <c r="AJ50" s="303" t="s">
        <v>2191</v>
      </c>
      <c r="AK50" s="288" t="s">
        <v>2479</v>
      </c>
      <c r="AL50" s="303" t="s">
        <v>2190</v>
      </c>
      <c r="AM50" s="288" t="s">
        <v>1975</v>
      </c>
      <c r="AN50" s="207" t="b">
        <v>0</v>
      </c>
      <c r="AY50" s="288" t="s">
        <v>2479</v>
      </c>
      <c r="AZ50" s="288" t="s">
        <v>2479</v>
      </c>
      <c r="BA50" s="288" t="s">
        <v>373</v>
      </c>
      <c r="BB50" s="288" t="s">
        <v>1610</v>
      </c>
      <c r="BC50" s="288" t="s">
        <v>2192</v>
      </c>
      <c r="BD50" s="280"/>
      <c r="BE50" s="280"/>
      <c r="BF50" s="280"/>
      <c r="BG50" s="280"/>
    </row>
    <row r="51" spans="1:59" ht="45" customHeight="1">
      <c r="A51" s="271">
        <f t="shared" si="0"/>
        <v>50</v>
      </c>
      <c r="B51" s="284" t="s">
        <v>2254</v>
      </c>
      <c r="C51" s="270" t="s">
        <v>3471</v>
      </c>
      <c r="D51" s="270" t="s">
        <v>8</v>
      </c>
      <c r="E51" s="270" t="s">
        <v>9</v>
      </c>
      <c r="F51" s="270" t="s">
        <v>1753</v>
      </c>
      <c r="G51" s="302">
        <v>44972</v>
      </c>
      <c r="L51" s="270" t="s">
        <v>2479</v>
      </c>
      <c r="M51" s="270" t="s">
        <v>2479</v>
      </c>
      <c r="N51" s="272" t="s">
        <v>122</v>
      </c>
      <c r="O51" s="270" t="s">
        <v>2479</v>
      </c>
      <c r="P51" s="270" t="s">
        <v>1554</v>
      </c>
      <c r="Q51" s="270" t="s">
        <v>2198</v>
      </c>
      <c r="R51" s="306" t="s">
        <v>3472</v>
      </c>
      <c r="S51" s="285">
        <v>2023</v>
      </c>
      <c r="T51" s="270" t="s">
        <v>2001</v>
      </c>
      <c r="U51" s="270" t="s">
        <v>678</v>
      </c>
      <c r="V51" s="270" t="s">
        <v>679</v>
      </c>
      <c r="W51" s="270" t="s">
        <v>145</v>
      </c>
      <c r="X51" s="270" t="s">
        <v>309</v>
      </c>
      <c r="Y51" s="273">
        <v>45078</v>
      </c>
      <c r="Z51" s="288" t="s">
        <v>1875</v>
      </c>
      <c r="AA51" s="288" t="s">
        <v>2479</v>
      </c>
      <c r="AB51" s="288" t="s">
        <v>139</v>
      </c>
      <c r="AC51" s="288" t="s">
        <v>1875</v>
      </c>
      <c r="AD51" s="288" t="s">
        <v>1805</v>
      </c>
      <c r="AE51" s="288" t="s">
        <v>1805</v>
      </c>
      <c r="AF51" s="288" t="s">
        <v>2479</v>
      </c>
      <c r="AG51" s="288" t="s">
        <v>2479</v>
      </c>
      <c r="AH51" s="288" t="s">
        <v>2479</v>
      </c>
      <c r="AI51" s="288" t="s">
        <v>2479</v>
      </c>
      <c r="AJ51" s="303" t="s">
        <v>2191</v>
      </c>
      <c r="AK51" s="288" t="s">
        <v>2479</v>
      </c>
      <c r="AL51" s="303" t="s">
        <v>2190</v>
      </c>
      <c r="AM51" s="288" t="s">
        <v>1975</v>
      </c>
      <c r="AN51" s="207" t="b">
        <v>0</v>
      </c>
      <c r="AY51" s="288" t="s">
        <v>2479</v>
      </c>
      <c r="AZ51" s="288" t="s">
        <v>2479</v>
      </c>
      <c r="BA51" s="288" t="s">
        <v>373</v>
      </c>
      <c r="BB51" s="288" t="s">
        <v>1610</v>
      </c>
      <c r="BC51" s="288" t="s">
        <v>2192</v>
      </c>
      <c r="BD51" s="280"/>
      <c r="BE51" s="280"/>
      <c r="BF51" s="280"/>
      <c r="BG51" s="280"/>
    </row>
    <row r="52" spans="1:59" ht="45" customHeight="1">
      <c r="A52" s="271">
        <f t="shared" si="0"/>
        <v>51</v>
      </c>
      <c r="B52" s="284" t="s">
        <v>2222</v>
      </c>
      <c r="C52" s="270" t="s">
        <v>3489</v>
      </c>
      <c r="D52" s="270" t="s">
        <v>8</v>
      </c>
      <c r="E52" s="270" t="s">
        <v>9</v>
      </c>
      <c r="F52" s="270" t="s">
        <v>1753</v>
      </c>
      <c r="G52" s="302">
        <v>44984</v>
      </c>
      <c r="L52" s="270" t="s">
        <v>2479</v>
      </c>
      <c r="M52" s="270" t="s">
        <v>2479</v>
      </c>
      <c r="N52" s="272" t="s">
        <v>122</v>
      </c>
      <c r="O52" s="270" t="s">
        <v>2479</v>
      </c>
      <c r="P52" s="270" t="s">
        <v>1554</v>
      </c>
      <c r="Q52" s="270" t="s">
        <v>2198</v>
      </c>
      <c r="R52" s="306">
        <v>44929.435034722221</v>
      </c>
      <c r="S52" s="285">
        <v>2023</v>
      </c>
      <c r="T52" s="270" t="s">
        <v>2001</v>
      </c>
      <c r="U52" s="270" t="s">
        <v>678</v>
      </c>
      <c r="V52" s="270" t="s">
        <v>679</v>
      </c>
      <c r="W52" s="270" t="s">
        <v>145</v>
      </c>
      <c r="X52" s="270" t="s">
        <v>309</v>
      </c>
      <c r="Y52" s="273">
        <v>45078</v>
      </c>
      <c r="Z52" s="288" t="s">
        <v>1875</v>
      </c>
      <c r="AA52" s="288" t="s">
        <v>2479</v>
      </c>
      <c r="AB52" s="288" t="s">
        <v>139</v>
      </c>
      <c r="AC52" s="288" t="s">
        <v>1875</v>
      </c>
      <c r="AD52" s="288" t="s">
        <v>1805</v>
      </c>
      <c r="AE52" s="288" t="s">
        <v>1805</v>
      </c>
      <c r="AF52" s="288" t="s">
        <v>2479</v>
      </c>
      <c r="AG52" s="288" t="s">
        <v>2479</v>
      </c>
      <c r="AH52" s="288" t="s">
        <v>2479</v>
      </c>
      <c r="AI52" s="288" t="s">
        <v>2479</v>
      </c>
      <c r="AJ52" s="303" t="s">
        <v>2191</v>
      </c>
      <c r="AK52" s="288" t="s">
        <v>2479</v>
      </c>
      <c r="AL52" s="303" t="s">
        <v>2190</v>
      </c>
      <c r="AM52" s="288" t="s">
        <v>1975</v>
      </c>
      <c r="AN52" s="207" t="b">
        <v>0</v>
      </c>
      <c r="AY52" s="288" t="s">
        <v>2479</v>
      </c>
      <c r="AZ52" s="288" t="s">
        <v>2479</v>
      </c>
      <c r="BA52" s="288" t="s">
        <v>373</v>
      </c>
      <c r="BB52" s="288" t="s">
        <v>1610</v>
      </c>
      <c r="BC52" s="288" t="s">
        <v>2192</v>
      </c>
      <c r="BD52" s="280"/>
      <c r="BE52" s="280"/>
      <c r="BF52" s="280"/>
      <c r="BG52" s="280"/>
    </row>
    <row r="53" spans="1:59" ht="45" customHeight="1">
      <c r="A53" s="271">
        <f t="shared" si="0"/>
        <v>52</v>
      </c>
      <c r="B53" s="284" t="s">
        <v>2258</v>
      </c>
      <c r="C53" s="270" t="s">
        <v>3658</v>
      </c>
      <c r="D53" s="270" t="s">
        <v>8</v>
      </c>
      <c r="E53" s="270" t="s">
        <v>9</v>
      </c>
      <c r="F53" s="270" t="s">
        <v>1753</v>
      </c>
      <c r="G53" s="302">
        <v>45017</v>
      </c>
      <c r="K53" s="306">
        <v>45086</v>
      </c>
      <c r="L53" s="270" t="s">
        <v>2193</v>
      </c>
      <c r="M53" s="270" t="s">
        <v>116</v>
      </c>
      <c r="N53" s="272" t="s">
        <v>2479</v>
      </c>
      <c r="O53" s="270" t="s">
        <v>2479</v>
      </c>
      <c r="P53" s="270" t="s">
        <v>1554</v>
      </c>
      <c r="Q53" s="270" t="s">
        <v>2198</v>
      </c>
      <c r="R53" s="306">
        <v>44992.528854166667</v>
      </c>
      <c r="S53" s="285">
        <v>2023</v>
      </c>
      <c r="T53" s="270" t="s">
        <v>2194</v>
      </c>
      <c r="U53" s="270" t="s">
        <v>678</v>
      </c>
      <c r="V53" s="270" t="s">
        <v>679</v>
      </c>
      <c r="W53" s="270" t="s">
        <v>145</v>
      </c>
      <c r="X53" s="270" t="s">
        <v>309</v>
      </c>
      <c r="Y53" s="273">
        <v>45078</v>
      </c>
      <c r="Z53" s="288" t="s">
        <v>1875</v>
      </c>
      <c r="AA53" s="288" t="s">
        <v>2479</v>
      </c>
      <c r="AB53" s="288" t="s">
        <v>139</v>
      </c>
      <c r="AC53" s="288" t="s">
        <v>1875</v>
      </c>
      <c r="AD53" s="288" t="s">
        <v>1805</v>
      </c>
      <c r="AE53" s="288" t="s">
        <v>1805</v>
      </c>
      <c r="AF53" s="288" t="s">
        <v>2479</v>
      </c>
      <c r="AG53" s="288" t="s">
        <v>2479</v>
      </c>
      <c r="AH53" s="288" t="s">
        <v>2479</v>
      </c>
      <c r="AI53" s="288" t="s">
        <v>2479</v>
      </c>
      <c r="AJ53" s="303" t="s">
        <v>2191</v>
      </c>
      <c r="AK53" s="288" t="s">
        <v>2479</v>
      </c>
      <c r="AL53" s="303" t="s">
        <v>2190</v>
      </c>
      <c r="AM53" s="288" t="s">
        <v>1975</v>
      </c>
      <c r="AN53" s="207" t="b">
        <v>0</v>
      </c>
      <c r="AY53" s="288" t="s">
        <v>2479</v>
      </c>
      <c r="AZ53" s="288" t="s">
        <v>2479</v>
      </c>
      <c r="BA53" s="288" t="s">
        <v>373</v>
      </c>
      <c r="BB53" s="288" t="s">
        <v>139</v>
      </c>
      <c r="BC53" s="288" t="s">
        <v>2192</v>
      </c>
      <c r="BD53" s="280"/>
      <c r="BE53" s="280"/>
      <c r="BF53" s="280"/>
      <c r="BG53" s="280"/>
    </row>
    <row r="54" spans="1:59" ht="45" customHeight="1">
      <c r="A54" s="271">
        <f t="shared" si="0"/>
        <v>53</v>
      </c>
      <c r="B54" s="284" t="s">
        <v>2199</v>
      </c>
      <c r="C54" s="270" t="s">
        <v>3962</v>
      </c>
      <c r="D54" s="270" t="s">
        <v>8</v>
      </c>
      <c r="E54" s="270" t="s">
        <v>9</v>
      </c>
      <c r="F54" s="270" t="s">
        <v>1753</v>
      </c>
      <c r="G54" s="302">
        <v>45017</v>
      </c>
      <c r="K54" s="306">
        <v>45086</v>
      </c>
      <c r="L54" s="270" t="s">
        <v>2193</v>
      </c>
      <c r="M54" s="270" t="s">
        <v>116</v>
      </c>
      <c r="N54" s="272" t="s">
        <v>2479</v>
      </c>
      <c r="O54" s="270" t="s">
        <v>2479</v>
      </c>
      <c r="P54" s="270" t="s">
        <v>1554</v>
      </c>
      <c r="Q54" s="270" t="s">
        <v>2198</v>
      </c>
      <c r="R54" s="306">
        <v>44992.529583333337</v>
      </c>
      <c r="S54" s="285">
        <v>2023</v>
      </c>
      <c r="T54" s="270" t="s">
        <v>2194</v>
      </c>
      <c r="U54" s="270" t="s">
        <v>678</v>
      </c>
      <c r="V54" s="270" t="s">
        <v>679</v>
      </c>
      <c r="W54" s="270" t="s">
        <v>145</v>
      </c>
      <c r="X54" s="270" t="s">
        <v>309</v>
      </c>
      <c r="Y54" s="273">
        <v>45078</v>
      </c>
      <c r="Z54" s="288" t="s">
        <v>1875</v>
      </c>
      <c r="AA54" s="288" t="s">
        <v>2479</v>
      </c>
      <c r="AB54" s="288" t="s">
        <v>139</v>
      </c>
      <c r="AC54" s="288" t="s">
        <v>1875</v>
      </c>
      <c r="AD54" s="288" t="s">
        <v>1805</v>
      </c>
      <c r="AE54" s="288" t="s">
        <v>1805</v>
      </c>
      <c r="AF54" s="288" t="s">
        <v>2479</v>
      </c>
      <c r="AG54" s="288" t="s">
        <v>2479</v>
      </c>
      <c r="AH54" s="288" t="s">
        <v>2479</v>
      </c>
      <c r="AI54" s="288" t="s">
        <v>2479</v>
      </c>
      <c r="AJ54" s="303" t="s">
        <v>2191</v>
      </c>
      <c r="AK54" s="288" t="s">
        <v>2479</v>
      </c>
      <c r="AL54" s="303" t="s">
        <v>2190</v>
      </c>
      <c r="AM54" s="288" t="s">
        <v>1975</v>
      </c>
      <c r="AN54" s="207" t="b">
        <v>0</v>
      </c>
      <c r="AY54" s="288" t="s">
        <v>2479</v>
      </c>
      <c r="AZ54" s="288" t="s">
        <v>2479</v>
      </c>
      <c r="BA54" s="288" t="s">
        <v>373</v>
      </c>
      <c r="BB54" s="288" t="s">
        <v>139</v>
      </c>
      <c r="BC54" s="288" t="s">
        <v>2192</v>
      </c>
      <c r="BD54" s="280"/>
      <c r="BE54" s="280"/>
      <c r="BF54" s="280"/>
      <c r="BG54" s="280"/>
    </row>
    <row r="55" spans="1:59" ht="45" customHeight="1">
      <c r="A55" s="271">
        <f t="shared" si="0"/>
        <v>54</v>
      </c>
      <c r="B55" s="284" t="s">
        <v>2201</v>
      </c>
      <c r="C55" s="270" t="s">
        <v>3752</v>
      </c>
      <c r="D55" s="270" t="s">
        <v>8</v>
      </c>
      <c r="E55" s="270" t="s">
        <v>9</v>
      </c>
      <c r="F55" s="270" t="s">
        <v>1753</v>
      </c>
      <c r="G55" s="302">
        <v>45048</v>
      </c>
      <c r="L55" s="270" t="s">
        <v>2479</v>
      </c>
      <c r="M55" s="270" t="s">
        <v>2479</v>
      </c>
      <c r="N55" s="272" t="s">
        <v>122</v>
      </c>
      <c r="O55" s="270" t="s">
        <v>2479</v>
      </c>
      <c r="P55" s="270" t="s">
        <v>1554</v>
      </c>
      <c r="Q55" s="270" t="s">
        <v>2198</v>
      </c>
      <c r="R55" s="306">
        <v>44932.459386574075</v>
      </c>
      <c r="S55" s="285">
        <v>2023</v>
      </c>
      <c r="T55" s="270" t="s">
        <v>2001</v>
      </c>
      <c r="U55" s="270" t="s">
        <v>678</v>
      </c>
      <c r="V55" s="270" t="s">
        <v>679</v>
      </c>
      <c r="W55" s="270" t="s">
        <v>145</v>
      </c>
      <c r="X55" s="270" t="s">
        <v>309</v>
      </c>
      <c r="Y55" s="273">
        <v>45078</v>
      </c>
      <c r="Z55" s="288" t="s">
        <v>1875</v>
      </c>
      <c r="AA55" s="288" t="s">
        <v>2479</v>
      </c>
      <c r="AB55" s="288" t="s">
        <v>139</v>
      </c>
      <c r="AC55" s="288" t="s">
        <v>1875</v>
      </c>
      <c r="AD55" s="288" t="s">
        <v>1805</v>
      </c>
      <c r="AE55" s="288" t="s">
        <v>1805</v>
      </c>
      <c r="AF55" s="288" t="s">
        <v>2479</v>
      </c>
      <c r="AG55" s="288" t="s">
        <v>2479</v>
      </c>
      <c r="AH55" s="288" t="s">
        <v>2479</v>
      </c>
      <c r="AI55" s="288" t="s">
        <v>2479</v>
      </c>
      <c r="AJ55" s="303" t="s">
        <v>2191</v>
      </c>
      <c r="AK55" s="288" t="s">
        <v>2479</v>
      </c>
      <c r="AL55" s="303" t="s">
        <v>2190</v>
      </c>
      <c r="AM55" s="288" t="s">
        <v>1975</v>
      </c>
      <c r="AN55" s="207" t="b">
        <v>0</v>
      </c>
      <c r="AY55" s="288" t="s">
        <v>2479</v>
      </c>
      <c r="AZ55" s="288" t="s">
        <v>2479</v>
      </c>
      <c r="BA55" s="288" t="s">
        <v>373</v>
      </c>
      <c r="BB55" s="288" t="s">
        <v>1610</v>
      </c>
      <c r="BC55" s="288" t="s">
        <v>2192</v>
      </c>
      <c r="BD55" s="280"/>
      <c r="BE55" s="280"/>
      <c r="BF55" s="280"/>
      <c r="BG55" s="280"/>
    </row>
    <row r="56" spans="1:59" ht="45" customHeight="1">
      <c r="A56" s="271">
        <f t="shared" si="0"/>
        <v>55</v>
      </c>
      <c r="B56" s="284" t="s">
        <v>2203</v>
      </c>
      <c r="C56" s="270" t="s">
        <v>3753</v>
      </c>
      <c r="D56" s="270" t="s">
        <v>8</v>
      </c>
      <c r="E56" s="270" t="s">
        <v>9</v>
      </c>
      <c r="F56" s="270" t="s">
        <v>1753</v>
      </c>
      <c r="G56" s="302">
        <v>45056</v>
      </c>
      <c r="L56" s="270" t="s">
        <v>2479</v>
      </c>
      <c r="M56" s="270" t="s">
        <v>2479</v>
      </c>
      <c r="N56" s="272" t="s">
        <v>122</v>
      </c>
      <c r="O56" s="270" t="s">
        <v>2479</v>
      </c>
      <c r="P56" s="270" t="s">
        <v>1554</v>
      </c>
      <c r="Q56" s="270" t="s">
        <v>2198</v>
      </c>
      <c r="R56" s="306">
        <v>44932.459768518522</v>
      </c>
      <c r="S56" s="285">
        <v>2023</v>
      </c>
      <c r="T56" s="270" t="s">
        <v>2001</v>
      </c>
      <c r="U56" s="270" t="s">
        <v>678</v>
      </c>
      <c r="V56" s="270" t="s">
        <v>679</v>
      </c>
      <c r="W56" s="270" t="s">
        <v>145</v>
      </c>
      <c r="X56" s="270" t="s">
        <v>309</v>
      </c>
      <c r="Y56" s="273">
        <v>45078</v>
      </c>
      <c r="Z56" s="288" t="s">
        <v>1875</v>
      </c>
      <c r="AA56" s="288" t="s">
        <v>2479</v>
      </c>
      <c r="AB56" s="288" t="s">
        <v>139</v>
      </c>
      <c r="AC56" s="288" t="s">
        <v>1875</v>
      </c>
      <c r="AD56" s="288" t="s">
        <v>1805</v>
      </c>
      <c r="AE56" s="288" t="s">
        <v>1805</v>
      </c>
      <c r="AF56" s="288" t="s">
        <v>2479</v>
      </c>
      <c r="AG56" s="288" t="s">
        <v>2479</v>
      </c>
      <c r="AH56" s="288" t="s">
        <v>2479</v>
      </c>
      <c r="AI56" s="288" t="s">
        <v>2479</v>
      </c>
      <c r="AJ56" s="303" t="s">
        <v>2191</v>
      </c>
      <c r="AK56" s="288" t="s">
        <v>2479</v>
      </c>
      <c r="AL56" s="303" t="s">
        <v>2190</v>
      </c>
      <c r="AM56" s="288" t="s">
        <v>1975</v>
      </c>
      <c r="AN56" s="207" t="b">
        <v>0</v>
      </c>
      <c r="AY56" s="288" t="s">
        <v>2479</v>
      </c>
      <c r="AZ56" s="288" t="s">
        <v>2479</v>
      </c>
      <c r="BA56" s="288" t="s">
        <v>373</v>
      </c>
      <c r="BB56" s="288" t="s">
        <v>1610</v>
      </c>
      <c r="BC56" s="288" t="s">
        <v>2192</v>
      </c>
      <c r="BD56" s="280"/>
      <c r="BE56" s="280"/>
      <c r="BF56" s="280"/>
      <c r="BG56" s="280"/>
    </row>
    <row r="57" spans="1:59" ht="45" customHeight="1">
      <c r="A57" s="271">
        <f t="shared" si="0"/>
        <v>56</v>
      </c>
      <c r="B57" s="284" t="s">
        <v>2263</v>
      </c>
      <c r="C57" s="270" t="s">
        <v>3754</v>
      </c>
      <c r="D57" s="270" t="s">
        <v>8</v>
      </c>
      <c r="E57" s="270" t="s">
        <v>9</v>
      </c>
      <c r="F57" s="270" t="s">
        <v>1753</v>
      </c>
      <c r="G57" s="302">
        <v>45063</v>
      </c>
      <c r="L57" s="270" t="s">
        <v>2479</v>
      </c>
      <c r="M57" s="270" t="s">
        <v>2479</v>
      </c>
      <c r="N57" s="272" t="s">
        <v>122</v>
      </c>
      <c r="O57" s="270" t="s">
        <v>2479</v>
      </c>
      <c r="P57" s="270" t="s">
        <v>1554</v>
      </c>
      <c r="Q57" s="270" t="s">
        <v>2198</v>
      </c>
      <c r="R57" s="306">
        <v>44932.460243055553</v>
      </c>
      <c r="S57" s="285">
        <v>2023</v>
      </c>
      <c r="T57" s="270" t="s">
        <v>2001</v>
      </c>
      <c r="U57" s="270" t="s">
        <v>678</v>
      </c>
      <c r="V57" s="270" t="s">
        <v>679</v>
      </c>
      <c r="W57" s="270" t="s">
        <v>145</v>
      </c>
      <c r="X57" s="270" t="s">
        <v>309</v>
      </c>
      <c r="Y57" s="273">
        <v>45078</v>
      </c>
      <c r="Z57" s="288" t="s">
        <v>1875</v>
      </c>
      <c r="AA57" s="288" t="s">
        <v>2479</v>
      </c>
      <c r="AB57" s="288" t="s">
        <v>139</v>
      </c>
      <c r="AC57" s="288" t="s">
        <v>1875</v>
      </c>
      <c r="AD57" s="288" t="s">
        <v>1805</v>
      </c>
      <c r="AE57" s="288" t="s">
        <v>1805</v>
      </c>
      <c r="AF57" s="288" t="s">
        <v>2479</v>
      </c>
      <c r="AG57" s="288" t="s">
        <v>2479</v>
      </c>
      <c r="AH57" s="288" t="s">
        <v>2479</v>
      </c>
      <c r="AI57" s="288" t="s">
        <v>2479</v>
      </c>
      <c r="AJ57" s="303" t="s">
        <v>2191</v>
      </c>
      <c r="AK57" s="288" t="s">
        <v>2479</v>
      </c>
      <c r="AL57" s="303" t="s">
        <v>2190</v>
      </c>
      <c r="AM57" s="288" t="s">
        <v>1975</v>
      </c>
      <c r="AN57" s="207" t="b">
        <v>0</v>
      </c>
      <c r="AY57" s="288" t="s">
        <v>2479</v>
      </c>
      <c r="AZ57" s="288" t="s">
        <v>2479</v>
      </c>
      <c r="BA57" s="288" t="s">
        <v>373</v>
      </c>
      <c r="BB57" s="288" t="s">
        <v>1610</v>
      </c>
      <c r="BC57" s="288" t="s">
        <v>2192</v>
      </c>
      <c r="BD57" s="280"/>
      <c r="BE57" s="280"/>
      <c r="BF57" s="280"/>
      <c r="BG57" s="280"/>
    </row>
    <row r="58" spans="1:59" ht="45" customHeight="1">
      <c r="A58" s="271">
        <f t="shared" si="0"/>
        <v>57</v>
      </c>
      <c r="B58" s="284" t="s">
        <v>2227</v>
      </c>
      <c r="C58" s="270" t="s">
        <v>3755</v>
      </c>
      <c r="D58" s="270" t="s">
        <v>8</v>
      </c>
      <c r="E58" s="270" t="s">
        <v>9</v>
      </c>
      <c r="F58" s="270" t="s">
        <v>1753</v>
      </c>
      <c r="G58" s="302">
        <v>45076</v>
      </c>
      <c r="L58" s="270" t="s">
        <v>2479</v>
      </c>
      <c r="M58" s="270" t="s">
        <v>2479</v>
      </c>
      <c r="N58" s="272" t="s">
        <v>122</v>
      </c>
      <c r="O58" s="270" t="s">
        <v>2479</v>
      </c>
      <c r="P58" s="270" t="s">
        <v>1554</v>
      </c>
      <c r="Q58" s="270" t="s">
        <v>2198</v>
      </c>
      <c r="R58" s="306">
        <v>44932.460648148146</v>
      </c>
      <c r="S58" s="285">
        <v>2023</v>
      </c>
      <c r="T58" s="270" t="s">
        <v>2001</v>
      </c>
      <c r="U58" s="270" t="s">
        <v>678</v>
      </c>
      <c r="V58" s="270" t="s">
        <v>679</v>
      </c>
      <c r="W58" s="270" t="s">
        <v>145</v>
      </c>
      <c r="X58" s="270" t="s">
        <v>309</v>
      </c>
      <c r="Y58" s="273">
        <v>45078</v>
      </c>
      <c r="Z58" s="288" t="s">
        <v>1875</v>
      </c>
      <c r="AA58" s="288" t="s">
        <v>2479</v>
      </c>
      <c r="AB58" s="288" t="s">
        <v>139</v>
      </c>
      <c r="AC58" s="288" t="s">
        <v>1875</v>
      </c>
      <c r="AD58" s="288" t="s">
        <v>1805</v>
      </c>
      <c r="AE58" s="288" t="s">
        <v>1805</v>
      </c>
      <c r="AF58" s="288" t="s">
        <v>2479</v>
      </c>
      <c r="AG58" s="288" t="s">
        <v>2479</v>
      </c>
      <c r="AH58" s="288" t="s">
        <v>2479</v>
      </c>
      <c r="AI58" s="288" t="s">
        <v>2479</v>
      </c>
      <c r="AJ58" s="303" t="s">
        <v>2191</v>
      </c>
      <c r="AK58" s="288" t="s">
        <v>2479</v>
      </c>
      <c r="AL58" s="303" t="s">
        <v>2190</v>
      </c>
      <c r="AM58" s="288" t="s">
        <v>1975</v>
      </c>
      <c r="AN58" s="207" t="b">
        <v>0</v>
      </c>
      <c r="AY58" s="288" t="s">
        <v>2479</v>
      </c>
      <c r="AZ58" s="288" t="s">
        <v>2479</v>
      </c>
      <c r="BA58" s="288" t="s">
        <v>373</v>
      </c>
      <c r="BB58" s="288" t="s">
        <v>1610</v>
      </c>
      <c r="BC58" s="288" t="s">
        <v>2192</v>
      </c>
      <c r="BD58" s="280"/>
      <c r="BE58" s="280"/>
      <c r="BF58" s="280"/>
      <c r="BG58" s="280"/>
    </row>
    <row r="59" spans="1:59" ht="45" customHeight="1">
      <c r="A59" s="271">
        <f t="shared" si="0"/>
        <v>58</v>
      </c>
      <c r="B59" s="284" t="s">
        <v>3942</v>
      </c>
      <c r="C59" s="270" t="s">
        <v>3789</v>
      </c>
      <c r="D59" s="270" t="s">
        <v>8</v>
      </c>
      <c r="E59" s="270" t="s">
        <v>9</v>
      </c>
      <c r="F59" s="270" t="s">
        <v>1753</v>
      </c>
      <c r="G59" s="302">
        <v>44569</v>
      </c>
      <c r="I59" s="306">
        <v>45086</v>
      </c>
      <c r="J59" s="270" t="s">
        <v>2904</v>
      </c>
      <c r="L59" s="270" t="s">
        <v>2479</v>
      </c>
      <c r="M59" s="270" t="s">
        <v>2479</v>
      </c>
      <c r="N59" s="272" t="s">
        <v>122</v>
      </c>
      <c r="O59" s="270" t="s">
        <v>2479</v>
      </c>
      <c r="P59" s="270" t="s">
        <v>1556</v>
      </c>
      <c r="Q59" s="270" t="s">
        <v>2198</v>
      </c>
      <c r="R59" s="306">
        <v>44992.4919212963</v>
      </c>
      <c r="S59" s="285">
        <v>2022</v>
      </c>
      <c r="T59" s="270" t="s">
        <v>2001</v>
      </c>
      <c r="U59" s="270" t="s">
        <v>678</v>
      </c>
      <c r="V59" s="270" t="s">
        <v>679</v>
      </c>
      <c r="W59" s="270" t="s">
        <v>145</v>
      </c>
      <c r="X59" s="270" t="s">
        <v>309</v>
      </c>
      <c r="Y59" s="273">
        <v>45078</v>
      </c>
      <c r="Z59" s="288" t="s">
        <v>1875</v>
      </c>
      <c r="AA59" s="288" t="s">
        <v>2479</v>
      </c>
      <c r="AB59" s="288" t="s">
        <v>139</v>
      </c>
      <c r="AC59" s="288" t="s">
        <v>1875</v>
      </c>
      <c r="AD59" s="288" t="s">
        <v>1805</v>
      </c>
      <c r="AE59" s="288" t="s">
        <v>1805</v>
      </c>
      <c r="AF59" s="288" t="s">
        <v>2479</v>
      </c>
      <c r="AG59" s="288" t="s">
        <v>2479</v>
      </c>
      <c r="AH59" s="288" t="s">
        <v>2479</v>
      </c>
      <c r="AI59" s="288" t="s">
        <v>2479</v>
      </c>
      <c r="AJ59" s="303" t="s">
        <v>2191</v>
      </c>
      <c r="AK59" s="288" t="s">
        <v>2479</v>
      </c>
      <c r="AL59" s="303" t="s">
        <v>2190</v>
      </c>
      <c r="AM59" s="288" t="s">
        <v>1975</v>
      </c>
      <c r="AN59" s="207" t="b">
        <v>0</v>
      </c>
      <c r="AY59" s="288" t="s">
        <v>2479</v>
      </c>
      <c r="AZ59" s="288" t="s">
        <v>2479</v>
      </c>
      <c r="BA59" s="288" t="s">
        <v>373</v>
      </c>
      <c r="BB59" s="288" t="s">
        <v>139</v>
      </c>
      <c r="BC59" s="288" t="s">
        <v>2192</v>
      </c>
      <c r="BD59" s="280"/>
      <c r="BE59" s="280"/>
      <c r="BF59" s="280"/>
      <c r="BG59" s="280"/>
    </row>
    <row r="60" spans="1:59" ht="45" customHeight="1">
      <c r="A60" s="271">
        <f t="shared" si="0"/>
        <v>59</v>
      </c>
      <c r="B60" s="284" t="s">
        <v>3950</v>
      </c>
      <c r="C60" s="270" t="s">
        <v>3951</v>
      </c>
      <c r="D60" s="270" t="s">
        <v>8</v>
      </c>
      <c r="E60" s="270" t="s">
        <v>9</v>
      </c>
      <c r="F60" s="270" t="s">
        <v>1753</v>
      </c>
      <c r="G60" s="302">
        <v>44971</v>
      </c>
      <c r="I60" s="306">
        <v>45098</v>
      </c>
      <c r="J60" s="270" t="s">
        <v>2904</v>
      </c>
      <c r="L60" s="270" t="s">
        <v>2479</v>
      </c>
      <c r="M60" s="270" t="s">
        <v>2479</v>
      </c>
      <c r="N60" s="272" t="s">
        <v>122</v>
      </c>
      <c r="O60" s="270" t="s">
        <v>2479</v>
      </c>
      <c r="P60" s="270" t="s">
        <v>1556</v>
      </c>
      <c r="Q60" s="270" t="s">
        <v>2198</v>
      </c>
      <c r="R60" s="306">
        <v>44992.500034722223</v>
      </c>
      <c r="S60" s="285">
        <v>2023</v>
      </c>
      <c r="T60" s="270" t="s">
        <v>2001</v>
      </c>
      <c r="U60" s="270" t="s">
        <v>678</v>
      </c>
      <c r="V60" s="270" t="s">
        <v>679</v>
      </c>
      <c r="W60" s="270" t="s">
        <v>145</v>
      </c>
      <c r="X60" s="270" t="s">
        <v>309</v>
      </c>
      <c r="Y60" s="273">
        <v>45078</v>
      </c>
      <c r="Z60" s="288" t="s">
        <v>1875</v>
      </c>
      <c r="AA60" s="288" t="s">
        <v>2479</v>
      </c>
      <c r="AB60" s="288" t="s">
        <v>139</v>
      </c>
      <c r="AC60" s="288" t="s">
        <v>1875</v>
      </c>
      <c r="AD60" s="288" t="s">
        <v>1805</v>
      </c>
      <c r="AE60" s="288" t="s">
        <v>1805</v>
      </c>
      <c r="AF60" s="288" t="s">
        <v>2479</v>
      </c>
      <c r="AG60" s="288" t="s">
        <v>2479</v>
      </c>
      <c r="AH60" s="288" t="s">
        <v>2479</v>
      </c>
      <c r="AI60" s="288" t="s">
        <v>2479</v>
      </c>
      <c r="AJ60" s="303" t="s">
        <v>2191</v>
      </c>
      <c r="AK60" s="288" t="s">
        <v>2479</v>
      </c>
      <c r="AL60" s="303" t="s">
        <v>2190</v>
      </c>
      <c r="AM60" s="288" t="s">
        <v>1975</v>
      </c>
      <c r="AN60" s="207" t="b">
        <v>0</v>
      </c>
      <c r="AY60" s="288" t="s">
        <v>2479</v>
      </c>
      <c r="AZ60" s="288" t="s">
        <v>2479</v>
      </c>
      <c r="BA60" s="288" t="s">
        <v>373</v>
      </c>
      <c r="BB60" s="288" t="s">
        <v>139</v>
      </c>
      <c r="BC60" s="288" t="s">
        <v>2192</v>
      </c>
      <c r="BD60" s="280"/>
      <c r="BE60" s="280"/>
      <c r="BF60" s="280"/>
      <c r="BG60" s="280"/>
    </row>
    <row r="61" spans="1:59" ht="45" customHeight="1">
      <c r="A61" s="271">
        <f t="shared" si="0"/>
        <v>60</v>
      </c>
      <c r="B61" s="284" t="s">
        <v>3952</v>
      </c>
      <c r="C61" s="270" t="s">
        <v>3847</v>
      </c>
      <c r="D61" s="270" t="s">
        <v>8</v>
      </c>
      <c r="E61" s="270" t="s">
        <v>9</v>
      </c>
      <c r="F61" s="270" t="s">
        <v>1753</v>
      </c>
      <c r="G61" s="302">
        <v>44838</v>
      </c>
      <c r="I61" s="306">
        <v>45103</v>
      </c>
      <c r="J61" s="270" t="s">
        <v>2904</v>
      </c>
      <c r="L61" s="270" t="s">
        <v>2479</v>
      </c>
      <c r="M61" s="270" t="s">
        <v>2479</v>
      </c>
      <c r="N61" s="272" t="s">
        <v>122</v>
      </c>
      <c r="O61" s="270" t="s">
        <v>2479</v>
      </c>
      <c r="P61" s="270" t="s">
        <v>1556</v>
      </c>
      <c r="Q61" s="270" t="s">
        <v>2198</v>
      </c>
      <c r="R61" s="306">
        <v>44992.500694444447</v>
      </c>
      <c r="S61" s="285">
        <v>2022</v>
      </c>
      <c r="T61" s="270" t="s">
        <v>2001</v>
      </c>
      <c r="U61" s="270" t="s">
        <v>678</v>
      </c>
      <c r="V61" s="270" t="s">
        <v>679</v>
      </c>
      <c r="W61" s="270" t="s">
        <v>145</v>
      </c>
      <c r="X61" s="270" t="s">
        <v>309</v>
      </c>
      <c r="Y61" s="273">
        <v>45078</v>
      </c>
      <c r="Z61" s="288" t="s">
        <v>1875</v>
      </c>
      <c r="AA61" s="288" t="s">
        <v>2479</v>
      </c>
      <c r="AB61" s="288" t="s">
        <v>139</v>
      </c>
      <c r="AC61" s="288" t="s">
        <v>1875</v>
      </c>
      <c r="AD61" s="288" t="s">
        <v>1805</v>
      </c>
      <c r="AE61" s="288" t="s">
        <v>1805</v>
      </c>
      <c r="AF61" s="288" t="s">
        <v>2479</v>
      </c>
      <c r="AG61" s="288" t="s">
        <v>2479</v>
      </c>
      <c r="AH61" s="288" t="s">
        <v>2479</v>
      </c>
      <c r="AI61" s="288" t="s">
        <v>2479</v>
      </c>
      <c r="AJ61" s="303" t="s">
        <v>2191</v>
      </c>
      <c r="AK61" s="288" t="s">
        <v>2479</v>
      </c>
      <c r="AL61" s="303" t="s">
        <v>2190</v>
      </c>
      <c r="AM61" s="288" t="s">
        <v>1975</v>
      </c>
      <c r="AN61" s="207" t="b">
        <v>0</v>
      </c>
      <c r="AY61" s="288" t="s">
        <v>2479</v>
      </c>
      <c r="AZ61" s="288" t="s">
        <v>2479</v>
      </c>
      <c r="BA61" s="288" t="s">
        <v>373</v>
      </c>
      <c r="BB61" s="288" t="s">
        <v>139</v>
      </c>
      <c r="BC61" s="288" t="s">
        <v>2192</v>
      </c>
      <c r="BD61" s="280"/>
      <c r="BE61" s="280"/>
      <c r="BF61" s="280"/>
      <c r="BG61" s="280"/>
    </row>
    <row r="62" spans="1:59" ht="45" customHeight="1">
      <c r="A62" s="271">
        <f t="shared" si="0"/>
        <v>61</v>
      </c>
      <c r="B62" s="284" t="s">
        <v>3560</v>
      </c>
      <c r="C62" s="270" t="s">
        <v>3561</v>
      </c>
      <c r="D62" s="270" t="s">
        <v>8</v>
      </c>
      <c r="E62" s="270" t="s">
        <v>9</v>
      </c>
      <c r="F62" s="270" t="s">
        <v>1754</v>
      </c>
      <c r="G62" s="302">
        <v>44995</v>
      </c>
      <c r="L62" s="270" t="s">
        <v>2479</v>
      </c>
      <c r="M62" s="270" t="s">
        <v>2479</v>
      </c>
      <c r="N62" s="272" t="s">
        <v>122</v>
      </c>
      <c r="O62" s="270" t="s">
        <v>2479</v>
      </c>
      <c r="P62" s="270" t="s">
        <v>1554</v>
      </c>
      <c r="Q62" s="270" t="s">
        <v>2198</v>
      </c>
      <c r="R62" s="306">
        <v>44930.423414351855</v>
      </c>
      <c r="S62" s="285">
        <v>2023</v>
      </c>
      <c r="T62" s="270" t="s">
        <v>2001</v>
      </c>
      <c r="U62" s="270" t="s">
        <v>678</v>
      </c>
      <c r="V62" s="270" t="s">
        <v>679</v>
      </c>
      <c r="W62" s="270" t="s">
        <v>145</v>
      </c>
      <c r="X62" s="270" t="s">
        <v>309</v>
      </c>
      <c r="Y62" s="273">
        <v>45078</v>
      </c>
      <c r="Z62" s="288" t="s">
        <v>1875</v>
      </c>
      <c r="AA62" s="288" t="s">
        <v>2479</v>
      </c>
      <c r="AB62" s="288" t="s">
        <v>139</v>
      </c>
      <c r="AC62" s="288" t="s">
        <v>1875</v>
      </c>
      <c r="AD62" s="288" t="s">
        <v>1805</v>
      </c>
      <c r="AE62" s="288" t="s">
        <v>1805</v>
      </c>
      <c r="AF62" s="288" t="s">
        <v>2479</v>
      </c>
      <c r="AG62" s="288" t="s">
        <v>2479</v>
      </c>
      <c r="AH62" s="288" t="s">
        <v>2479</v>
      </c>
      <c r="AI62" s="288" t="s">
        <v>2479</v>
      </c>
      <c r="AJ62" s="303" t="s">
        <v>2191</v>
      </c>
      <c r="AK62" s="288" t="s">
        <v>2479</v>
      </c>
      <c r="AL62" s="303" t="s">
        <v>2190</v>
      </c>
      <c r="AM62" s="288" t="s">
        <v>1975</v>
      </c>
      <c r="AN62" s="207" t="b">
        <v>0</v>
      </c>
      <c r="AY62" s="288" t="s">
        <v>2479</v>
      </c>
      <c r="AZ62" s="288" t="s">
        <v>2479</v>
      </c>
      <c r="BA62" s="288" t="s">
        <v>373</v>
      </c>
      <c r="BB62" s="288" t="s">
        <v>1610</v>
      </c>
      <c r="BC62" s="288" t="s">
        <v>2192</v>
      </c>
      <c r="BD62" s="280"/>
      <c r="BE62" s="280"/>
      <c r="BF62" s="280"/>
      <c r="BG62" s="280"/>
    </row>
    <row r="63" spans="1:59" ht="45" customHeight="1">
      <c r="A63" s="271">
        <f t="shared" si="0"/>
        <v>62</v>
      </c>
      <c r="B63" s="284" t="s">
        <v>2268</v>
      </c>
      <c r="C63" s="270" t="s">
        <v>3835</v>
      </c>
      <c r="D63" s="270" t="s">
        <v>8</v>
      </c>
      <c r="E63" s="270" t="s">
        <v>9</v>
      </c>
      <c r="F63" s="270" t="s">
        <v>1754</v>
      </c>
      <c r="G63" s="302">
        <v>45079</v>
      </c>
      <c r="L63" s="270" t="s">
        <v>2479</v>
      </c>
      <c r="M63" s="270" t="s">
        <v>2479</v>
      </c>
      <c r="N63" s="272" t="s">
        <v>122</v>
      </c>
      <c r="O63" s="270" t="s">
        <v>2479</v>
      </c>
      <c r="P63" s="270" t="s">
        <v>1555</v>
      </c>
      <c r="Q63" s="270" t="s">
        <v>2198</v>
      </c>
      <c r="R63" s="306">
        <v>44992.405011574076</v>
      </c>
      <c r="S63" s="285">
        <v>2023</v>
      </c>
      <c r="T63" s="270" t="s">
        <v>2001</v>
      </c>
      <c r="U63" s="270" t="s">
        <v>678</v>
      </c>
      <c r="V63" s="270" t="s">
        <v>679</v>
      </c>
      <c r="W63" s="270" t="s">
        <v>145</v>
      </c>
      <c r="X63" s="270" t="s">
        <v>309</v>
      </c>
      <c r="Y63" s="273">
        <v>45078</v>
      </c>
      <c r="Z63" s="288" t="s">
        <v>1875</v>
      </c>
      <c r="AA63" s="288" t="s">
        <v>2479</v>
      </c>
      <c r="AB63" s="288" t="s">
        <v>139</v>
      </c>
      <c r="AC63" s="288" t="s">
        <v>1875</v>
      </c>
      <c r="AD63" s="288" t="s">
        <v>1805</v>
      </c>
      <c r="AE63" s="288" t="s">
        <v>1805</v>
      </c>
      <c r="AF63" s="288" t="s">
        <v>2479</v>
      </c>
      <c r="AG63" s="288" t="s">
        <v>2479</v>
      </c>
      <c r="AH63" s="288" t="s">
        <v>2479</v>
      </c>
      <c r="AI63" s="288" t="s">
        <v>2479</v>
      </c>
      <c r="AJ63" s="303" t="s">
        <v>2191</v>
      </c>
      <c r="AK63" s="288" t="s">
        <v>2479</v>
      </c>
      <c r="AL63" s="303" t="s">
        <v>2190</v>
      </c>
      <c r="AM63" s="288" t="s">
        <v>1975</v>
      </c>
      <c r="AN63" s="207" t="b">
        <v>0</v>
      </c>
      <c r="AY63" s="288" t="s">
        <v>2479</v>
      </c>
      <c r="AZ63" s="288" t="s">
        <v>2479</v>
      </c>
      <c r="BA63" s="288" t="s">
        <v>373</v>
      </c>
      <c r="BB63" s="288" t="s">
        <v>139</v>
      </c>
      <c r="BC63" s="288" t="s">
        <v>2192</v>
      </c>
      <c r="BD63" s="280"/>
      <c r="BE63" s="280"/>
      <c r="BF63" s="280"/>
      <c r="BG63" s="280"/>
    </row>
    <row r="64" spans="1:59" ht="45" customHeight="1">
      <c r="A64" s="271">
        <f t="shared" si="0"/>
        <v>63</v>
      </c>
      <c r="B64" s="284" t="s">
        <v>2229</v>
      </c>
      <c r="C64" s="270" t="s">
        <v>3836</v>
      </c>
      <c r="D64" s="270" t="s">
        <v>8</v>
      </c>
      <c r="E64" s="270" t="s">
        <v>9</v>
      </c>
      <c r="F64" s="270" t="s">
        <v>1754</v>
      </c>
      <c r="G64" s="302">
        <v>45097</v>
      </c>
      <c r="L64" s="270" t="s">
        <v>2479</v>
      </c>
      <c r="M64" s="270" t="s">
        <v>2479</v>
      </c>
      <c r="N64" s="272" t="s">
        <v>122</v>
      </c>
      <c r="O64" s="270" t="s">
        <v>2479</v>
      </c>
      <c r="P64" s="270" t="s">
        <v>1555</v>
      </c>
      <c r="Q64" s="270" t="s">
        <v>2198</v>
      </c>
      <c r="R64" s="306">
        <v>44992.407314814816</v>
      </c>
      <c r="S64" s="285">
        <v>2023</v>
      </c>
      <c r="T64" s="270" t="s">
        <v>2001</v>
      </c>
      <c r="U64" s="270" t="s">
        <v>678</v>
      </c>
      <c r="V64" s="270" t="s">
        <v>679</v>
      </c>
      <c r="W64" s="270" t="s">
        <v>145</v>
      </c>
      <c r="X64" s="270" t="s">
        <v>309</v>
      </c>
      <c r="Y64" s="273">
        <v>45078</v>
      </c>
      <c r="Z64" s="288" t="s">
        <v>1875</v>
      </c>
      <c r="AA64" s="288" t="s">
        <v>2479</v>
      </c>
      <c r="AB64" s="288" t="s">
        <v>139</v>
      </c>
      <c r="AC64" s="288" t="s">
        <v>1875</v>
      </c>
      <c r="AD64" s="288" t="s">
        <v>1805</v>
      </c>
      <c r="AE64" s="288" t="s">
        <v>1805</v>
      </c>
      <c r="AF64" s="288" t="s">
        <v>2479</v>
      </c>
      <c r="AG64" s="288" t="s">
        <v>2479</v>
      </c>
      <c r="AH64" s="288" t="s">
        <v>2479</v>
      </c>
      <c r="AI64" s="288" t="s">
        <v>2479</v>
      </c>
      <c r="AJ64" s="303" t="s">
        <v>2191</v>
      </c>
      <c r="AK64" s="288" t="s">
        <v>2479</v>
      </c>
      <c r="AL64" s="303" t="s">
        <v>2190</v>
      </c>
      <c r="AM64" s="288" t="s">
        <v>1975</v>
      </c>
      <c r="AN64" s="207" t="b">
        <v>0</v>
      </c>
      <c r="AY64" s="288" t="s">
        <v>2479</v>
      </c>
      <c r="AZ64" s="288" t="s">
        <v>2479</v>
      </c>
      <c r="BA64" s="288" t="s">
        <v>373</v>
      </c>
      <c r="BB64" s="288" t="s">
        <v>139</v>
      </c>
      <c r="BC64" s="288" t="s">
        <v>2192</v>
      </c>
      <c r="BD64" s="280"/>
      <c r="BE64" s="280"/>
      <c r="BF64" s="280"/>
      <c r="BG64" s="280"/>
    </row>
    <row r="65" spans="1:59" ht="45" customHeight="1">
      <c r="A65" s="271">
        <f>ROW()-1</f>
        <v>64</v>
      </c>
      <c r="B65" s="343" t="s">
        <v>2278</v>
      </c>
      <c r="C65" s="348" t="s">
        <v>2279</v>
      </c>
      <c r="D65" s="345" t="s">
        <v>8</v>
      </c>
      <c r="E65" s="345" t="s">
        <v>9</v>
      </c>
      <c r="F65" s="37" t="s">
        <v>1759</v>
      </c>
      <c r="G65" s="337">
        <v>43182</v>
      </c>
      <c r="H65" s="337">
        <v>44008</v>
      </c>
      <c r="I65" s="337"/>
      <c r="J65" s="345"/>
      <c r="K65" s="337">
        <v>45100</v>
      </c>
      <c r="L65" s="215" t="s">
        <v>2193</v>
      </c>
      <c r="M65" s="345" t="s">
        <v>113</v>
      </c>
      <c r="N65" s="345"/>
      <c r="O65" s="345"/>
      <c r="P65" s="349" t="s">
        <v>1554</v>
      </c>
      <c r="Q65" s="349" t="s">
        <v>2198</v>
      </c>
      <c r="R65" s="339">
        <v>44992.613217592596</v>
      </c>
      <c r="S65" s="215">
        <v>2018</v>
      </c>
      <c r="T65" s="215" t="s">
        <v>2194</v>
      </c>
      <c r="U65" s="350" t="s">
        <v>678</v>
      </c>
      <c r="V65" s="350" t="s">
        <v>679</v>
      </c>
      <c r="W65" s="17" t="s">
        <v>145</v>
      </c>
      <c r="X65" s="350" t="s">
        <v>309</v>
      </c>
      <c r="Y65" s="347">
        <v>45078</v>
      </c>
      <c r="Z65" s="171" t="s">
        <v>1875</v>
      </c>
      <c r="AA65" s="171"/>
      <c r="AB65" s="17" t="s">
        <v>139</v>
      </c>
      <c r="AC65" s="17" t="s">
        <v>1875</v>
      </c>
      <c r="AD65" s="17">
        <v>900</v>
      </c>
      <c r="AE65" s="17">
        <v>900</v>
      </c>
      <c r="AF65" s="171"/>
      <c r="AG65" s="171"/>
      <c r="AH65" s="17"/>
      <c r="AI65" s="17"/>
      <c r="AJ65" s="17" t="s">
        <v>2191</v>
      </c>
      <c r="AK65" s="17"/>
      <c r="AL65" s="17" t="s">
        <v>2190</v>
      </c>
      <c r="AM65" s="17" t="s">
        <v>1975</v>
      </c>
      <c r="AN65" s="17" t="b">
        <v>0</v>
      </c>
      <c r="AO65" s="341"/>
      <c r="AP65" s="142"/>
      <c r="AQ65" s="142"/>
      <c r="AR65" s="142"/>
      <c r="AS65" s="142"/>
      <c r="AT65" s="342"/>
      <c r="AU65" s="17"/>
      <c r="AV65" s="341"/>
      <c r="AW65" s="17"/>
      <c r="AX65" s="17"/>
      <c r="AY65" s="17"/>
      <c r="AZ65" s="17"/>
      <c r="BA65" s="17" t="s">
        <v>373</v>
      </c>
      <c r="BB65" s="17" t="s">
        <v>139</v>
      </c>
      <c r="BC65" s="17" t="s">
        <v>2192</v>
      </c>
      <c r="BD65" s="280"/>
      <c r="BE65" s="280"/>
      <c r="BF65" s="280"/>
      <c r="BG65" s="280"/>
    </row>
    <row r="66" spans="1:59" ht="45" customHeight="1">
      <c r="A66" s="271">
        <f t="shared" si="0"/>
        <v>65</v>
      </c>
      <c r="B66" s="343" t="s">
        <v>2280</v>
      </c>
      <c r="C66" s="348" t="s">
        <v>2281</v>
      </c>
      <c r="D66" s="345" t="s">
        <v>8</v>
      </c>
      <c r="E66" s="345" t="s">
        <v>9</v>
      </c>
      <c r="F66" s="37" t="s">
        <v>1759</v>
      </c>
      <c r="G66" s="337">
        <v>43285</v>
      </c>
      <c r="H66" s="337">
        <v>44014</v>
      </c>
      <c r="I66" s="337"/>
      <c r="J66" s="351"/>
      <c r="K66" s="337"/>
      <c r="L66" s="215"/>
      <c r="M66" s="345"/>
      <c r="N66" s="345" t="s">
        <v>122</v>
      </c>
      <c r="O66" s="345"/>
      <c r="P66" s="345" t="s">
        <v>1554</v>
      </c>
      <c r="Q66" s="345" t="s">
        <v>2198</v>
      </c>
      <c r="R66" s="339">
        <v>44571.523402777777</v>
      </c>
      <c r="S66" s="215">
        <v>2018</v>
      </c>
      <c r="T66" s="215" t="s">
        <v>2001</v>
      </c>
      <c r="U66" s="346" t="s">
        <v>678</v>
      </c>
      <c r="V66" s="346" t="s">
        <v>679</v>
      </c>
      <c r="W66" s="17" t="s">
        <v>145</v>
      </c>
      <c r="X66" s="346" t="s">
        <v>309</v>
      </c>
      <c r="Y66" s="347">
        <v>45078</v>
      </c>
      <c r="Z66" s="171" t="s">
        <v>1875</v>
      </c>
      <c r="AA66" s="17"/>
      <c r="AB66" s="17" t="s">
        <v>139</v>
      </c>
      <c r="AC66" s="17" t="s">
        <v>1875</v>
      </c>
      <c r="AD66" s="17" t="s">
        <v>1805</v>
      </c>
      <c r="AE66" s="17" t="s">
        <v>1805</v>
      </c>
      <c r="AF66" s="171"/>
      <c r="AG66" s="171"/>
      <c r="AH66" s="17"/>
      <c r="AI66" s="17"/>
      <c r="AJ66" s="17" t="s">
        <v>2191</v>
      </c>
      <c r="AK66" s="17"/>
      <c r="AL66" s="17" t="s">
        <v>2190</v>
      </c>
      <c r="AM66" s="17" t="s">
        <v>1975</v>
      </c>
      <c r="AN66" s="17" t="b">
        <v>0</v>
      </c>
      <c r="AO66" s="341"/>
      <c r="AP66" s="142"/>
      <c r="AQ66" s="142"/>
      <c r="AR66" s="142"/>
      <c r="AS66" s="142"/>
      <c r="AT66" s="342"/>
      <c r="AU66" s="17"/>
      <c r="AV66" s="341"/>
      <c r="AW66" s="17"/>
      <c r="AX66" s="17"/>
      <c r="AY66" s="17"/>
      <c r="AZ66" s="17"/>
      <c r="BA66" s="17" t="s">
        <v>373</v>
      </c>
      <c r="BB66" s="17" t="s">
        <v>1610</v>
      </c>
      <c r="BC66" s="17" t="s">
        <v>2192</v>
      </c>
      <c r="BD66" s="280"/>
      <c r="BE66" s="280"/>
      <c r="BF66" s="280"/>
      <c r="BG66" s="280"/>
    </row>
    <row r="67" spans="1:59" ht="45" customHeight="1">
      <c r="A67" s="271">
        <f t="shared" ref="A67:A130" si="1">ROW()-1</f>
        <v>66</v>
      </c>
      <c r="B67" s="343" t="s">
        <v>2282</v>
      </c>
      <c r="C67" s="348" t="s">
        <v>2283</v>
      </c>
      <c r="D67" s="345" t="s">
        <v>8</v>
      </c>
      <c r="E67" s="345" t="s">
        <v>9</v>
      </c>
      <c r="F67" s="37" t="s">
        <v>1759</v>
      </c>
      <c r="G67" s="337">
        <v>43347</v>
      </c>
      <c r="H67" s="337">
        <v>44006</v>
      </c>
      <c r="I67" s="337"/>
      <c r="J67" s="345"/>
      <c r="K67" s="337"/>
      <c r="L67" s="339"/>
      <c r="M67" s="345"/>
      <c r="N67" s="345" t="s">
        <v>122</v>
      </c>
      <c r="O67" s="345"/>
      <c r="P67" s="349" t="s">
        <v>1554</v>
      </c>
      <c r="Q67" s="349" t="s">
        <v>2198</v>
      </c>
      <c r="R67" s="339">
        <v>44571.524155092593</v>
      </c>
      <c r="S67" s="215">
        <v>2018</v>
      </c>
      <c r="T67" s="349" t="s">
        <v>2001</v>
      </c>
      <c r="U67" s="350" t="s">
        <v>678</v>
      </c>
      <c r="V67" s="350" t="s">
        <v>679</v>
      </c>
      <c r="W67" s="350" t="s">
        <v>145</v>
      </c>
      <c r="X67" s="350" t="s">
        <v>309</v>
      </c>
      <c r="Y67" s="347">
        <v>45078</v>
      </c>
      <c r="Z67" s="171" t="s">
        <v>1875</v>
      </c>
      <c r="AA67" s="171"/>
      <c r="AB67" s="17" t="s">
        <v>139</v>
      </c>
      <c r="AC67" s="17" t="s">
        <v>1875</v>
      </c>
      <c r="AD67" s="17" t="s">
        <v>1805</v>
      </c>
      <c r="AE67" s="17" t="s">
        <v>1805</v>
      </c>
      <c r="AF67" s="171"/>
      <c r="AG67" s="171"/>
      <c r="AH67" s="17"/>
      <c r="AI67" s="17"/>
      <c r="AJ67" s="17" t="s">
        <v>2191</v>
      </c>
      <c r="AK67" s="17"/>
      <c r="AL67" s="17" t="s">
        <v>2190</v>
      </c>
      <c r="AM67" s="17" t="s">
        <v>1975</v>
      </c>
      <c r="AN67" s="17" t="b">
        <v>0</v>
      </c>
      <c r="AO67" s="341"/>
      <c r="AP67" s="142"/>
      <c r="AQ67" s="142"/>
      <c r="AR67" s="142"/>
      <c r="AS67" s="142"/>
      <c r="AT67" s="342"/>
      <c r="AU67" s="17"/>
      <c r="AV67" s="341"/>
      <c r="AW67" s="17"/>
      <c r="AX67" s="17"/>
      <c r="AY67" s="17"/>
      <c r="AZ67" s="17"/>
      <c r="BA67" s="17" t="s">
        <v>373</v>
      </c>
      <c r="BB67" s="17" t="s">
        <v>1610</v>
      </c>
      <c r="BC67" s="17" t="s">
        <v>2192</v>
      </c>
      <c r="BD67" s="280"/>
      <c r="BE67" s="280"/>
      <c r="BF67" s="280"/>
      <c r="BG67" s="280"/>
    </row>
    <row r="68" spans="1:59" ht="45" customHeight="1">
      <c r="A68" s="271">
        <f t="shared" si="1"/>
        <v>67</v>
      </c>
      <c r="B68" s="343" t="s">
        <v>2284</v>
      </c>
      <c r="C68" s="348" t="s">
        <v>2285</v>
      </c>
      <c r="D68" s="345" t="s">
        <v>8</v>
      </c>
      <c r="E68" s="345" t="s">
        <v>9</v>
      </c>
      <c r="F68" s="37" t="s">
        <v>1759</v>
      </c>
      <c r="G68" s="337">
        <v>43906</v>
      </c>
      <c r="H68" s="337">
        <v>43995</v>
      </c>
      <c r="I68" s="337"/>
      <c r="J68" s="345"/>
      <c r="K68" s="337"/>
      <c r="L68" s="215"/>
      <c r="M68" s="345"/>
      <c r="N68" s="345" t="s">
        <v>122</v>
      </c>
      <c r="O68" s="345"/>
      <c r="P68" s="349" t="s">
        <v>1554</v>
      </c>
      <c r="Q68" s="349" t="s">
        <v>2198</v>
      </c>
      <c r="R68" s="339">
        <v>44571.524942129632</v>
      </c>
      <c r="S68" s="215">
        <v>2020</v>
      </c>
      <c r="T68" s="215" t="s">
        <v>2001</v>
      </c>
      <c r="U68" s="350" t="s">
        <v>678</v>
      </c>
      <c r="V68" s="350" t="s">
        <v>679</v>
      </c>
      <c r="W68" s="17" t="s">
        <v>145</v>
      </c>
      <c r="X68" s="350" t="s">
        <v>309</v>
      </c>
      <c r="Y68" s="347">
        <v>45078</v>
      </c>
      <c r="Z68" s="171" t="s">
        <v>1875</v>
      </c>
      <c r="AA68" s="171"/>
      <c r="AB68" s="17" t="s">
        <v>139</v>
      </c>
      <c r="AC68" s="17" t="s">
        <v>1875</v>
      </c>
      <c r="AD68" s="17" t="s">
        <v>1805</v>
      </c>
      <c r="AE68" s="17" t="s">
        <v>1805</v>
      </c>
      <c r="AF68" s="171"/>
      <c r="AG68" s="171"/>
      <c r="AH68" s="17"/>
      <c r="AI68" s="17"/>
      <c r="AJ68" s="17" t="s">
        <v>2191</v>
      </c>
      <c r="AK68" s="17"/>
      <c r="AL68" s="17" t="s">
        <v>2190</v>
      </c>
      <c r="AM68" s="17" t="s">
        <v>1975</v>
      </c>
      <c r="AN68" s="17" t="b">
        <v>0</v>
      </c>
      <c r="AO68" s="341"/>
      <c r="AP68" s="142"/>
      <c r="AQ68" s="142"/>
      <c r="AR68" s="142"/>
      <c r="AS68" s="142"/>
      <c r="AT68" s="342"/>
      <c r="AU68" s="17"/>
      <c r="AV68" s="341"/>
      <c r="AW68" s="17"/>
      <c r="AX68" s="17"/>
      <c r="AY68" s="17"/>
      <c r="AZ68" s="17"/>
      <c r="BA68" s="17" t="s">
        <v>373</v>
      </c>
      <c r="BB68" s="17" t="s">
        <v>1610</v>
      </c>
      <c r="BC68" s="17" t="s">
        <v>2192</v>
      </c>
      <c r="BD68" s="280"/>
      <c r="BE68" s="280"/>
      <c r="BF68" s="280"/>
      <c r="BG68" s="280"/>
    </row>
    <row r="69" spans="1:59" ht="45" customHeight="1">
      <c r="A69" s="271">
        <f t="shared" si="1"/>
        <v>68</v>
      </c>
      <c r="B69" s="343" t="s">
        <v>2286</v>
      </c>
      <c r="C69" s="348" t="s">
        <v>2287</v>
      </c>
      <c r="D69" s="345" t="s">
        <v>8</v>
      </c>
      <c r="E69" s="345" t="s">
        <v>9</v>
      </c>
      <c r="F69" s="37" t="s">
        <v>1759</v>
      </c>
      <c r="G69" s="337">
        <v>43906</v>
      </c>
      <c r="H69" s="337">
        <v>43995</v>
      </c>
      <c r="I69" s="337"/>
      <c r="J69" s="345"/>
      <c r="K69" s="337"/>
      <c r="L69" s="215"/>
      <c r="M69" s="345"/>
      <c r="N69" s="345" t="s">
        <v>122</v>
      </c>
      <c r="O69" s="345"/>
      <c r="P69" s="349" t="s">
        <v>1554</v>
      </c>
      <c r="Q69" s="349" t="s">
        <v>2198</v>
      </c>
      <c r="R69" s="339">
        <v>44571.52547453704</v>
      </c>
      <c r="S69" s="215">
        <v>2020</v>
      </c>
      <c r="T69" s="215" t="s">
        <v>2001</v>
      </c>
      <c r="U69" s="350" t="s">
        <v>678</v>
      </c>
      <c r="V69" s="350" t="s">
        <v>679</v>
      </c>
      <c r="W69" s="17" t="s">
        <v>145</v>
      </c>
      <c r="X69" s="350" t="s">
        <v>309</v>
      </c>
      <c r="Y69" s="347">
        <v>45078</v>
      </c>
      <c r="Z69" s="171" t="s">
        <v>1875</v>
      </c>
      <c r="AA69" s="171"/>
      <c r="AB69" s="17" t="s">
        <v>139</v>
      </c>
      <c r="AC69" s="17" t="s">
        <v>1875</v>
      </c>
      <c r="AD69" s="17" t="s">
        <v>1805</v>
      </c>
      <c r="AE69" s="17" t="s">
        <v>1805</v>
      </c>
      <c r="AF69" s="171"/>
      <c r="AG69" s="171"/>
      <c r="AH69" s="17"/>
      <c r="AI69" s="17"/>
      <c r="AJ69" s="17" t="s">
        <v>2191</v>
      </c>
      <c r="AK69" s="17"/>
      <c r="AL69" s="17" t="s">
        <v>2190</v>
      </c>
      <c r="AM69" s="17" t="s">
        <v>1975</v>
      </c>
      <c r="AN69" s="17" t="b">
        <v>0</v>
      </c>
      <c r="AO69" s="341"/>
      <c r="AP69" s="142"/>
      <c r="AQ69" s="142"/>
      <c r="AR69" s="142"/>
      <c r="AS69" s="142"/>
      <c r="AT69" s="342"/>
      <c r="AU69" s="17"/>
      <c r="AV69" s="341"/>
      <c r="AW69" s="17"/>
      <c r="AX69" s="17"/>
      <c r="AY69" s="17"/>
      <c r="AZ69" s="17"/>
      <c r="BA69" s="17" t="s">
        <v>373</v>
      </c>
      <c r="BB69" s="17" t="s">
        <v>1610</v>
      </c>
      <c r="BC69" s="17" t="s">
        <v>2192</v>
      </c>
      <c r="BD69" s="280"/>
      <c r="BE69" s="280"/>
      <c r="BF69" s="280"/>
      <c r="BG69" s="280"/>
    </row>
    <row r="70" spans="1:59" ht="45" customHeight="1">
      <c r="A70" s="271">
        <f t="shared" si="1"/>
        <v>69</v>
      </c>
      <c r="B70" s="343" t="s">
        <v>2288</v>
      </c>
      <c r="C70" s="348" t="s">
        <v>2289</v>
      </c>
      <c r="D70" s="345" t="s">
        <v>8</v>
      </c>
      <c r="E70" s="345" t="s">
        <v>9</v>
      </c>
      <c r="F70" s="37" t="s">
        <v>1759</v>
      </c>
      <c r="G70" s="337">
        <v>43906</v>
      </c>
      <c r="H70" s="337">
        <v>43995</v>
      </c>
      <c r="I70" s="337"/>
      <c r="J70" s="345"/>
      <c r="K70" s="337"/>
      <c r="L70" s="339"/>
      <c r="M70" s="345"/>
      <c r="N70" s="345" t="s">
        <v>122</v>
      </c>
      <c r="O70" s="345"/>
      <c r="P70" s="349" t="s">
        <v>1554</v>
      </c>
      <c r="Q70" s="349" t="s">
        <v>2198</v>
      </c>
      <c r="R70" s="339">
        <v>44571.526099537034</v>
      </c>
      <c r="S70" s="215">
        <v>2020</v>
      </c>
      <c r="T70" s="349" t="s">
        <v>2001</v>
      </c>
      <c r="U70" s="350" t="s">
        <v>678</v>
      </c>
      <c r="V70" s="350" t="s">
        <v>679</v>
      </c>
      <c r="W70" s="350" t="s">
        <v>145</v>
      </c>
      <c r="X70" s="350" t="s">
        <v>309</v>
      </c>
      <c r="Y70" s="347">
        <v>45078</v>
      </c>
      <c r="Z70" s="171" t="s">
        <v>1875</v>
      </c>
      <c r="AA70" s="171"/>
      <c r="AB70" s="17" t="s">
        <v>139</v>
      </c>
      <c r="AC70" s="17" t="s">
        <v>1875</v>
      </c>
      <c r="AD70" s="17" t="s">
        <v>1805</v>
      </c>
      <c r="AE70" s="17" t="s">
        <v>1805</v>
      </c>
      <c r="AF70" s="171"/>
      <c r="AG70" s="171"/>
      <c r="AH70" s="17"/>
      <c r="AI70" s="17"/>
      <c r="AJ70" s="17" t="s">
        <v>2191</v>
      </c>
      <c r="AK70" s="17"/>
      <c r="AL70" s="17" t="s">
        <v>2190</v>
      </c>
      <c r="AM70" s="17" t="s">
        <v>1975</v>
      </c>
      <c r="AN70" s="17" t="b">
        <v>0</v>
      </c>
      <c r="AO70" s="341"/>
      <c r="AP70" s="142"/>
      <c r="AQ70" s="142"/>
      <c r="AR70" s="142"/>
      <c r="AS70" s="142"/>
      <c r="AT70" s="342"/>
      <c r="AU70" s="17"/>
      <c r="AV70" s="341"/>
      <c r="AW70" s="17"/>
      <c r="AX70" s="17"/>
      <c r="AY70" s="17"/>
      <c r="AZ70" s="17"/>
      <c r="BA70" s="17" t="s">
        <v>373</v>
      </c>
      <c r="BB70" s="17" t="s">
        <v>1610</v>
      </c>
      <c r="BC70" s="17" t="s">
        <v>2192</v>
      </c>
      <c r="BD70" s="280"/>
      <c r="BE70" s="280"/>
      <c r="BF70" s="280"/>
      <c r="BG70" s="280"/>
    </row>
    <row r="71" spans="1:59" ht="45" customHeight="1">
      <c r="A71" s="271">
        <f t="shared" si="1"/>
        <v>70</v>
      </c>
      <c r="B71" s="354" t="s">
        <v>2290</v>
      </c>
      <c r="C71" s="37" t="s">
        <v>2291</v>
      </c>
      <c r="D71" s="345" t="s">
        <v>8</v>
      </c>
      <c r="E71" s="215" t="s">
        <v>9</v>
      </c>
      <c r="F71" s="37" t="s">
        <v>1759</v>
      </c>
      <c r="G71" s="337">
        <v>43906</v>
      </c>
      <c r="H71" s="338">
        <v>43995</v>
      </c>
      <c r="I71" s="337"/>
      <c r="J71" s="215"/>
      <c r="K71" s="337"/>
      <c r="L71" s="215"/>
      <c r="M71" s="215"/>
      <c r="N71" s="215" t="s">
        <v>122</v>
      </c>
      <c r="O71" s="215"/>
      <c r="P71" s="349" t="s">
        <v>1554</v>
      </c>
      <c r="Q71" s="345" t="s">
        <v>2198</v>
      </c>
      <c r="R71" s="339">
        <v>44571.526620370372</v>
      </c>
      <c r="S71" s="215">
        <v>2020</v>
      </c>
      <c r="T71" s="215" t="s">
        <v>2001</v>
      </c>
      <c r="U71" s="346" t="s">
        <v>678</v>
      </c>
      <c r="V71" s="346" t="s">
        <v>679</v>
      </c>
      <c r="W71" s="17" t="s">
        <v>145</v>
      </c>
      <c r="X71" s="346" t="s">
        <v>309</v>
      </c>
      <c r="Y71" s="347">
        <v>45078</v>
      </c>
      <c r="Z71" s="17" t="s">
        <v>1875</v>
      </c>
      <c r="AA71" s="17"/>
      <c r="AB71" s="17" t="s">
        <v>139</v>
      </c>
      <c r="AC71" s="17" t="s">
        <v>1875</v>
      </c>
      <c r="AD71" s="17" t="s">
        <v>1805</v>
      </c>
      <c r="AE71" s="17" t="s">
        <v>1805</v>
      </c>
      <c r="AF71" s="17"/>
      <c r="AG71" s="17"/>
      <c r="AH71" s="17"/>
      <c r="AI71" s="17"/>
      <c r="AJ71" s="17" t="s">
        <v>2191</v>
      </c>
      <c r="AK71" s="17"/>
      <c r="AL71" s="17" t="s">
        <v>2190</v>
      </c>
      <c r="AM71" s="17" t="s">
        <v>1975</v>
      </c>
      <c r="AN71" s="17" t="b">
        <v>0</v>
      </c>
      <c r="AO71" s="341"/>
      <c r="AP71" s="142"/>
      <c r="AQ71" s="142"/>
      <c r="AR71" s="142"/>
      <c r="AS71" s="142"/>
      <c r="AT71" s="342"/>
      <c r="AU71" s="17"/>
      <c r="AV71" s="341"/>
      <c r="AW71" s="17"/>
      <c r="AX71" s="17"/>
      <c r="AY71" s="17"/>
      <c r="AZ71" s="17"/>
      <c r="BA71" s="17" t="s">
        <v>373</v>
      </c>
      <c r="BB71" s="17" t="s">
        <v>1610</v>
      </c>
      <c r="BC71" s="17" t="s">
        <v>2192</v>
      </c>
      <c r="BD71" s="280"/>
      <c r="BE71" s="280"/>
      <c r="BF71" s="280"/>
      <c r="BG71" s="280"/>
    </row>
    <row r="72" spans="1:59" ht="45" customHeight="1">
      <c r="A72" s="271">
        <f t="shared" si="1"/>
        <v>71</v>
      </c>
      <c r="B72" s="354" t="s">
        <v>2292</v>
      </c>
      <c r="C72" s="37" t="s">
        <v>2293</v>
      </c>
      <c r="D72" s="345" t="s">
        <v>8</v>
      </c>
      <c r="E72" s="215" t="s">
        <v>9</v>
      </c>
      <c r="F72" s="37" t="s">
        <v>1759</v>
      </c>
      <c r="G72" s="337">
        <v>43906</v>
      </c>
      <c r="H72" s="338">
        <v>43995</v>
      </c>
      <c r="I72" s="337"/>
      <c r="J72" s="215"/>
      <c r="K72" s="337"/>
      <c r="L72" s="215"/>
      <c r="M72" s="215"/>
      <c r="N72" s="215" t="s">
        <v>122</v>
      </c>
      <c r="O72" s="215"/>
      <c r="P72" s="349" t="s">
        <v>1554</v>
      </c>
      <c r="Q72" s="345" t="s">
        <v>2198</v>
      </c>
      <c r="R72" s="339">
        <v>44571.527303240742</v>
      </c>
      <c r="S72" s="215">
        <v>2020</v>
      </c>
      <c r="T72" s="215" t="s">
        <v>2001</v>
      </c>
      <c r="U72" s="346" t="s">
        <v>678</v>
      </c>
      <c r="V72" s="346" t="s">
        <v>679</v>
      </c>
      <c r="W72" s="17" t="s">
        <v>145</v>
      </c>
      <c r="X72" s="346" t="s">
        <v>309</v>
      </c>
      <c r="Y72" s="347">
        <v>45078</v>
      </c>
      <c r="Z72" s="17" t="s">
        <v>1875</v>
      </c>
      <c r="AA72" s="17"/>
      <c r="AB72" s="17" t="s">
        <v>139</v>
      </c>
      <c r="AC72" s="17" t="s">
        <v>1875</v>
      </c>
      <c r="AD72" s="17" t="s">
        <v>1805</v>
      </c>
      <c r="AE72" s="17" t="s">
        <v>1805</v>
      </c>
      <c r="AF72" s="17"/>
      <c r="AG72" s="17"/>
      <c r="AH72" s="17"/>
      <c r="AI72" s="17"/>
      <c r="AJ72" s="17" t="s">
        <v>2191</v>
      </c>
      <c r="AK72" s="17"/>
      <c r="AL72" s="17" t="s">
        <v>2190</v>
      </c>
      <c r="AM72" s="17" t="s">
        <v>1975</v>
      </c>
      <c r="AN72" s="17" t="b">
        <v>0</v>
      </c>
      <c r="AO72" s="341"/>
      <c r="AP72" s="142"/>
      <c r="AQ72" s="142"/>
      <c r="AR72" s="142"/>
      <c r="AS72" s="142"/>
      <c r="AT72" s="342"/>
      <c r="AU72" s="17"/>
      <c r="AV72" s="341"/>
      <c r="AW72" s="17"/>
      <c r="AX72" s="17"/>
      <c r="AY72" s="17"/>
      <c r="AZ72" s="17"/>
      <c r="BA72" s="17" t="s">
        <v>373</v>
      </c>
      <c r="BB72" s="17" t="s">
        <v>1610</v>
      </c>
      <c r="BC72" s="17" t="s">
        <v>2192</v>
      </c>
      <c r="BD72" s="280"/>
      <c r="BE72" s="280"/>
      <c r="BF72" s="280"/>
      <c r="BG72" s="280"/>
    </row>
    <row r="73" spans="1:59" ht="45" customHeight="1">
      <c r="A73" s="271">
        <f t="shared" si="1"/>
        <v>72</v>
      </c>
      <c r="B73" s="354" t="s">
        <v>2294</v>
      </c>
      <c r="C73" s="37" t="s">
        <v>2295</v>
      </c>
      <c r="D73" s="345" t="s">
        <v>8</v>
      </c>
      <c r="E73" s="215" t="s">
        <v>9</v>
      </c>
      <c r="F73" s="37" t="s">
        <v>1759</v>
      </c>
      <c r="G73" s="337">
        <v>43906</v>
      </c>
      <c r="H73" s="338">
        <v>43995</v>
      </c>
      <c r="I73" s="337"/>
      <c r="J73" s="215"/>
      <c r="K73" s="337"/>
      <c r="L73" s="215"/>
      <c r="M73" s="215"/>
      <c r="N73" s="215" t="s">
        <v>122</v>
      </c>
      <c r="O73" s="215"/>
      <c r="P73" s="349" t="s">
        <v>1554</v>
      </c>
      <c r="Q73" s="345" t="s">
        <v>2198</v>
      </c>
      <c r="R73" s="339">
        <v>44571.527754629627</v>
      </c>
      <c r="S73" s="215">
        <v>2020</v>
      </c>
      <c r="T73" s="215" t="s">
        <v>2001</v>
      </c>
      <c r="U73" s="346" t="s">
        <v>678</v>
      </c>
      <c r="V73" s="346" t="s">
        <v>679</v>
      </c>
      <c r="W73" s="17" t="s">
        <v>145</v>
      </c>
      <c r="X73" s="346" t="s">
        <v>309</v>
      </c>
      <c r="Y73" s="347">
        <v>45078</v>
      </c>
      <c r="Z73" s="17" t="s">
        <v>1875</v>
      </c>
      <c r="AA73" s="17"/>
      <c r="AB73" s="17" t="s">
        <v>139</v>
      </c>
      <c r="AC73" s="17" t="s">
        <v>1875</v>
      </c>
      <c r="AD73" s="17" t="s">
        <v>1805</v>
      </c>
      <c r="AE73" s="17" t="s">
        <v>1805</v>
      </c>
      <c r="AF73" s="17"/>
      <c r="AG73" s="17"/>
      <c r="AH73" s="17"/>
      <c r="AI73" s="17"/>
      <c r="AJ73" s="17" t="s">
        <v>2191</v>
      </c>
      <c r="AK73" s="17"/>
      <c r="AL73" s="17" t="s">
        <v>2190</v>
      </c>
      <c r="AM73" s="17" t="s">
        <v>1975</v>
      </c>
      <c r="AN73" s="17" t="b">
        <v>0</v>
      </c>
      <c r="AO73" s="341"/>
      <c r="AP73" s="142"/>
      <c r="AQ73" s="142"/>
      <c r="AR73" s="142"/>
      <c r="AS73" s="142"/>
      <c r="AT73" s="342"/>
      <c r="AU73" s="17"/>
      <c r="AV73" s="341"/>
      <c r="AW73" s="17"/>
      <c r="AX73" s="17"/>
      <c r="AY73" s="17"/>
      <c r="AZ73" s="17"/>
      <c r="BA73" s="17" t="s">
        <v>373</v>
      </c>
      <c r="BB73" s="17" t="s">
        <v>1610</v>
      </c>
      <c r="BC73" s="17" t="s">
        <v>2192</v>
      </c>
      <c r="BD73" s="280"/>
      <c r="BE73" s="280"/>
      <c r="BF73" s="280"/>
      <c r="BG73" s="280"/>
    </row>
    <row r="74" spans="1:59" ht="45" customHeight="1">
      <c r="A74" s="271">
        <f t="shared" si="1"/>
        <v>73</v>
      </c>
      <c r="B74" s="354" t="s">
        <v>2296</v>
      </c>
      <c r="C74" s="37" t="s">
        <v>2297</v>
      </c>
      <c r="D74" s="345" t="s">
        <v>8</v>
      </c>
      <c r="E74" s="215" t="s">
        <v>9</v>
      </c>
      <c r="F74" s="37" t="s">
        <v>1759</v>
      </c>
      <c r="G74" s="337">
        <v>43906</v>
      </c>
      <c r="H74" s="352">
        <v>43995</v>
      </c>
      <c r="I74" s="337"/>
      <c r="J74" s="17"/>
      <c r="K74" s="337"/>
      <c r="L74" s="215"/>
      <c r="M74" s="215"/>
      <c r="N74" s="17" t="s">
        <v>122</v>
      </c>
      <c r="O74" s="17"/>
      <c r="P74" s="349" t="s">
        <v>1554</v>
      </c>
      <c r="Q74" s="345" t="s">
        <v>2198</v>
      </c>
      <c r="R74" s="339">
        <v>44571.528229166666</v>
      </c>
      <c r="S74" s="215">
        <v>2020</v>
      </c>
      <c r="T74" s="215" t="s">
        <v>2001</v>
      </c>
      <c r="U74" s="346" t="s">
        <v>678</v>
      </c>
      <c r="V74" s="346" t="s">
        <v>679</v>
      </c>
      <c r="W74" s="17" t="s">
        <v>145</v>
      </c>
      <c r="X74" s="346" t="s">
        <v>309</v>
      </c>
      <c r="Y74" s="347">
        <v>45078</v>
      </c>
      <c r="Z74" s="17" t="s">
        <v>1875</v>
      </c>
      <c r="AA74" s="17"/>
      <c r="AB74" s="17" t="s">
        <v>139</v>
      </c>
      <c r="AC74" s="17" t="s">
        <v>1875</v>
      </c>
      <c r="AD74" s="17" t="s">
        <v>1805</v>
      </c>
      <c r="AE74" s="17" t="s">
        <v>1805</v>
      </c>
      <c r="AF74" s="17"/>
      <c r="AG74" s="17"/>
      <c r="AH74" s="17"/>
      <c r="AI74" s="17"/>
      <c r="AJ74" s="17" t="s">
        <v>2191</v>
      </c>
      <c r="AK74" s="17"/>
      <c r="AL74" s="17" t="s">
        <v>2190</v>
      </c>
      <c r="AM74" s="17" t="s">
        <v>1975</v>
      </c>
      <c r="AN74" s="17" t="b">
        <v>0</v>
      </c>
      <c r="AO74" s="341"/>
      <c r="AP74" s="142"/>
      <c r="AQ74" s="142"/>
      <c r="AR74" s="142"/>
      <c r="AS74" s="142"/>
      <c r="AT74" s="342"/>
      <c r="AU74" s="17"/>
      <c r="AV74" s="341"/>
      <c r="AW74" s="17"/>
      <c r="AX74" s="17"/>
      <c r="AY74" s="17"/>
      <c r="AZ74" s="17"/>
      <c r="BA74" s="17" t="s">
        <v>373</v>
      </c>
      <c r="BB74" s="17" t="s">
        <v>1610</v>
      </c>
      <c r="BC74" s="17" t="s">
        <v>2192</v>
      </c>
      <c r="BD74" s="280"/>
      <c r="BE74" s="280"/>
      <c r="BF74" s="280"/>
      <c r="BG74" s="280"/>
    </row>
    <row r="75" spans="1:59" ht="45" customHeight="1">
      <c r="A75" s="271">
        <f t="shared" si="1"/>
        <v>74</v>
      </c>
      <c r="B75" s="354" t="s">
        <v>2298</v>
      </c>
      <c r="C75" s="37" t="s">
        <v>2299</v>
      </c>
      <c r="D75" s="345" t="s">
        <v>8</v>
      </c>
      <c r="E75" s="215" t="s">
        <v>9</v>
      </c>
      <c r="F75" s="37" t="s">
        <v>1759</v>
      </c>
      <c r="G75" s="337">
        <v>43906</v>
      </c>
      <c r="H75" s="352">
        <v>43995</v>
      </c>
      <c r="I75" s="337"/>
      <c r="J75" s="17"/>
      <c r="K75" s="337"/>
      <c r="L75" s="215"/>
      <c r="M75" s="215"/>
      <c r="N75" s="17" t="s">
        <v>122</v>
      </c>
      <c r="O75" s="17"/>
      <c r="P75" s="349" t="s">
        <v>1554</v>
      </c>
      <c r="Q75" s="345" t="s">
        <v>2198</v>
      </c>
      <c r="R75" s="339">
        <v>44571.528784722221</v>
      </c>
      <c r="S75" s="215">
        <v>2020</v>
      </c>
      <c r="T75" s="215" t="s">
        <v>2001</v>
      </c>
      <c r="U75" s="346" t="s">
        <v>678</v>
      </c>
      <c r="V75" s="346" t="s">
        <v>679</v>
      </c>
      <c r="W75" s="17" t="s">
        <v>145</v>
      </c>
      <c r="X75" s="346" t="s">
        <v>309</v>
      </c>
      <c r="Y75" s="347">
        <v>45078</v>
      </c>
      <c r="Z75" s="17" t="s">
        <v>1875</v>
      </c>
      <c r="AA75" s="17"/>
      <c r="AB75" s="17" t="s">
        <v>139</v>
      </c>
      <c r="AC75" s="17" t="s">
        <v>1875</v>
      </c>
      <c r="AD75" s="17" t="s">
        <v>1805</v>
      </c>
      <c r="AE75" s="17" t="s">
        <v>1805</v>
      </c>
      <c r="AF75" s="17"/>
      <c r="AG75" s="17"/>
      <c r="AH75" s="17"/>
      <c r="AI75" s="17"/>
      <c r="AJ75" s="17" t="s">
        <v>2191</v>
      </c>
      <c r="AK75" s="17"/>
      <c r="AL75" s="17" t="s">
        <v>2190</v>
      </c>
      <c r="AM75" s="17" t="s">
        <v>1975</v>
      </c>
      <c r="AN75" s="17" t="b">
        <v>0</v>
      </c>
      <c r="AO75" s="341"/>
      <c r="AP75" s="142"/>
      <c r="AQ75" s="142"/>
      <c r="AR75" s="142"/>
      <c r="AS75" s="142"/>
      <c r="AT75" s="342"/>
      <c r="AU75" s="17"/>
      <c r="AV75" s="341"/>
      <c r="AW75" s="17"/>
      <c r="AX75" s="17"/>
      <c r="AY75" s="17"/>
      <c r="AZ75" s="17"/>
      <c r="BA75" s="17" t="s">
        <v>373</v>
      </c>
      <c r="BB75" s="17" t="s">
        <v>1610</v>
      </c>
      <c r="BC75" s="17" t="s">
        <v>2192</v>
      </c>
      <c r="BD75" s="280"/>
      <c r="BE75" s="280"/>
      <c r="BF75" s="280"/>
      <c r="BG75" s="280"/>
    </row>
    <row r="76" spans="1:59" ht="45" customHeight="1">
      <c r="A76" s="271">
        <f t="shared" si="1"/>
        <v>75</v>
      </c>
      <c r="B76" s="354" t="s">
        <v>2300</v>
      </c>
      <c r="C76" s="37" t="s">
        <v>2301</v>
      </c>
      <c r="D76" s="345" t="s">
        <v>8</v>
      </c>
      <c r="E76" s="215" t="s">
        <v>9</v>
      </c>
      <c r="F76" s="37" t="s">
        <v>1759</v>
      </c>
      <c r="G76" s="337">
        <v>43906</v>
      </c>
      <c r="H76" s="352">
        <v>43995</v>
      </c>
      <c r="I76" s="337"/>
      <c r="J76" s="17"/>
      <c r="K76" s="337"/>
      <c r="L76" s="215"/>
      <c r="M76" s="215"/>
      <c r="N76" s="17" t="s">
        <v>122</v>
      </c>
      <c r="O76" s="17"/>
      <c r="P76" s="349" t="s">
        <v>1554</v>
      </c>
      <c r="Q76" s="345" t="s">
        <v>2198</v>
      </c>
      <c r="R76" s="339">
        <v>44571.52925925926</v>
      </c>
      <c r="S76" s="215">
        <v>2020</v>
      </c>
      <c r="T76" s="215" t="s">
        <v>2001</v>
      </c>
      <c r="U76" s="346" t="s">
        <v>678</v>
      </c>
      <c r="V76" s="346" t="s">
        <v>679</v>
      </c>
      <c r="W76" s="17" t="s">
        <v>145</v>
      </c>
      <c r="X76" s="346" t="s">
        <v>309</v>
      </c>
      <c r="Y76" s="347">
        <v>45078</v>
      </c>
      <c r="Z76" s="17" t="s">
        <v>1875</v>
      </c>
      <c r="AA76" s="17"/>
      <c r="AB76" s="17" t="s">
        <v>139</v>
      </c>
      <c r="AC76" s="17" t="s">
        <v>1875</v>
      </c>
      <c r="AD76" s="17" t="s">
        <v>1805</v>
      </c>
      <c r="AE76" s="17" t="s">
        <v>1805</v>
      </c>
      <c r="AF76" s="17"/>
      <c r="AG76" s="17"/>
      <c r="AH76" s="17"/>
      <c r="AI76" s="17"/>
      <c r="AJ76" s="17" t="s">
        <v>2191</v>
      </c>
      <c r="AK76" s="17"/>
      <c r="AL76" s="17" t="s">
        <v>2190</v>
      </c>
      <c r="AM76" s="17" t="s">
        <v>1975</v>
      </c>
      <c r="AN76" s="17" t="b">
        <v>0</v>
      </c>
      <c r="AO76" s="341"/>
      <c r="AP76" s="142"/>
      <c r="AQ76" s="142"/>
      <c r="AR76" s="142"/>
      <c r="AS76" s="142"/>
      <c r="AT76" s="342"/>
      <c r="AU76" s="17"/>
      <c r="AV76" s="341"/>
      <c r="AW76" s="17"/>
      <c r="AX76" s="17"/>
      <c r="AY76" s="17"/>
      <c r="AZ76" s="17"/>
      <c r="BA76" s="17" t="s">
        <v>373</v>
      </c>
      <c r="BB76" s="17" t="s">
        <v>1610</v>
      </c>
      <c r="BC76" s="17" t="s">
        <v>2192</v>
      </c>
      <c r="BD76" s="280"/>
      <c r="BE76" s="280"/>
      <c r="BF76" s="280"/>
      <c r="BG76" s="280"/>
    </row>
    <row r="77" spans="1:59" ht="45" customHeight="1">
      <c r="A77" s="271">
        <f t="shared" si="1"/>
        <v>76</v>
      </c>
      <c r="B77" s="354" t="s">
        <v>2302</v>
      </c>
      <c r="C77" s="37" t="s">
        <v>2303</v>
      </c>
      <c r="D77" s="345" t="s">
        <v>8</v>
      </c>
      <c r="E77" s="215" t="s">
        <v>9</v>
      </c>
      <c r="F77" s="37" t="s">
        <v>1759</v>
      </c>
      <c r="G77" s="337">
        <v>43906</v>
      </c>
      <c r="H77" s="352">
        <v>43995</v>
      </c>
      <c r="I77" s="337"/>
      <c r="J77" s="17"/>
      <c r="K77" s="337"/>
      <c r="L77" s="215"/>
      <c r="M77" s="215"/>
      <c r="N77" s="17" t="s">
        <v>122</v>
      </c>
      <c r="O77" s="17"/>
      <c r="P77" s="349" t="s">
        <v>1554</v>
      </c>
      <c r="Q77" s="345" t="s">
        <v>2198</v>
      </c>
      <c r="R77" s="339">
        <v>44571.529791666668</v>
      </c>
      <c r="S77" s="215">
        <v>2020</v>
      </c>
      <c r="T77" s="215" t="s">
        <v>2001</v>
      </c>
      <c r="U77" s="346" t="s">
        <v>678</v>
      </c>
      <c r="V77" s="346" t="s">
        <v>679</v>
      </c>
      <c r="W77" s="17" t="s">
        <v>145</v>
      </c>
      <c r="X77" s="346" t="s">
        <v>309</v>
      </c>
      <c r="Y77" s="347">
        <v>45078</v>
      </c>
      <c r="Z77" s="17" t="s">
        <v>1875</v>
      </c>
      <c r="AA77" s="17"/>
      <c r="AB77" s="17" t="s">
        <v>139</v>
      </c>
      <c r="AC77" s="17" t="s">
        <v>1875</v>
      </c>
      <c r="AD77" s="17" t="s">
        <v>1805</v>
      </c>
      <c r="AE77" s="17" t="s">
        <v>1805</v>
      </c>
      <c r="AF77" s="17"/>
      <c r="AG77" s="17"/>
      <c r="AH77" s="17"/>
      <c r="AI77" s="17"/>
      <c r="AJ77" s="17" t="s">
        <v>2191</v>
      </c>
      <c r="AK77" s="17"/>
      <c r="AL77" s="17" t="s">
        <v>2190</v>
      </c>
      <c r="AM77" s="17" t="s">
        <v>1975</v>
      </c>
      <c r="AN77" s="17" t="b">
        <v>0</v>
      </c>
      <c r="AO77" s="341"/>
      <c r="AP77" s="142"/>
      <c r="AQ77" s="142"/>
      <c r="AR77" s="142"/>
      <c r="AS77" s="142"/>
      <c r="AT77" s="342"/>
      <c r="AU77" s="17"/>
      <c r="AV77" s="341"/>
      <c r="AW77" s="17"/>
      <c r="AX77" s="17"/>
      <c r="AY77" s="17"/>
      <c r="AZ77" s="17"/>
      <c r="BA77" s="17" t="s">
        <v>373</v>
      </c>
      <c r="BB77" s="17" t="s">
        <v>1610</v>
      </c>
      <c r="BC77" s="17" t="s">
        <v>2192</v>
      </c>
      <c r="BD77" s="280"/>
      <c r="BE77" s="280"/>
      <c r="BF77" s="280"/>
      <c r="BG77" s="280"/>
    </row>
    <row r="78" spans="1:59" ht="45" customHeight="1">
      <c r="A78" s="271">
        <f t="shared" si="1"/>
        <v>77</v>
      </c>
      <c r="B78" s="354" t="s">
        <v>2304</v>
      </c>
      <c r="C78" s="37" t="s">
        <v>2305</v>
      </c>
      <c r="D78" s="345" t="s">
        <v>8</v>
      </c>
      <c r="E78" s="215" t="s">
        <v>9</v>
      </c>
      <c r="F78" s="37" t="s">
        <v>1759</v>
      </c>
      <c r="G78" s="337">
        <v>43906</v>
      </c>
      <c r="H78" s="352">
        <v>43995</v>
      </c>
      <c r="I78" s="337"/>
      <c r="J78" s="17"/>
      <c r="K78" s="337"/>
      <c r="L78" s="215"/>
      <c r="M78" s="215"/>
      <c r="N78" s="17" t="s">
        <v>122</v>
      </c>
      <c r="O78" s="17"/>
      <c r="P78" s="349" t="s">
        <v>1554</v>
      </c>
      <c r="Q78" s="345" t="s">
        <v>2198</v>
      </c>
      <c r="R78" s="339">
        <v>44571.530428240738</v>
      </c>
      <c r="S78" s="215">
        <v>2020</v>
      </c>
      <c r="T78" s="215" t="s">
        <v>2001</v>
      </c>
      <c r="U78" s="346" t="s">
        <v>678</v>
      </c>
      <c r="V78" s="346" t="s">
        <v>679</v>
      </c>
      <c r="W78" s="17" t="s">
        <v>145</v>
      </c>
      <c r="X78" s="346" t="s">
        <v>309</v>
      </c>
      <c r="Y78" s="347">
        <v>45078</v>
      </c>
      <c r="Z78" s="17" t="s">
        <v>1875</v>
      </c>
      <c r="AA78" s="17"/>
      <c r="AB78" s="17" t="s">
        <v>139</v>
      </c>
      <c r="AC78" s="17" t="s">
        <v>1875</v>
      </c>
      <c r="AD78" s="17" t="s">
        <v>1805</v>
      </c>
      <c r="AE78" s="17" t="s">
        <v>1805</v>
      </c>
      <c r="AF78" s="17"/>
      <c r="AG78" s="17"/>
      <c r="AH78" s="17"/>
      <c r="AI78" s="17"/>
      <c r="AJ78" s="17" t="s">
        <v>2191</v>
      </c>
      <c r="AK78" s="17"/>
      <c r="AL78" s="17" t="s">
        <v>2190</v>
      </c>
      <c r="AM78" s="17" t="s">
        <v>1975</v>
      </c>
      <c r="AN78" s="17" t="b">
        <v>0</v>
      </c>
      <c r="AO78" s="341"/>
      <c r="AP78" s="142"/>
      <c r="AQ78" s="142"/>
      <c r="AR78" s="142"/>
      <c r="AS78" s="142"/>
      <c r="AT78" s="342"/>
      <c r="AU78" s="17"/>
      <c r="AV78" s="341"/>
      <c r="AW78" s="17"/>
      <c r="AX78" s="17"/>
      <c r="AY78" s="17"/>
      <c r="AZ78" s="17"/>
      <c r="BA78" s="17" t="s">
        <v>373</v>
      </c>
      <c r="BB78" s="17" t="s">
        <v>1610</v>
      </c>
      <c r="BC78" s="17" t="s">
        <v>2192</v>
      </c>
      <c r="BD78" s="280"/>
      <c r="BE78" s="280"/>
      <c r="BF78" s="280"/>
      <c r="BG78" s="280"/>
    </row>
    <row r="79" spans="1:59" ht="45" customHeight="1">
      <c r="A79" s="271">
        <f t="shared" si="1"/>
        <v>78</v>
      </c>
      <c r="B79" s="354" t="s">
        <v>2306</v>
      </c>
      <c r="C79" s="37" t="s">
        <v>2307</v>
      </c>
      <c r="D79" s="345" t="s">
        <v>8</v>
      </c>
      <c r="E79" s="215" t="s">
        <v>9</v>
      </c>
      <c r="F79" s="37" t="s">
        <v>1759</v>
      </c>
      <c r="G79" s="337">
        <v>43906</v>
      </c>
      <c r="H79" s="352">
        <v>43995</v>
      </c>
      <c r="I79" s="337"/>
      <c r="J79" s="17"/>
      <c r="K79" s="337"/>
      <c r="L79" s="215"/>
      <c r="M79" s="215"/>
      <c r="N79" s="17" t="s">
        <v>122</v>
      </c>
      <c r="O79" s="17"/>
      <c r="P79" s="349" t="s">
        <v>1554</v>
      </c>
      <c r="Q79" s="345" t="s">
        <v>2198</v>
      </c>
      <c r="R79" s="339">
        <v>44571.530972222223</v>
      </c>
      <c r="S79" s="215">
        <v>2020</v>
      </c>
      <c r="T79" s="215" t="s">
        <v>2001</v>
      </c>
      <c r="U79" s="346" t="s">
        <v>678</v>
      </c>
      <c r="V79" s="346" t="s">
        <v>679</v>
      </c>
      <c r="W79" s="17" t="s">
        <v>145</v>
      </c>
      <c r="X79" s="346" t="s">
        <v>309</v>
      </c>
      <c r="Y79" s="347">
        <v>45078</v>
      </c>
      <c r="Z79" s="17" t="s">
        <v>1875</v>
      </c>
      <c r="AA79" s="17"/>
      <c r="AB79" s="17" t="s">
        <v>139</v>
      </c>
      <c r="AC79" s="17" t="s">
        <v>1875</v>
      </c>
      <c r="AD79" s="17" t="s">
        <v>1805</v>
      </c>
      <c r="AE79" s="17" t="s">
        <v>1805</v>
      </c>
      <c r="AF79" s="17"/>
      <c r="AG79" s="17"/>
      <c r="AH79" s="17"/>
      <c r="AI79" s="17"/>
      <c r="AJ79" s="17" t="s">
        <v>2191</v>
      </c>
      <c r="AK79" s="17"/>
      <c r="AL79" s="17" t="s">
        <v>2190</v>
      </c>
      <c r="AM79" s="17" t="s">
        <v>1975</v>
      </c>
      <c r="AN79" s="17" t="b">
        <v>0</v>
      </c>
      <c r="AO79" s="341"/>
      <c r="AP79" s="142"/>
      <c r="AQ79" s="142"/>
      <c r="AR79" s="142"/>
      <c r="AS79" s="142"/>
      <c r="AT79" s="342"/>
      <c r="AU79" s="17"/>
      <c r="AV79" s="341"/>
      <c r="AW79" s="17"/>
      <c r="AX79" s="17"/>
      <c r="AY79" s="17"/>
      <c r="AZ79" s="17"/>
      <c r="BA79" s="17" t="s">
        <v>373</v>
      </c>
      <c r="BB79" s="17" t="s">
        <v>1610</v>
      </c>
      <c r="BC79" s="17" t="s">
        <v>2192</v>
      </c>
      <c r="BD79" s="280"/>
      <c r="BE79" s="280"/>
      <c r="BF79" s="280"/>
      <c r="BG79" s="280"/>
    </row>
    <row r="80" spans="1:59" ht="45" customHeight="1">
      <c r="A80" s="271">
        <f t="shared" si="1"/>
        <v>79</v>
      </c>
      <c r="B80" s="354" t="s">
        <v>2308</v>
      </c>
      <c r="C80" s="37" t="s">
        <v>2309</v>
      </c>
      <c r="D80" s="345" t="s">
        <v>8</v>
      </c>
      <c r="E80" s="215" t="s">
        <v>9</v>
      </c>
      <c r="F80" s="37" t="s">
        <v>1759</v>
      </c>
      <c r="G80" s="337">
        <v>43906</v>
      </c>
      <c r="H80" s="352">
        <v>43995</v>
      </c>
      <c r="I80" s="337"/>
      <c r="J80" s="17"/>
      <c r="K80" s="337"/>
      <c r="L80" s="215"/>
      <c r="M80" s="215"/>
      <c r="N80" s="17" t="s">
        <v>122</v>
      </c>
      <c r="O80" s="17"/>
      <c r="P80" s="349" t="s">
        <v>1554</v>
      </c>
      <c r="Q80" s="345" t="s">
        <v>2198</v>
      </c>
      <c r="R80" s="339">
        <v>44571.531493055554</v>
      </c>
      <c r="S80" s="215">
        <v>2020</v>
      </c>
      <c r="T80" s="215" t="s">
        <v>2001</v>
      </c>
      <c r="U80" s="346" t="s">
        <v>678</v>
      </c>
      <c r="V80" s="346" t="s">
        <v>679</v>
      </c>
      <c r="W80" s="17" t="s">
        <v>145</v>
      </c>
      <c r="X80" s="346" t="s">
        <v>309</v>
      </c>
      <c r="Y80" s="347">
        <v>45078</v>
      </c>
      <c r="Z80" s="17" t="s">
        <v>1875</v>
      </c>
      <c r="AA80" s="17"/>
      <c r="AB80" s="17" t="s">
        <v>139</v>
      </c>
      <c r="AC80" s="17" t="s">
        <v>1875</v>
      </c>
      <c r="AD80" s="17" t="s">
        <v>1805</v>
      </c>
      <c r="AE80" s="17" t="s">
        <v>1805</v>
      </c>
      <c r="AF80" s="17"/>
      <c r="AG80" s="17"/>
      <c r="AH80" s="17"/>
      <c r="AI80" s="17"/>
      <c r="AJ80" s="17" t="s">
        <v>2191</v>
      </c>
      <c r="AK80" s="17"/>
      <c r="AL80" s="17" t="s">
        <v>2190</v>
      </c>
      <c r="AM80" s="17" t="s">
        <v>1975</v>
      </c>
      <c r="AN80" s="17" t="b">
        <v>0</v>
      </c>
      <c r="AO80" s="341"/>
      <c r="AP80" s="142"/>
      <c r="AQ80" s="142"/>
      <c r="AR80" s="142"/>
      <c r="AS80" s="142"/>
      <c r="AT80" s="342"/>
      <c r="AU80" s="17"/>
      <c r="AV80" s="341"/>
      <c r="AW80" s="17"/>
      <c r="AX80" s="17"/>
      <c r="AY80" s="17"/>
      <c r="AZ80" s="17"/>
      <c r="BA80" s="17" t="s">
        <v>373</v>
      </c>
      <c r="BB80" s="17" t="s">
        <v>1610</v>
      </c>
      <c r="BC80" s="17" t="s">
        <v>2192</v>
      </c>
      <c r="BD80" s="280"/>
      <c r="BE80" s="280"/>
      <c r="BF80" s="280"/>
      <c r="BG80" s="280"/>
    </row>
    <row r="81" spans="1:59" ht="45" customHeight="1">
      <c r="A81" s="271">
        <f t="shared" si="1"/>
        <v>80</v>
      </c>
      <c r="B81" s="354" t="s">
        <v>2310</v>
      </c>
      <c r="C81" s="37" t="s">
        <v>2311</v>
      </c>
      <c r="D81" s="345" t="s">
        <v>8</v>
      </c>
      <c r="E81" s="215" t="s">
        <v>9</v>
      </c>
      <c r="F81" s="37" t="s">
        <v>1759</v>
      </c>
      <c r="G81" s="337">
        <v>43906</v>
      </c>
      <c r="H81" s="352">
        <v>43995</v>
      </c>
      <c r="I81" s="337"/>
      <c r="J81" s="17"/>
      <c r="K81" s="337"/>
      <c r="L81" s="215"/>
      <c r="M81" s="215"/>
      <c r="N81" s="17" t="s">
        <v>122</v>
      </c>
      <c r="O81" s="17"/>
      <c r="P81" s="349" t="s">
        <v>1554</v>
      </c>
      <c r="Q81" s="345" t="s">
        <v>2198</v>
      </c>
      <c r="R81" s="339">
        <v>44571.532013888886</v>
      </c>
      <c r="S81" s="215">
        <v>2020</v>
      </c>
      <c r="T81" s="215" t="s">
        <v>2001</v>
      </c>
      <c r="U81" s="346" t="s">
        <v>678</v>
      </c>
      <c r="V81" s="346" t="s">
        <v>679</v>
      </c>
      <c r="W81" s="17" t="s">
        <v>145</v>
      </c>
      <c r="X81" s="346" t="s">
        <v>309</v>
      </c>
      <c r="Y81" s="347">
        <v>45078</v>
      </c>
      <c r="Z81" s="17" t="s">
        <v>1875</v>
      </c>
      <c r="AA81" s="17"/>
      <c r="AB81" s="17" t="s">
        <v>139</v>
      </c>
      <c r="AC81" s="17" t="s">
        <v>1875</v>
      </c>
      <c r="AD81" s="17" t="s">
        <v>1805</v>
      </c>
      <c r="AE81" s="17" t="s">
        <v>1805</v>
      </c>
      <c r="AF81" s="17"/>
      <c r="AG81" s="17"/>
      <c r="AH81" s="17"/>
      <c r="AI81" s="17"/>
      <c r="AJ81" s="17" t="s">
        <v>2191</v>
      </c>
      <c r="AK81" s="17"/>
      <c r="AL81" s="17" t="s">
        <v>2190</v>
      </c>
      <c r="AM81" s="17" t="s">
        <v>1975</v>
      </c>
      <c r="AN81" s="17" t="b">
        <v>0</v>
      </c>
      <c r="AO81" s="341"/>
      <c r="AP81" s="142"/>
      <c r="AQ81" s="142"/>
      <c r="AR81" s="142"/>
      <c r="AS81" s="142"/>
      <c r="AT81" s="342"/>
      <c r="AU81" s="17"/>
      <c r="AV81" s="341"/>
      <c r="AW81" s="17"/>
      <c r="AX81" s="17"/>
      <c r="AY81" s="17"/>
      <c r="AZ81" s="17"/>
      <c r="BA81" s="17" t="s">
        <v>373</v>
      </c>
      <c r="BB81" s="17" t="s">
        <v>1610</v>
      </c>
      <c r="BC81" s="17" t="s">
        <v>2192</v>
      </c>
      <c r="BD81" s="280"/>
      <c r="BE81" s="280"/>
      <c r="BF81" s="280"/>
      <c r="BG81" s="280"/>
    </row>
    <row r="82" spans="1:59" ht="45" customHeight="1">
      <c r="A82" s="271">
        <f t="shared" si="1"/>
        <v>81</v>
      </c>
      <c r="B82" s="354" t="s">
        <v>2312</v>
      </c>
      <c r="C82" s="37" t="s">
        <v>2313</v>
      </c>
      <c r="D82" s="345" t="s">
        <v>8</v>
      </c>
      <c r="E82" s="215" t="s">
        <v>9</v>
      </c>
      <c r="F82" s="37" t="s">
        <v>1759</v>
      </c>
      <c r="G82" s="337">
        <v>43906</v>
      </c>
      <c r="H82" s="352">
        <v>43995</v>
      </c>
      <c r="I82" s="337"/>
      <c r="J82" s="17"/>
      <c r="K82" s="337"/>
      <c r="L82" s="215"/>
      <c r="M82" s="215"/>
      <c r="N82" s="17" t="s">
        <v>122</v>
      </c>
      <c r="O82" s="17"/>
      <c r="P82" s="349" t="s">
        <v>1554</v>
      </c>
      <c r="Q82" s="345" t="s">
        <v>2198</v>
      </c>
      <c r="R82" s="339">
        <v>44571.532557870371</v>
      </c>
      <c r="S82" s="215">
        <v>2020</v>
      </c>
      <c r="T82" s="215" t="s">
        <v>2001</v>
      </c>
      <c r="U82" s="346" t="s">
        <v>678</v>
      </c>
      <c r="V82" s="346" t="s">
        <v>679</v>
      </c>
      <c r="W82" s="17" t="s">
        <v>145</v>
      </c>
      <c r="X82" s="346" t="s">
        <v>309</v>
      </c>
      <c r="Y82" s="347">
        <v>45078</v>
      </c>
      <c r="Z82" s="17" t="s">
        <v>1875</v>
      </c>
      <c r="AA82" s="17"/>
      <c r="AB82" s="17" t="s">
        <v>139</v>
      </c>
      <c r="AC82" s="17" t="s">
        <v>1875</v>
      </c>
      <c r="AD82" s="17" t="s">
        <v>1805</v>
      </c>
      <c r="AE82" s="17" t="s">
        <v>1805</v>
      </c>
      <c r="AF82" s="17"/>
      <c r="AG82" s="17"/>
      <c r="AH82" s="17"/>
      <c r="AI82" s="17"/>
      <c r="AJ82" s="17" t="s">
        <v>2191</v>
      </c>
      <c r="AK82" s="17"/>
      <c r="AL82" s="17" t="s">
        <v>2190</v>
      </c>
      <c r="AM82" s="17" t="s">
        <v>1975</v>
      </c>
      <c r="AN82" s="17" t="b">
        <v>0</v>
      </c>
      <c r="AO82" s="341"/>
      <c r="AP82" s="142"/>
      <c r="AQ82" s="142"/>
      <c r="AR82" s="142"/>
      <c r="AS82" s="142"/>
      <c r="AT82" s="342"/>
      <c r="AU82" s="17"/>
      <c r="AV82" s="341"/>
      <c r="AW82" s="17"/>
      <c r="AX82" s="17"/>
      <c r="AY82" s="17"/>
      <c r="AZ82" s="17"/>
      <c r="BA82" s="17" t="s">
        <v>373</v>
      </c>
      <c r="BB82" s="17" t="s">
        <v>1610</v>
      </c>
      <c r="BC82" s="17" t="s">
        <v>2192</v>
      </c>
      <c r="BD82" s="280"/>
      <c r="BE82" s="280"/>
      <c r="BF82" s="280"/>
      <c r="BG82" s="280"/>
    </row>
    <row r="83" spans="1:59" ht="45" customHeight="1">
      <c r="A83" s="271">
        <f t="shared" si="1"/>
        <v>82</v>
      </c>
      <c r="B83" s="354" t="s">
        <v>2314</v>
      </c>
      <c r="C83" s="37" t="s">
        <v>2315</v>
      </c>
      <c r="D83" s="345" t="s">
        <v>8</v>
      </c>
      <c r="E83" s="215" t="s">
        <v>9</v>
      </c>
      <c r="F83" s="37" t="s">
        <v>1759</v>
      </c>
      <c r="G83" s="337">
        <v>44006</v>
      </c>
      <c r="H83" s="352"/>
      <c r="I83" s="337"/>
      <c r="J83" s="17"/>
      <c r="K83" s="337"/>
      <c r="L83" s="215"/>
      <c r="M83" s="215"/>
      <c r="N83" s="17" t="s">
        <v>122</v>
      </c>
      <c r="O83" s="17"/>
      <c r="P83" s="349" t="s">
        <v>1554</v>
      </c>
      <c r="Q83" s="345" t="s">
        <v>2198</v>
      </c>
      <c r="R83" s="339">
        <v>44571.538738425923</v>
      </c>
      <c r="S83" s="215">
        <v>2020</v>
      </c>
      <c r="T83" s="215" t="s">
        <v>2001</v>
      </c>
      <c r="U83" s="346" t="s">
        <v>678</v>
      </c>
      <c r="V83" s="346" t="s">
        <v>679</v>
      </c>
      <c r="W83" s="17" t="s">
        <v>145</v>
      </c>
      <c r="X83" s="346" t="s">
        <v>309</v>
      </c>
      <c r="Y83" s="347">
        <v>45078</v>
      </c>
      <c r="Z83" s="17" t="s">
        <v>1875</v>
      </c>
      <c r="AA83" s="17"/>
      <c r="AB83" s="17" t="s">
        <v>139</v>
      </c>
      <c r="AC83" s="17" t="s">
        <v>1875</v>
      </c>
      <c r="AD83" s="17" t="s">
        <v>1805</v>
      </c>
      <c r="AE83" s="17" t="s">
        <v>1805</v>
      </c>
      <c r="AF83" s="17"/>
      <c r="AG83" s="17"/>
      <c r="AH83" s="17"/>
      <c r="AI83" s="17"/>
      <c r="AJ83" s="17" t="s">
        <v>2191</v>
      </c>
      <c r="AK83" s="17"/>
      <c r="AL83" s="17" t="s">
        <v>2190</v>
      </c>
      <c r="AM83" s="17" t="s">
        <v>1975</v>
      </c>
      <c r="AN83" s="17" t="b">
        <v>0</v>
      </c>
      <c r="AO83" s="341"/>
      <c r="AP83" s="142"/>
      <c r="AQ83" s="142"/>
      <c r="AR83" s="142"/>
      <c r="AS83" s="142"/>
      <c r="AT83" s="342"/>
      <c r="AU83" s="17"/>
      <c r="AV83" s="341"/>
      <c r="AW83" s="17"/>
      <c r="AX83" s="17"/>
      <c r="AY83" s="17"/>
      <c r="AZ83" s="17"/>
      <c r="BA83" s="17" t="s">
        <v>373</v>
      </c>
      <c r="BB83" s="17" t="s">
        <v>1610</v>
      </c>
      <c r="BC83" s="17" t="s">
        <v>2192</v>
      </c>
      <c r="BD83" s="280"/>
      <c r="BE83" s="280"/>
      <c r="BF83" s="280"/>
      <c r="BG83" s="280"/>
    </row>
    <row r="84" spans="1:59" ht="45" customHeight="1">
      <c r="A84" s="271">
        <f t="shared" si="1"/>
        <v>83</v>
      </c>
      <c r="B84" s="354" t="s">
        <v>2318</v>
      </c>
      <c r="C84" s="37" t="s">
        <v>2319</v>
      </c>
      <c r="D84" s="345" t="s">
        <v>8</v>
      </c>
      <c r="E84" s="215" t="s">
        <v>9</v>
      </c>
      <c r="F84" s="37" t="s">
        <v>1759</v>
      </c>
      <c r="G84" s="337">
        <v>44006</v>
      </c>
      <c r="H84" s="352"/>
      <c r="I84" s="337"/>
      <c r="J84" s="17"/>
      <c r="K84" s="337"/>
      <c r="L84" s="215"/>
      <c r="M84" s="215"/>
      <c r="N84" s="17" t="s">
        <v>122</v>
      </c>
      <c r="O84" s="17"/>
      <c r="P84" s="349" t="s">
        <v>1554</v>
      </c>
      <c r="Q84" s="345" t="s">
        <v>2198</v>
      </c>
      <c r="R84" s="339">
        <v>44571.539803240739</v>
      </c>
      <c r="S84" s="215">
        <v>2020</v>
      </c>
      <c r="T84" s="215" t="s">
        <v>2001</v>
      </c>
      <c r="U84" s="346" t="s">
        <v>678</v>
      </c>
      <c r="V84" s="346" t="s">
        <v>679</v>
      </c>
      <c r="W84" s="17" t="s">
        <v>145</v>
      </c>
      <c r="X84" s="346" t="s">
        <v>309</v>
      </c>
      <c r="Y84" s="347">
        <v>45078</v>
      </c>
      <c r="Z84" s="17" t="s">
        <v>1875</v>
      </c>
      <c r="AA84" s="17"/>
      <c r="AB84" s="17" t="s">
        <v>139</v>
      </c>
      <c r="AC84" s="17" t="s">
        <v>1875</v>
      </c>
      <c r="AD84" s="17" t="s">
        <v>1805</v>
      </c>
      <c r="AE84" s="17" t="s">
        <v>1805</v>
      </c>
      <c r="AF84" s="17"/>
      <c r="AG84" s="17"/>
      <c r="AH84" s="17"/>
      <c r="AI84" s="17"/>
      <c r="AJ84" s="17" t="s">
        <v>2191</v>
      </c>
      <c r="AK84" s="17"/>
      <c r="AL84" s="17" t="s">
        <v>2190</v>
      </c>
      <c r="AM84" s="17" t="s">
        <v>1975</v>
      </c>
      <c r="AN84" s="17" t="b">
        <v>0</v>
      </c>
      <c r="AO84" s="341"/>
      <c r="AP84" s="142"/>
      <c r="AQ84" s="142"/>
      <c r="AR84" s="142"/>
      <c r="AS84" s="142"/>
      <c r="AT84" s="342"/>
      <c r="AU84" s="17"/>
      <c r="AV84" s="341"/>
      <c r="AW84" s="17"/>
      <c r="AX84" s="17"/>
      <c r="AY84" s="17"/>
      <c r="AZ84" s="17"/>
      <c r="BA84" s="17" t="s">
        <v>373</v>
      </c>
      <c r="BB84" s="17" t="s">
        <v>1610</v>
      </c>
      <c r="BC84" s="17" t="s">
        <v>2192</v>
      </c>
      <c r="BD84" s="280"/>
      <c r="BE84" s="280"/>
      <c r="BF84" s="280"/>
      <c r="BG84" s="280"/>
    </row>
    <row r="85" spans="1:59" ht="45" customHeight="1">
      <c r="A85" s="271">
        <f t="shared" si="1"/>
        <v>84</v>
      </c>
      <c r="B85" s="354" t="s">
        <v>2320</v>
      </c>
      <c r="C85" s="37" t="s">
        <v>2321</v>
      </c>
      <c r="D85" s="345" t="s">
        <v>8</v>
      </c>
      <c r="E85" s="215" t="s">
        <v>9</v>
      </c>
      <c r="F85" s="37" t="s">
        <v>1759</v>
      </c>
      <c r="G85" s="337">
        <v>44006</v>
      </c>
      <c r="H85" s="352"/>
      <c r="I85" s="337"/>
      <c r="J85" s="17"/>
      <c r="K85" s="337"/>
      <c r="L85" s="215"/>
      <c r="M85" s="215"/>
      <c r="N85" s="17" t="s">
        <v>122</v>
      </c>
      <c r="O85" s="17"/>
      <c r="P85" s="349" t="s">
        <v>1554</v>
      </c>
      <c r="Q85" s="345" t="s">
        <v>2198</v>
      </c>
      <c r="R85" s="339">
        <v>44571.540243055555</v>
      </c>
      <c r="S85" s="215">
        <v>2020</v>
      </c>
      <c r="T85" s="215" t="s">
        <v>2001</v>
      </c>
      <c r="U85" s="346" t="s">
        <v>678</v>
      </c>
      <c r="V85" s="346" t="s">
        <v>679</v>
      </c>
      <c r="W85" s="17" t="s">
        <v>145</v>
      </c>
      <c r="X85" s="346" t="s">
        <v>309</v>
      </c>
      <c r="Y85" s="347">
        <v>45078</v>
      </c>
      <c r="Z85" s="17" t="s">
        <v>1875</v>
      </c>
      <c r="AA85" s="17"/>
      <c r="AB85" s="17" t="s">
        <v>139</v>
      </c>
      <c r="AC85" s="17" t="s">
        <v>1875</v>
      </c>
      <c r="AD85" s="17" t="s">
        <v>1805</v>
      </c>
      <c r="AE85" s="17" t="s">
        <v>1805</v>
      </c>
      <c r="AF85" s="17"/>
      <c r="AG85" s="17"/>
      <c r="AH85" s="17"/>
      <c r="AI85" s="17"/>
      <c r="AJ85" s="17" t="s">
        <v>2191</v>
      </c>
      <c r="AK85" s="17"/>
      <c r="AL85" s="17" t="s">
        <v>2190</v>
      </c>
      <c r="AM85" s="17" t="s">
        <v>1975</v>
      </c>
      <c r="AN85" s="17" t="b">
        <v>0</v>
      </c>
      <c r="AO85" s="341"/>
      <c r="AP85" s="142"/>
      <c r="AQ85" s="142"/>
      <c r="AR85" s="142"/>
      <c r="AS85" s="142"/>
      <c r="AT85" s="342"/>
      <c r="AU85" s="17"/>
      <c r="AV85" s="341"/>
      <c r="AW85" s="17"/>
      <c r="AX85" s="17"/>
      <c r="AY85" s="17"/>
      <c r="AZ85" s="17"/>
      <c r="BA85" s="17" t="s">
        <v>373</v>
      </c>
      <c r="BB85" s="17" t="s">
        <v>1610</v>
      </c>
      <c r="BC85" s="17" t="s">
        <v>2192</v>
      </c>
      <c r="BD85" s="280"/>
      <c r="BE85" s="280"/>
      <c r="BF85" s="280"/>
      <c r="BG85" s="280"/>
    </row>
    <row r="86" spans="1:59" ht="45" customHeight="1">
      <c r="A86" s="271">
        <f t="shared" si="1"/>
        <v>85</v>
      </c>
      <c r="B86" s="354" t="s">
        <v>2322</v>
      </c>
      <c r="C86" s="37" t="s">
        <v>2323</v>
      </c>
      <c r="D86" s="345" t="s">
        <v>8</v>
      </c>
      <c r="E86" s="215" t="s">
        <v>9</v>
      </c>
      <c r="F86" s="37" t="s">
        <v>1759</v>
      </c>
      <c r="G86" s="337">
        <v>44006</v>
      </c>
      <c r="H86" s="352"/>
      <c r="I86" s="337"/>
      <c r="J86" s="17"/>
      <c r="K86" s="337"/>
      <c r="L86" s="215"/>
      <c r="M86" s="215"/>
      <c r="N86" s="17" t="s">
        <v>122</v>
      </c>
      <c r="O86" s="17"/>
      <c r="P86" s="349" t="s">
        <v>1554</v>
      </c>
      <c r="Q86" s="345" t="s">
        <v>2198</v>
      </c>
      <c r="R86" s="339">
        <v>44571.540601851855</v>
      </c>
      <c r="S86" s="215">
        <v>2020</v>
      </c>
      <c r="T86" s="215" t="s">
        <v>2001</v>
      </c>
      <c r="U86" s="346" t="s">
        <v>678</v>
      </c>
      <c r="V86" s="346" t="s">
        <v>679</v>
      </c>
      <c r="W86" s="17" t="s">
        <v>145</v>
      </c>
      <c r="X86" s="346" t="s">
        <v>309</v>
      </c>
      <c r="Y86" s="347">
        <v>45078</v>
      </c>
      <c r="Z86" s="17" t="s">
        <v>1875</v>
      </c>
      <c r="AA86" s="17"/>
      <c r="AB86" s="17" t="s">
        <v>139</v>
      </c>
      <c r="AC86" s="17" t="s">
        <v>1875</v>
      </c>
      <c r="AD86" s="17" t="s">
        <v>1805</v>
      </c>
      <c r="AE86" s="17" t="s">
        <v>1805</v>
      </c>
      <c r="AF86" s="17"/>
      <c r="AG86" s="17"/>
      <c r="AH86" s="17"/>
      <c r="AI86" s="17"/>
      <c r="AJ86" s="17" t="s">
        <v>2191</v>
      </c>
      <c r="AK86" s="17"/>
      <c r="AL86" s="17" t="s">
        <v>2190</v>
      </c>
      <c r="AM86" s="17" t="s">
        <v>1975</v>
      </c>
      <c r="AN86" s="17" t="b">
        <v>0</v>
      </c>
      <c r="AO86" s="341"/>
      <c r="AP86" s="142"/>
      <c r="AQ86" s="142"/>
      <c r="AR86" s="142"/>
      <c r="AS86" s="142"/>
      <c r="AT86" s="342"/>
      <c r="AU86" s="17"/>
      <c r="AV86" s="341"/>
      <c r="AW86" s="17"/>
      <c r="AX86" s="17"/>
      <c r="AY86" s="17"/>
      <c r="AZ86" s="17"/>
      <c r="BA86" s="17" t="s">
        <v>373</v>
      </c>
      <c r="BB86" s="17" t="s">
        <v>1610</v>
      </c>
      <c r="BC86" s="17" t="s">
        <v>2192</v>
      </c>
      <c r="BD86" s="280"/>
      <c r="BE86" s="280"/>
      <c r="BF86" s="280"/>
      <c r="BG86" s="280"/>
    </row>
    <row r="87" spans="1:59" ht="45" customHeight="1">
      <c r="A87" s="271">
        <f t="shared" si="1"/>
        <v>86</v>
      </c>
      <c r="B87" s="354" t="s">
        <v>2324</v>
      </c>
      <c r="C87" s="37" t="s">
        <v>2325</v>
      </c>
      <c r="D87" s="345" t="s">
        <v>8</v>
      </c>
      <c r="E87" s="215" t="s">
        <v>9</v>
      </c>
      <c r="F87" s="37" t="s">
        <v>1759</v>
      </c>
      <c r="G87" s="337">
        <v>44006</v>
      </c>
      <c r="H87" s="352"/>
      <c r="I87" s="337"/>
      <c r="J87" s="17"/>
      <c r="K87" s="337"/>
      <c r="L87" s="215"/>
      <c r="M87" s="215"/>
      <c r="N87" s="17" t="s">
        <v>122</v>
      </c>
      <c r="O87" s="17"/>
      <c r="P87" s="349" t="s">
        <v>1554</v>
      </c>
      <c r="Q87" s="345" t="s">
        <v>2198</v>
      </c>
      <c r="R87" s="339">
        <v>44571.540995370371</v>
      </c>
      <c r="S87" s="215">
        <v>2020</v>
      </c>
      <c r="T87" s="215" t="s">
        <v>2001</v>
      </c>
      <c r="U87" s="346" t="s">
        <v>678</v>
      </c>
      <c r="V87" s="346" t="s">
        <v>679</v>
      </c>
      <c r="W87" s="17" t="s">
        <v>145</v>
      </c>
      <c r="X87" s="346" t="s">
        <v>309</v>
      </c>
      <c r="Y87" s="347">
        <v>45078</v>
      </c>
      <c r="Z87" s="17" t="s">
        <v>1875</v>
      </c>
      <c r="AA87" s="17"/>
      <c r="AB87" s="17" t="s">
        <v>139</v>
      </c>
      <c r="AC87" s="17" t="s">
        <v>1875</v>
      </c>
      <c r="AD87" s="17" t="s">
        <v>1805</v>
      </c>
      <c r="AE87" s="17" t="s">
        <v>1805</v>
      </c>
      <c r="AF87" s="17"/>
      <c r="AG87" s="17"/>
      <c r="AH87" s="17"/>
      <c r="AI87" s="17"/>
      <c r="AJ87" s="17" t="s">
        <v>2191</v>
      </c>
      <c r="AK87" s="17"/>
      <c r="AL87" s="17" t="s">
        <v>2190</v>
      </c>
      <c r="AM87" s="17" t="s">
        <v>1975</v>
      </c>
      <c r="AN87" s="17" t="b">
        <v>0</v>
      </c>
      <c r="AO87" s="341"/>
      <c r="AP87" s="142"/>
      <c r="AQ87" s="142"/>
      <c r="AR87" s="142"/>
      <c r="AS87" s="142"/>
      <c r="AT87" s="342"/>
      <c r="AU87" s="17"/>
      <c r="AV87" s="341"/>
      <c r="AW87" s="17"/>
      <c r="AX87" s="17"/>
      <c r="AY87" s="17"/>
      <c r="AZ87" s="17"/>
      <c r="BA87" s="17" t="s">
        <v>373</v>
      </c>
      <c r="BB87" s="17" t="s">
        <v>1610</v>
      </c>
      <c r="BC87" s="17" t="s">
        <v>2192</v>
      </c>
      <c r="BD87" s="280"/>
      <c r="BE87" s="280"/>
      <c r="BF87" s="280"/>
      <c r="BG87" s="280"/>
    </row>
    <row r="88" spans="1:59" ht="45" customHeight="1">
      <c r="A88" s="271">
        <f t="shared" si="1"/>
        <v>87</v>
      </c>
      <c r="B88" s="354" t="s">
        <v>2326</v>
      </c>
      <c r="C88" s="37" t="s">
        <v>2327</v>
      </c>
      <c r="D88" s="345" t="s">
        <v>8</v>
      </c>
      <c r="E88" s="215" t="s">
        <v>9</v>
      </c>
      <c r="F88" s="37" t="s">
        <v>1759</v>
      </c>
      <c r="G88" s="337">
        <v>44006</v>
      </c>
      <c r="H88" s="352"/>
      <c r="I88" s="337"/>
      <c r="J88" s="17"/>
      <c r="K88" s="337"/>
      <c r="L88" s="215"/>
      <c r="M88" s="215"/>
      <c r="N88" s="17" t="s">
        <v>122</v>
      </c>
      <c r="O88" s="17"/>
      <c r="P88" s="349" t="s">
        <v>1554</v>
      </c>
      <c r="Q88" s="345" t="s">
        <v>2198</v>
      </c>
      <c r="R88" s="339">
        <v>44571.541817129626</v>
      </c>
      <c r="S88" s="215">
        <v>2020</v>
      </c>
      <c r="T88" s="215" t="s">
        <v>2001</v>
      </c>
      <c r="U88" s="346" t="s">
        <v>678</v>
      </c>
      <c r="V88" s="346" t="s">
        <v>679</v>
      </c>
      <c r="W88" s="17" t="s">
        <v>145</v>
      </c>
      <c r="X88" s="346" t="s">
        <v>309</v>
      </c>
      <c r="Y88" s="347">
        <v>45078</v>
      </c>
      <c r="Z88" s="17" t="s">
        <v>1875</v>
      </c>
      <c r="AA88" s="17"/>
      <c r="AB88" s="17" t="s">
        <v>139</v>
      </c>
      <c r="AC88" s="17" t="s">
        <v>1875</v>
      </c>
      <c r="AD88" s="17" t="s">
        <v>1805</v>
      </c>
      <c r="AE88" s="17" t="s">
        <v>1805</v>
      </c>
      <c r="AF88" s="17"/>
      <c r="AG88" s="17"/>
      <c r="AH88" s="17"/>
      <c r="AI88" s="17"/>
      <c r="AJ88" s="17" t="s">
        <v>2191</v>
      </c>
      <c r="AK88" s="17"/>
      <c r="AL88" s="17" t="s">
        <v>2190</v>
      </c>
      <c r="AM88" s="17" t="s">
        <v>1975</v>
      </c>
      <c r="AN88" s="17" t="b">
        <v>0</v>
      </c>
      <c r="AO88" s="341"/>
      <c r="AP88" s="142"/>
      <c r="AQ88" s="142"/>
      <c r="AR88" s="142"/>
      <c r="AS88" s="142"/>
      <c r="AT88" s="342"/>
      <c r="AU88" s="17"/>
      <c r="AV88" s="341"/>
      <c r="AW88" s="17"/>
      <c r="AX88" s="17"/>
      <c r="AY88" s="17"/>
      <c r="AZ88" s="17"/>
      <c r="BA88" s="17" t="s">
        <v>373</v>
      </c>
      <c r="BB88" s="17" t="s">
        <v>1610</v>
      </c>
      <c r="BC88" s="17" t="s">
        <v>2192</v>
      </c>
      <c r="BD88" s="280"/>
      <c r="BE88" s="280"/>
      <c r="BF88" s="280"/>
      <c r="BG88" s="280"/>
    </row>
    <row r="89" spans="1:59" ht="45" customHeight="1">
      <c r="A89" s="271">
        <f t="shared" si="1"/>
        <v>88</v>
      </c>
      <c r="B89" s="354" t="s">
        <v>2328</v>
      </c>
      <c r="C89" s="37" t="s">
        <v>2329</v>
      </c>
      <c r="D89" s="345" t="s">
        <v>8</v>
      </c>
      <c r="E89" s="215" t="s">
        <v>9</v>
      </c>
      <c r="F89" s="37" t="s">
        <v>1759</v>
      </c>
      <c r="G89" s="337">
        <v>44006</v>
      </c>
      <c r="H89" s="352"/>
      <c r="I89" s="337"/>
      <c r="J89" s="17"/>
      <c r="K89" s="337"/>
      <c r="L89" s="215"/>
      <c r="M89" s="215"/>
      <c r="N89" s="17" t="s">
        <v>122</v>
      </c>
      <c r="O89" s="17"/>
      <c r="P89" s="349" t="s">
        <v>1554</v>
      </c>
      <c r="Q89" s="345" t="s">
        <v>2198</v>
      </c>
      <c r="R89" s="339">
        <v>44571.542164351849</v>
      </c>
      <c r="S89" s="215">
        <v>2020</v>
      </c>
      <c r="T89" s="215" t="s">
        <v>2001</v>
      </c>
      <c r="U89" s="346" t="s">
        <v>678</v>
      </c>
      <c r="V89" s="346" t="s">
        <v>679</v>
      </c>
      <c r="W89" s="17" t="s">
        <v>145</v>
      </c>
      <c r="X89" s="346" t="s">
        <v>309</v>
      </c>
      <c r="Y89" s="347">
        <v>45078</v>
      </c>
      <c r="Z89" s="17" t="s">
        <v>1875</v>
      </c>
      <c r="AA89" s="17"/>
      <c r="AB89" s="17" t="s">
        <v>139</v>
      </c>
      <c r="AC89" s="17" t="s">
        <v>1875</v>
      </c>
      <c r="AD89" s="17" t="s">
        <v>1805</v>
      </c>
      <c r="AE89" s="17" t="s">
        <v>1805</v>
      </c>
      <c r="AF89" s="17"/>
      <c r="AG89" s="17"/>
      <c r="AH89" s="17"/>
      <c r="AI89" s="17"/>
      <c r="AJ89" s="17" t="s">
        <v>2191</v>
      </c>
      <c r="AK89" s="17"/>
      <c r="AL89" s="17" t="s">
        <v>2190</v>
      </c>
      <c r="AM89" s="17" t="s">
        <v>1975</v>
      </c>
      <c r="AN89" s="17" t="b">
        <v>0</v>
      </c>
      <c r="AO89" s="341"/>
      <c r="AP89" s="142"/>
      <c r="AQ89" s="142"/>
      <c r="AR89" s="142"/>
      <c r="AS89" s="142"/>
      <c r="AT89" s="342"/>
      <c r="AU89" s="17"/>
      <c r="AV89" s="341"/>
      <c r="AW89" s="17"/>
      <c r="AX89" s="17"/>
      <c r="AY89" s="17"/>
      <c r="AZ89" s="17"/>
      <c r="BA89" s="17" t="s">
        <v>373</v>
      </c>
      <c r="BB89" s="17" t="s">
        <v>1610</v>
      </c>
      <c r="BC89" s="17" t="s">
        <v>2192</v>
      </c>
      <c r="BD89" s="280"/>
      <c r="BE89" s="280"/>
      <c r="BF89" s="280"/>
      <c r="BG89" s="280"/>
    </row>
    <row r="90" spans="1:59" ht="45" customHeight="1">
      <c r="A90" s="271">
        <f t="shared" si="1"/>
        <v>89</v>
      </c>
      <c r="B90" s="354" t="s">
        <v>2330</v>
      </c>
      <c r="C90" s="37" t="s">
        <v>2331</v>
      </c>
      <c r="D90" s="345" t="s">
        <v>8</v>
      </c>
      <c r="E90" s="215" t="s">
        <v>9</v>
      </c>
      <c r="F90" s="37" t="s">
        <v>1759</v>
      </c>
      <c r="G90" s="337">
        <v>44006</v>
      </c>
      <c r="H90" s="352"/>
      <c r="I90" s="337"/>
      <c r="J90" s="17"/>
      <c r="K90" s="337"/>
      <c r="L90" s="215"/>
      <c r="M90" s="215"/>
      <c r="N90" s="17" t="s">
        <v>122</v>
      </c>
      <c r="O90" s="17"/>
      <c r="P90" s="349" t="s">
        <v>1554</v>
      </c>
      <c r="Q90" s="345" t="s">
        <v>2198</v>
      </c>
      <c r="R90" s="339">
        <v>44571.542511574073</v>
      </c>
      <c r="S90" s="215">
        <v>2020</v>
      </c>
      <c r="T90" s="215" t="s">
        <v>2001</v>
      </c>
      <c r="U90" s="346" t="s">
        <v>678</v>
      </c>
      <c r="V90" s="346" t="s">
        <v>679</v>
      </c>
      <c r="W90" s="17" t="s">
        <v>145</v>
      </c>
      <c r="X90" s="346" t="s">
        <v>309</v>
      </c>
      <c r="Y90" s="347">
        <v>45078</v>
      </c>
      <c r="Z90" s="17" t="s">
        <v>1875</v>
      </c>
      <c r="AA90" s="17"/>
      <c r="AB90" s="17" t="s">
        <v>139</v>
      </c>
      <c r="AC90" s="17" t="s">
        <v>1875</v>
      </c>
      <c r="AD90" s="17" t="s">
        <v>1805</v>
      </c>
      <c r="AE90" s="17" t="s">
        <v>1805</v>
      </c>
      <c r="AF90" s="17"/>
      <c r="AG90" s="17"/>
      <c r="AH90" s="17"/>
      <c r="AI90" s="17"/>
      <c r="AJ90" s="17" t="s">
        <v>2191</v>
      </c>
      <c r="AK90" s="17"/>
      <c r="AL90" s="17" t="s">
        <v>2190</v>
      </c>
      <c r="AM90" s="17" t="s">
        <v>1975</v>
      </c>
      <c r="AN90" s="17" t="b">
        <v>0</v>
      </c>
      <c r="AO90" s="341"/>
      <c r="AP90" s="142"/>
      <c r="AQ90" s="142"/>
      <c r="AR90" s="142"/>
      <c r="AS90" s="142"/>
      <c r="AT90" s="342"/>
      <c r="AU90" s="17"/>
      <c r="AV90" s="341"/>
      <c r="AW90" s="17"/>
      <c r="AX90" s="17"/>
      <c r="AY90" s="17"/>
      <c r="AZ90" s="17"/>
      <c r="BA90" s="17" t="s">
        <v>373</v>
      </c>
      <c r="BB90" s="17" t="s">
        <v>1610</v>
      </c>
      <c r="BC90" s="17" t="s">
        <v>2192</v>
      </c>
      <c r="BD90" s="280"/>
      <c r="BE90" s="280"/>
      <c r="BF90" s="280"/>
      <c r="BG90" s="280"/>
    </row>
    <row r="91" spans="1:59" ht="45" customHeight="1">
      <c r="A91" s="271">
        <f t="shared" si="1"/>
        <v>90</v>
      </c>
      <c r="B91" s="354" t="s">
        <v>2332</v>
      </c>
      <c r="C91" s="37" t="s">
        <v>2333</v>
      </c>
      <c r="D91" s="345" t="s">
        <v>8</v>
      </c>
      <c r="E91" s="215" t="s">
        <v>9</v>
      </c>
      <c r="F91" s="37" t="s">
        <v>1759</v>
      </c>
      <c r="G91" s="337">
        <v>44006</v>
      </c>
      <c r="H91" s="352"/>
      <c r="I91" s="337"/>
      <c r="J91" s="17"/>
      <c r="K91" s="337"/>
      <c r="L91" s="215"/>
      <c r="M91" s="215"/>
      <c r="N91" s="17" t="s">
        <v>122</v>
      </c>
      <c r="O91" s="17"/>
      <c r="P91" s="349" t="s">
        <v>1554</v>
      </c>
      <c r="Q91" s="345" t="s">
        <v>2198</v>
      </c>
      <c r="R91" s="339">
        <v>44571.542951388888</v>
      </c>
      <c r="S91" s="215">
        <v>2020</v>
      </c>
      <c r="T91" s="215" t="s">
        <v>2001</v>
      </c>
      <c r="U91" s="346" t="s">
        <v>678</v>
      </c>
      <c r="V91" s="346" t="s">
        <v>679</v>
      </c>
      <c r="W91" s="17" t="s">
        <v>145</v>
      </c>
      <c r="X91" s="346" t="s">
        <v>309</v>
      </c>
      <c r="Y91" s="347">
        <v>45078</v>
      </c>
      <c r="Z91" s="17" t="s">
        <v>1875</v>
      </c>
      <c r="AA91" s="17"/>
      <c r="AB91" s="17" t="s">
        <v>139</v>
      </c>
      <c r="AC91" s="17" t="s">
        <v>1875</v>
      </c>
      <c r="AD91" s="17" t="s">
        <v>1805</v>
      </c>
      <c r="AE91" s="17" t="s">
        <v>1805</v>
      </c>
      <c r="AF91" s="17"/>
      <c r="AG91" s="17"/>
      <c r="AH91" s="17"/>
      <c r="AI91" s="17"/>
      <c r="AJ91" s="17" t="s">
        <v>2191</v>
      </c>
      <c r="AK91" s="17"/>
      <c r="AL91" s="17" t="s">
        <v>2190</v>
      </c>
      <c r="AM91" s="17" t="s">
        <v>1975</v>
      </c>
      <c r="AN91" s="17" t="b">
        <v>0</v>
      </c>
      <c r="AO91" s="341"/>
      <c r="AP91" s="142"/>
      <c r="AQ91" s="142"/>
      <c r="AR91" s="142"/>
      <c r="AS91" s="142"/>
      <c r="AT91" s="342"/>
      <c r="AU91" s="17"/>
      <c r="AV91" s="341"/>
      <c r="AW91" s="17"/>
      <c r="AX91" s="17"/>
      <c r="AY91" s="17"/>
      <c r="AZ91" s="17"/>
      <c r="BA91" s="17" t="s">
        <v>373</v>
      </c>
      <c r="BB91" s="17" t="s">
        <v>1610</v>
      </c>
      <c r="BC91" s="17" t="s">
        <v>2192</v>
      </c>
      <c r="BD91" s="280"/>
      <c r="BE91" s="280"/>
      <c r="BF91" s="280"/>
      <c r="BG91" s="280"/>
    </row>
    <row r="92" spans="1:59" ht="45" customHeight="1">
      <c r="A92" s="271">
        <f t="shared" si="1"/>
        <v>91</v>
      </c>
      <c r="B92" s="354" t="s">
        <v>2334</v>
      </c>
      <c r="C92" s="37" t="s">
        <v>2335</v>
      </c>
      <c r="D92" s="345" t="s">
        <v>8</v>
      </c>
      <c r="E92" s="215" t="s">
        <v>9</v>
      </c>
      <c r="F92" s="37" t="s">
        <v>1759</v>
      </c>
      <c r="G92" s="337">
        <v>44006</v>
      </c>
      <c r="H92" s="352"/>
      <c r="I92" s="337"/>
      <c r="J92" s="17"/>
      <c r="K92" s="337"/>
      <c r="L92" s="215"/>
      <c r="M92" s="215"/>
      <c r="N92" s="17" t="s">
        <v>122</v>
      </c>
      <c r="O92" s="17"/>
      <c r="P92" s="349" t="s">
        <v>1554</v>
      </c>
      <c r="Q92" s="345" t="s">
        <v>2198</v>
      </c>
      <c r="R92" s="339">
        <v>44571.543344907404</v>
      </c>
      <c r="S92" s="215">
        <v>2020</v>
      </c>
      <c r="T92" s="215" t="s">
        <v>2001</v>
      </c>
      <c r="U92" s="346" t="s">
        <v>678</v>
      </c>
      <c r="V92" s="346" t="s">
        <v>679</v>
      </c>
      <c r="W92" s="17" t="s">
        <v>145</v>
      </c>
      <c r="X92" s="346" t="s">
        <v>309</v>
      </c>
      <c r="Y92" s="347">
        <v>45078</v>
      </c>
      <c r="Z92" s="17" t="s">
        <v>1875</v>
      </c>
      <c r="AA92" s="17"/>
      <c r="AB92" s="17" t="s">
        <v>139</v>
      </c>
      <c r="AC92" s="17" t="s">
        <v>1875</v>
      </c>
      <c r="AD92" s="17" t="s">
        <v>1805</v>
      </c>
      <c r="AE92" s="17" t="s">
        <v>1805</v>
      </c>
      <c r="AF92" s="17"/>
      <c r="AG92" s="17"/>
      <c r="AH92" s="17"/>
      <c r="AI92" s="17"/>
      <c r="AJ92" s="17" t="s">
        <v>2191</v>
      </c>
      <c r="AK92" s="17"/>
      <c r="AL92" s="17" t="s">
        <v>2190</v>
      </c>
      <c r="AM92" s="17" t="s">
        <v>1975</v>
      </c>
      <c r="AN92" s="17" t="b">
        <v>0</v>
      </c>
      <c r="AO92" s="341"/>
      <c r="AP92" s="142"/>
      <c r="AQ92" s="142"/>
      <c r="AR92" s="142"/>
      <c r="AS92" s="142"/>
      <c r="AT92" s="342"/>
      <c r="AU92" s="17"/>
      <c r="AV92" s="341"/>
      <c r="AW92" s="17"/>
      <c r="AX92" s="17"/>
      <c r="AY92" s="17"/>
      <c r="AZ92" s="17"/>
      <c r="BA92" s="17" t="s">
        <v>373</v>
      </c>
      <c r="BB92" s="17" t="s">
        <v>1610</v>
      </c>
      <c r="BC92" s="17" t="s">
        <v>2192</v>
      </c>
      <c r="BD92" s="280"/>
      <c r="BE92" s="280"/>
      <c r="BF92" s="280"/>
      <c r="BG92" s="280"/>
    </row>
    <row r="93" spans="1:59" ht="45" customHeight="1">
      <c r="A93" s="271">
        <f t="shared" si="1"/>
        <v>92</v>
      </c>
      <c r="B93" s="354" t="s">
        <v>2336</v>
      </c>
      <c r="C93" s="37" t="s">
        <v>2337</v>
      </c>
      <c r="D93" s="345" t="s">
        <v>8</v>
      </c>
      <c r="E93" s="215" t="s">
        <v>9</v>
      </c>
      <c r="F93" s="37" t="s">
        <v>1759</v>
      </c>
      <c r="G93" s="337">
        <v>44006</v>
      </c>
      <c r="H93" s="352"/>
      <c r="I93" s="337"/>
      <c r="J93" s="17"/>
      <c r="K93" s="337"/>
      <c r="L93" s="215"/>
      <c r="M93" s="215"/>
      <c r="N93" s="17" t="s">
        <v>122</v>
      </c>
      <c r="O93" s="17"/>
      <c r="P93" s="349" t="s">
        <v>1554</v>
      </c>
      <c r="Q93" s="345" t="s">
        <v>2198</v>
      </c>
      <c r="R93" s="339">
        <v>44571.543726851851</v>
      </c>
      <c r="S93" s="215">
        <v>2020</v>
      </c>
      <c r="T93" s="215" t="s">
        <v>2001</v>
      </c>
      <c r="U93" s="346" t="s">
        <v>678</v>
      </c>
      <c r="V93" s="346" t="s">
        <v>679</v>
      </c>
      <c r="W93" s="17" t="s">
        <v>145</v>
      </c>
      <c r="X93" s="346" t="s">
        <v>309</v>
      </c>
      <c r="Y93" s="347">
        <v>45078</v>
      </c>
      <c r="Z93" s="17" t="s">
        <v>1875</v>
      </c>
      <c r="AA93" s="17"/>
      <c r="AB93" s="17" t="s">
        <v>139</v>
      </c>
      <c r="AC93" s="17" t="s">
        <v>1875</v>
      </c>
      <c r="AD93" s="17" t="s">
        <v>1805</v>
      </c>
      <c r="AE93" s="17" t="s">
        <v>1805</v>
      </c>
      <c r="AF93" s="17"/>
      <c r="AG93" s="17"/>
      <c r="AH93" s="17"/>
      <c r="AI93" s="17"/>
      <c r="AJ93" s="17" t="s">
        <v>2191</v>
      </c>
      <c r="AK93" s="17"/>
      <c r="AL93" s="17" t="s">
        <v>2190</v>
      </c>
      <c r="AM93" s="17" t="s">
        <v>1975</v>
      </c>
      <c r="AN93" s="17" t="b">
        <v>0</v>
      </c>
      <c r="AO93" s="341"/>
      <c r="AP93" s="142"/>
      <c r="AQ93" s="142"/>
      <c r="AR93" s="142"/>
      <c r="AS93" s="142"/>
      <c r="AT93" s="342"/>
      <c r="AU93" s="17"/>
      <c r="AV93" s="341"/>
      <c r="AW93" s="17"/>
      <c r="AX93" s="17"/>
      <c r="AY93" s="17"/>
      <c r="AZ93" s="17"/>
      <c r="BA93" s="17" t="s">
        <v>373</v>
      </c>
      <c r="BB93" s="17" t="s">
        <v>1610</v>
      </c>
      <c r="BC93" s="17" t="s">
        <v>2192</v>
      </c>
      <c r="BD93" s="280"/>
      <c r="BE93" s="280"/>
      <c r="BF93" s="280"/>
      <c r="BG93" s="280"/>
    </row>
    <row r="94" spans="1:59" ht="45" customHeight="1">
      <c r="A94" s="271">
        <f t="shared" si="1"/>
        <v>93</v>
      </c>
      <c r="B94" s="354" t="s">
        <v>2338</v>
      </c>
      <c r="C94" s="37" t="s">
        <v>2339</v>
      </c>
      <c r="D94" s="345" t="s">
        <v>8</v>
      </c>
      <c r="E94" s="215" t="s">
        <v>9</v>
      </c>
      <c r="F94" s="37" t="s">
        <v>1759</v>
      </c>
      <c r="G94" s="337">
        <v>44027</v>
      </c>
      <c r="H94" s="352"/>
      <c r="I94" s="337"/>
      <c r="J94" s="17"/>
      <c r="K94" s="337"/>
      <c r="L94" s="215"/>
      <c r="M94" s="215"/>
      <c r="N94" s="17" t="s">
        <v>122</v>
      </c>
      <c r="O94" s="17"/>
      <c r="P94" s="349" t="s">
        <v>1554</v>
      </c>
      <c r="Q94" s="345" t="s">
        <v>2198</v>
      </c>
      <c r="R94" s="339">
        <v>44571.544247685182</v>
      </c>
      <c r="S94" s="215">
        <v>2020</v>
      </c>
      <c r="T94" s="215" t="s">
        <v>2001</v>
      </c>
      <c r="U94" s="346" t="s">
        <v>678</v>
      </c>
      <c r="V94" s="346" t="s">
        <v>679</v>
      </c>
      <c r="W94" s="17" t="s">
        <v>145</v>
      </c>
      <c r="X94" s="346" t="s">
        <v>309</v>
      </c>
      <c r="Y94" s="347">
        <v>45078</v>
      </c>
      <c r="Z94" s="17" t="s">
        <v>1875</v>
      </c>
      <c r="AA94" s="17"/>
      <c r="AB94" s="17" t="s">
        <v>139</v>
      </c>
      <c r="AC94" s="17" t="s">
        <v>1875</v>
      </c>
      <c r="AD94" s="17" t="s">
        <v>1805</v>
      </c>
      <c r="AE94" s="17" t="s">
        <v>1805</v>
      </c>
      <c r="AF94" s="17"/>
      <c r="AG94" s="17"/>
      <c r="AH94" s="17"/>
      <c r="AI94" s="17"/>
      <c r="AJ94" s="17" t="s">
        <v>2191</v>
      </c>
      <c r="AK94" s="17"/>
      <c r="AL94" s="17" t="s">
        <v>2190</v>
      </c>
      <c r="AM94" s="17" t="s">
        <v>1975</v>
      </c>
      <c r="AN94" s="17" t="b">
        <v>0</v>
      </c>
      <c r="AO94" s="341"/>
      <c r="AP94" s="142"/>
      <c r="AQ94" s="142"/>
      <c r="AR94" s="142"/>
      <c r="AS94" s="142"/>
      <c r="AT94" s="342"/>
      <c r="AU94" s="17"/>
      <c r="AV94" s="341"/>
      <c r="AW94" s="17"/>
      <c r="AX94" s="17"/>
      <c r="AY94" s="17"/>
      <c r="AZ94" s="17"/>
      <c r="BA94" s="17" t="s">
        <v>373</v>
      </c>
      <c r="BB94" s="17" t="s">
        <v>1610</v>
      </c>
      <c r="BC94" s="17" t="s">
        <v>2192</v>
      </c>
      <c r="BD94" s="280"/>
      <c r="BE94" s="280"/>
      <c r="BF94" s="280"/>
      <c r="BG94" s="280"/>
    </row>
    <row r="95" spans="1:59" ht="45" customHeight="1">
      <c r="A95" s="271">
        <f t="shared" si="1"/>
        <v>94</v>
      </c>
      <c r="B95" s="354" t="s">
        <v>2340</v>
      </c>
      <c r="C95" s="37" t="s">
        <v>2341</v>
      </c>
      <c r="D95" s="345" t="s">
        <v>8</v>
      </c>
      <c r="E95" s="215" t="s">
        <v>9</v>
      </c>
      <c r="F95" s="37" t="s">
        <v>1759</v>
      </c>
      <c r="G95" s="337">
        <v>44028</v>
      </c>
      <c r="H95" s="352"/>
      <c r="I95" s="337"/>
      <c r="J95" s="17"/>
      <c r="K95" s="337"/>
      <c r="L95" s="215"/>
      <c r="M95" s="215"/>
      <c r="N95" s="17" t="s">
        <v>122</v>
      </c>
      <c r="O95" s="17"/>
      <c r="P95" s="349" t="s">
        <v>1554</v>
      </c>
      <c r="Q95" s="345" t="s">
        <v>2198</v>
      </c>
      <c r="R95" s="339">
        <v>44571.544733796298</v>
      </c>
      <c r="S95" s="215">
        <v>2020</v>
      </c>
      <c r="T95" s="215" t="s">
        <v>2001</v>
      </c>
      <c r="U95" s="346" t="s">
        <v>678</v>
      </c>
      <c r="V95" s="346" t="s">
        <v>679</v>
      </c>
      <c r="W95" s="17" t="s">
        <v>145</v>
      </c>
      <c r="X95" s="346" t="s">
        <v>309</v>
      </c>
      <c r="Y95" s="347">
        <v>45078</v>
      </c>
      <c r="Z95" s="17" t="s">
        <v>1875</v>
      </c>
      <c r="AA95" s="17"/>
      <c r="AB95" s="17" t="s">
        <v>139</v>
      </c>
      <c r="AC95" s="17" t="s">
        <v>1875</v>
      </c>
      <c r="AD95" s="17" t="s">
        <v>1805</v>
      </c>
      <c r="AE95" s="17" t="s">
        <v>1805</v>
      </c>
      <c r="AF95" s="17"/>
      <c r="AG95" s="17"/>
      <c r="AH95" s="17"/>
      <c r="AI95" s="17"/>
      <c r="AJ95" s="17" t="s">
        <v>2191</v>
      </c>
      <c r="AK95" s="17"/>
      <c r="AL95" s="17" t="s">
        <v>2190</v>
      </c>
      <c r="AM95" s="17" t="s">
        <v>1975</v>
      </c>
      <c r="AN95" s="17" t="b">
        <v>0</v>
      </c>
      <c r="AO95" s="341"/>
      <c r="AP95" s="142"/>
      <c r="AQ95" s="142"/>
      <c r="AR95" s="142"/>
      <c r="AS95" s="142"/>
      <c r="AT95" s="342"/>
      <c r="AU95" s="17"/>
      <c r="AV95" s="341"/>
      <c r="AW95" s="17"/>
      <c r="AX95" s="17"/>
      <c r="AY95" s="17"/>
      <c r="AZ95" s="17"/>
      <c r="BA95" s="17" t="s">
        <v>373</v>
      </c>
      <c r="BB95" s="17" t="s">
        <v>1610</v>
      </c>
      <c r="BC95" s="17" t="s">
        <v>2192</v>
      </c>
      <c r="BD95" s="280"/>
      <c r="BE95" s="280"/>
      <c r="BF95" s="280"/>
      <c r="BG95" s="280"/>
    </row>
    <row r="96" spans="1:59" ht="45" customHeight="1">
      <c r="A96" s="271">
        <f t="shared" si="1"/>
        <v>95</v>
      </c>
      <c r="B96" s="354" t="s">
        <v>2342</v>
      </c>
      <c r="C96" s="37" t="s">
        <v>2343</v>
      </c>
      <c r="D96" s="345" t="s">
        <v>8</v>
      </c>
      <c r="E96" s="215" t="s">
        <v>9</v>
      </c>
      <c r="F96" s="37" t="s">
        <v>1759</v>
      </c>
      <c r="G96" s="337">
        <v>44028</v>
      </c>
      <c r="H96" s="352"/>
      <c r="I96" s="337"/>
      <c r="J96" s="17"/>
      <c r="K96" s="337"/>
      <c r="L96" s="215"/>
      <c r="M96" s="215"/>
      <c r="N96" s="17" t="s">
        <v>122</v>
      </c>
      <c r="O96" s="17"/>
      <c r="P96" s="349" t="s">
        <v>1554</v>
      </c>
      <c r="Q96" s="345" t="s">
        <v>2198</v>
      </c>
      <c r="R96" s="339">
        <v>44571.545115740744</v>
      </c>
      <c r="S96" s="215">
        <v>2020</v>
      </c>
      <c r="T96" s="215" t="s">
        <v>2001</v>
      </c>
      <c r="U96" s="346" t="s">
        <v>678</v>
      </c>
      <c r="V96" s="346" t="s">
        <v>679</v>
      </c>
      <c r="W96" s="17" t="s">
        <v>145</v>
      </c>
      <c r="X96" s="346" t="s">
        <v>309</v>
      </c>
      <c r="Y96" s="347">
        <v>45078</v>
      </c>
      <c r="Z96" s="17" t="s">
        <v>1875</v>
      </c>
      <c r="AA96" s="17"/>
      <c r="AB96" s="17" t="s">
        <v>139</v>
      </c>
      <c r="AC96" s="17" t="s">
        <v>1875</v>
      </c>
      <c r="AD96" s="17" t="s">
        <v>1805</v>
      </c>
      <c r="AE96" s="17" t="s">
        <v>1805</v>
      </c>
      <c r="AF96" s="17"/>
      <c r="AG96" s="17"/>
      <c r="AH96" s="17"/>
      <c r="AI96" s="17"/>
      <c r="AJ96" s="17" t="s">
        <v>2191</v>
      </c>
      <c r="AK96" s="17"/>
      <c r="AL96" s="17" t="s">
        <v>2190</v>
      </c>
      <c r="AM96" s="17" t="s">
        <v>1975</v>
      </c>
      <c r="AN96" s="17" t="b">
        <v>0</v>
      </c>
      <c r="AO96" s="341"/>
      <c r="AP96" s="142"/>
      <c r="AQ96" s="142"/>
      <c r="AR96" s="142"/>
      <c r="AS96" s="142"/>
      <c r="AT96" s="342"/>
      <c r="AU96" s="17"/>
      <c r="AV96" s="341"/>
      <c r="AW96" s="17"/>
      <c r="AX96" s="17"/>
      <c r="AY96" s="17"/>
      <c r="AZ96" s="17"/>
      <c r="BA96" s="17" t="s">
        <v>373</v>
      </c>
      <c r="BB96" s="17" t="s">
        <v>1610</v>
      </c>
      <c r="BC96" s="17" t="s">
        <v>2192</v>
      </c>
      <c r="BD96" s="280"/>
      <c r="BE96" s="280"/>
      <c r="BF96" s="280"/>
      <c r="BG96" s="280"/>
    </row>
    <row r="97" spans="1:59" ht="45" customHeight="1">
      <c r="A97" s="271">
        <f t="shared" si="1"/>
        <v>96</v>
      </c>
      <c r="B97" s="354" t="s">
        <v>2344</v>
      </c>
      <c r="C97" s="37" t="s">
        <v>2345</v>
      </c>
      <c r="D97" s="345" t="s">
        <v>8</v>
      </c>
      <c r="E97" s="215" t="s">
        <v>9</v>
      </c>
      <c r="F97" s="37" t="s">
        <v>1759</v>
      </c>
      <c r="G97" s="337">
        <v>44028</v>
      </c>
      <c r="H97" s="352"/>
      <c r="I97" s="337"/>
      <c r="J97" s="17"/>
      <c r="K97" s="337"/>
      <c r="L97" s="215"/>
      <c r="M97" s="215"/>
      <c r="N97" s="17" t="s">
        <v>122</v>
      </c>
      <c r="O97" s="17"/>
      <c r="P97" s="349" t="s">
        <v>1554</v>
      </c>
      <c r="Q97" s="345" t="s">
        <v>2198</v>
      </c>
      <c r="R97" s="339">
        <v>44571.546365740738</v>
      </c>
      <c r="S97" s="215">
        <v>2020</v>
      </c>
      <c r="T97" s="215" t="s">
        <v>2001</v>
      </c>
      <c r="U97" s="346" t="s">
        <v>678</v>
      </c>
      <c r="V97" s="346" t="s">
        <v>679</v>
      </c>
      <c r="W97" s="17" t="s">
        <v>145</v>
      </c>
      <c r="X97" s="346" t="s">
        <v>309</v>
      </c>
      <c r="Y97" s="347">
        <v>45078</v>
      </c>
      <c r="Z97" s="17" t="s">
        <v>1875</v>
      </c>
      <c r="AA97" s="17"/>
      <c r="AB97" s="17" t="s">
        <v>139</v>
      </c>
      <c r="AC97" s="17" t="s">
        <v>1875</v>
      </c>
      <c r="AD97" s="17" t="s">
        <v>1805</v>
      </c>
      <c r="AE97" s="17" t="s">
        <v>1805</v>
      </c>
      <c r="AF97" s="17"/>
      <c r="AG97" s="17"/>
      <c r="AH97" s="17"/>
      <c r="AI97" s="17"/>
      <c r="AJ97" s="17" t="s">
        <v>2191</v>
      </c>
      <c r="AK97" s="17"/>
      <c r="AL97" s="17" t="s">
        <v>2190</v>
      </c>
      <c r="AM97" s="17" t="s">
        <v>1975</v>
      </c>
      <c r="AN97" s="17" t="b">
        <v>0</v>
      </c>
      <c r="AO97" s="341"/>
      <c r="AP97" s="142"/>
      <c r="AQ97" s="142"/>
      <c r="AR97" s="142"/>
      <c r="AS97" s="142"/>
      <c r="AT97" s="342"/>
      <c r="AU97" s="17"/>
      <c r="AV97" s="341"/>
      <c r="AW97" s="17"/>
      <c r="AX97" s="17"/>
      <c r="AY97" s="17"/>
      <c r="AZ97" s="17"/>
      <c r="BA97" s="17" t="s">
        <v>373</v>
      </c>
      <c r="BB97" s="17" t="s">
        <v>1610</v>
      </c>
      <c r="BC97" s="17" t="s">
        <v>2192</v>
      </c>
      <c r="BD97" s="280"/>
      <c r="BE97" s="280"/>
      <c r="BF97" s="280"/>
      <c r="BG97" s="280"/>
    </row>
    <row r="98" spans="1:59" ht="45" customHeight="1">
      <c r="A98" s="271">
        <f t="shared" si="1"/>
        <v>97</v>
      </c>
      <c r="B98" s="354" t="s">
        <v>2346</v>
      </c>
      <c r="C98" s="37" t="s">
        <v>2347</v>
      </c>
      <c r="D98" s="345" t="s">
        <v>8</v>
      </c>
      <c r="E98" s="215" t="s">
        <v>9</v>
      </c>
      <c r="F98" s="37" t="s">
        <v>1759</v>
      </c>
      <c r="G98" s="337">
        <v>44028</v>
      </c>
      <c r="H98" s="352"/>
      <c r="I98" s="337"/>
      <c r="J98" s="17"/>
      <c r="K98" s="337"/>
      <c r="L98" s="215"/>
      <c r="M98" s="215"/>
      <c r="N98" s="17" t="s">
        <v>122</v>
      </c>
      <c r="O98" s="17"/>
      <c r="P98" s="349" t="s">
        <v>1554</v>
      </c>
      <c r="Q98" s="345" t="s">
        <v>2198</v>
      </c>
      <c r="R98" s="339">
        <v>44571.546712962961</v>
      </c>
      <c r="S98" s="215">
        <v>2020</v>
      </c>
      <c r="T98" s="215" t="s">
        <v>2001</v>
      </c>
      <c r="U98" s="346" t="s">
        <v>678</v>
      </c>
      <c r="V98" s="346" t="s">
        <v>679</v>
      </c>
      <c r="W98" s="17" t="s">
        <v>145</v>
      </c>
      <c r="X98" s="346" t="s">
        <v>309</v>
      </c>
      <c r="Y98" s="347">
        <v>45078</v>
      </c>
      <c r="Z98" s="17" t="s">
        <v>1875</v>
      </c>
      <c r="AA98" s="17"/>
      <c r="AB98" s="17" t="s">
        <v>139</v>
      </c>
      <c r="AC98" s="17" t="s">
        <v>1875</v>
      </c>
      <c r="AD98" s="17" t="s">
        <v>1805</v>
      </c>
      <c r="AE98" s="17" t="s">
        <v>1805</v>
      </c>
      <c r="AF98" s="17"/>
      <c r="AG98" s="17"/>
      <c r="AH98" s="17"/>
      <c r="AI98" s="17"/>
      <c r="AJ98" s="17" t="s">
        <v>2191</v>
      </c>
      <c r="AK98" s="17"/>
      <c r="AL98" s="17" t="s">
        <v>2190</v>
      </c>
      <c r="AM98" s="17" t="s">
        <v>1975</v>
      </c>
      <c r="AN98" s="17" t="b">
        <v>0</v>
      </c>
      <c r="AO98" s="341"/>
      <c r="AP98" s="142"/>
      <c r="AQ98" s="142"/>
      <c r="AR98" s="142"/>
      <c r="AS98" s="142"/>
      <c r="AT98" s="342"/>
      <c r="AU98" s="17"/>
      <c r="AV98" s="341"/>
      <c r="AW98" s="17"/>
      <c r="AX98" s="17"/>
      <c r="AY98" s="17"/>
      <c r="AZ98" s="17"/>
      <c r="BA98" s="17" t="s">
        <v>373</v>
      </c>
      <c r="BB98" s="17" t="s">
        <v>1610</v>
      </c>
      <c r="BC98" s="17" t="s">
        <v>2192</v>
      </c>
      <c r="BD98" s="280"/>
      <c r="BE98" s="280"/>
      <c r="BF98" s="280"/>
      <c r="BG98" s="280"/>
    </row>
    <row r="99" spans="1:59" ht="45" customHeight="1">
      <c r="A99" s="271">
        <f t="shared" si="1"/>
        <v>98</v>
      </c>
      <c r="B99" s="354" t="s">
        <v>2348</v>
      </c>
      <c r="C99" s="37" t="s">
        <v>2349</v>
      </c>
      <c r="D99" s="345" t="s">
        <v>8</v>
      </c>
      <c r="E99" s="215" t="s">
        <v>9</v>
      </c>
      <c r="F99" s="37" t="s">
        <v>1759</v>
      </c>
      <c r="G99" s="337">
        <v>44028</v>
      </c>
      <c r="H99" s="352"/>
      <c r="I99" s="337"/>
      <c r="J99" s="17"/>
      <c r="K99" s="337"/>
      <c r="L99" s="215"/>
      <c r="M99" s="215"/>
      <c r="N99" s="17" t="s">
        <v>122</v>
      </c>
      <c r="O99" s="17"/>
      <c r="P99" s="349" t="s">
        <v>1554</v>
      </c>
      <c r="Q99" s="345" t="s">
        <v>2198</v>
      </c>
      <c r="R99" s="339">
        <v>44571.547118055554</v>
      </c>
      <c r="S99" s="215">
        <v>2020</v>
      </c>
      <c r="T99" s="215" t="s">
        <v>2001</v>
      </c>
      <c r="U99" s="346" t="s">
        <v>678</v>
      </c>
      <c r="V99" s="346" t="s">
        <v>679</v>
      </c>
      <c r="W99" s="17" t="s">
        <v>145</v>
      </c>
      <c r="X99" s="346" t="s">
        <v>309</v>
      </c>
      <c r="Y99" s="347">
        <v>45078</v>
      </c>
      <c r="Z99" s="17" t="s">
        <v>1875</v>
      </c>
      <c r="AA99" s="17"/>
      <c r="AB99" s="17" t="s">
        <v>139</v>
      </c>
      <c r="AC99" s="17" t="s">
        <v>1875</v>
      </c>
      <c r="AD99" s="17" t="s">
        <v>1805</v>
      </c>
      <c r="AE99" s="17" t="s">
        <v>1805</v>
      </c>
      <c r="AF99" s="17"/>
      <c r="AG99" s="17"/>
      <c r="AH99" s="17"/>
      <c r="AI99" s="17"/>
      <c r="AJ99" s="17" t="s">
        <v>2191</v>
      </c>
      <c r="AK99" s="17"/>
      <c r="AL99" s="17" t="s">
        <v>2190</v>
      </c>
      <c r="AM99" s="17" t="s">
        <v>1975</v>
      </c>
      <c r="AN99" s="17" t="b">
        <v>0</v>
      </c>
      <c r="AO99" s="341"/>
      <c r="AP99" s="142"/>
      <c r="AQ99" s="142"/>
      <c r="AR99" s="142"/>
      <c r="AS99" s="142"/>
      <c r="AT99" s="342"/>
      <c r="AU99" s="17"/>
      <c r="AV99" s="341"/>
      <c r="AW99" s="17"/>
      <c r="AX99" s="17"/>
      <c r="AY99" s="17"/>
      <c r="AZ99" s="17"/>
      <c r="BA99" s="17" t="s">
        <v>373</v>
      </c>
      <c r="BB99" s="17" t="s">
        <v>1610</v>
      </c>
      <c r="BC99" s="17" t="s">
        <v>2192</v>
      </c>
      <c r="BD99" s="280"/>
      <c r="BE99" s="280"/>
      <c r="BF99" s="280"/>
      <c r="BG99" s="280"/>
    </row>
    <row r="100" spans="1:59" ht="45" customHeight="1">
      <c r="A100" s="271">
        <f t="shared" si="1"/>
        <v>99</v>
      </c>
      <c r="B100" s="354" t="s">
        <v>2350</v>
      </c>
      <c r="C100" s="37" t="s">
        <v>2351</v>
      </c>
      <c r="D100" s="345" t="s">
        <v>8</v>
      </c>
      <c r="E100" s="215" t="s">
        <v>9</v>
      </c>
      <c r="F100" s="37" t="s">
        <v>1759</v>
      </c>
      <c r="G100" s="337">
        <v>44028</v>
      </c>
      <c r="H100" s="352"/>
      <c r="I100" s="337"/>
      <c r="J100" s="17"/>
      <c r="K100" s="337"/>
      <c r="L100" s="215"/>
      <c r="M100" s="215"/>
      <c r="N100" s="17" t="s">
        <v>122</v>
      </c>
      <c r="O100" s="17"/>
      <c r="P100" s="349" t="s">
        <v>1554</v>
      </c>
      <c r="Q100" s="345" t="s">
        <v>2198</v>
      </c>
      <c r="R100" s="339">
        <v>44571.547442129631</v>
      </c>
      <c r="S100" s="215">
        <v>2020</v>
      </c>
      <c r="T100" s="215" t="s">
        <v>2001</v>
      </c>
      <c r="U100" s="346" t="s">
        <v>678</v>
      </c>
      <c r="V100" s="346" t="s">
        <v>679</v>
      </c>
      <c r="W100" s="17" t="s">
        <v>145</v>
      </c>
      <c r="X100" s="346" t="s">
        <v>309</v>
      </c>
      <c r="Y100" s="347">
        <v>45078</v>
      </c>
      <c r="Z100" s="17" t="s">
        <v>1875</v>
      </c>
      <c r="AA100" s="17"/>
      <c r="AB100" s="17" t="s">
        <v>139</v>
      </c>
      <c r="AC100" s="17" t="s">
        <v>1875</v>
      </c>
      <c r="AD100" s="17" t="s">
        <v>1805</v>
      </c>
      <c r="AE100" s="17" t="s">
        <v>1805</v>
      </c>
      <c r="AF100" s="17"/>
      <c r="AG100" s="17"/>
      <c r="AH100" s="17"/>
      <c r="AI100" s="17"/>
      <c r="AJ100" s="17" t="s">
        <v>2191</v>
      </c>
      <c r="AK100" s="17"/>
      <c r="AL100" s="17" t="s">
        <v>2190</v>
      </c>
      <c r="AM100" s="17" t="s">
        <v>1975</v>
      </c>
      <c r="AN100" s="17" t="b">
        <v>0</v>
      </c>
      <c r="AO100" s="341"/>
      <c r="AP100" s="142"/>
      <c r="AQ100" s="142"/>
      <c r="AR100" s="142"/>
      <c r="AS100" s="142"/>
      <c r="AT100" s="342"/>
      <c r="AU100" s="17"/>
      <c r="AV100" s="341"/>
      <c r="AW100" s="17"/>
      <c r="AX100" s="17"/>
      <c r="AY100" s="17"/>
      <c r="AZ100" s="17"/>
      <c r="BA100" s="17" t="s">
        <v>373</v>
      </c>
      <c r="BB100" s="17" t="s">
        <v>1610</v>
      </c>
      <c r="BC100" s="17" t="s">
        <v>2192</v>
      </c>
      <c r="BD100" s="280"/>
      <c r="BE100" s="280"/>
      <c r="BF100" s="280"/>
      <c r="BG100" s="280"/>
    </row>
    <row r="101" spans="1:59" ht="45" customHeight="1">
      <c r="A101" s="271">
        <f t="shared" si="1"/>
        <v>100</v>
      </c>
      <c r="B101" s="354" t="s">
        <v>2352</v>
      </c>
      <c r="C101" s="37" t="s">
        <v>2353</v>
      </c>
      <c r="D101" s="345" t="s">
        <v>8</v>
      </c>
      <c r="E101" s="215" t="s">
        <v>9</v>
      </c>
      <c r="F101" s="37" t="s">
        <v>1759</v>
      </c>
      <c r="G101" s="337">
        <v>44028</v>
      </c>
      <c r="H101" s="352"/>
      <c r="I101" s="337"/>
      <c r="J101" s="17"/>
      <c r="K101" s="337"/>
      <c r="L101" s="215"/>
      <c r="M101" s="215"/>
      <c r="N101" s="17" t="s">
        <v>122</v>
      </c>
      <c r="O101" s="17"/>
      <c r="P101" s="349" t="s">
        <v>1554</v>
      </c>
      <c r="Q101" s="345" t="s">
        <v>2198</v>
      </c>
      <c r="R101" s="339">
        <v>44571.547835648147</v>
      </c>
      <c r="S101" s="215">
        <v>2020</v>
      </c>
      <c r="T101" s="215" t="s">
        <v>2001</v>
      </c>
      <c r="U101" s="346" t="s">
        <v>678</v>
      </c>
      <c r="V101" s="346" t="s">
        <v>679</v>
      </c>
      <c r="W101" s="17" t="s">
        <v>145</v>
      </c>
      <c r="X101" s="346" t="s">
        <v>309</v>
      </c>
      <c r="Y101" s="347">
        <v>45078</v>
      </c>
      <c r="Z101" s="17" t="s">
        <v>1875</v>
      </c>
      <c r="AA101" s="17"/>
      <c r="AB101" s="17" t="s">
        <v>139</v>
      </c>
      <c r="AC101" s="17" t="s">
        <v>1875</v>
      </c>
      <c r="AD101" s="17" t="s">
        <v>1805</v>
      </c>
      <c r="AE101" s="17" t="s">
        <v>1805</v>
      </c>
      <c r="AF101" s="17"/>
      <c r="AG101" s="17"/>
      <c r="AH101" s="17"/>
      <c r="AI101" s="17"/>
      <c r="AJ101" s="17" t="s">
        <v>2191</v>
      </c>
      <c r="AK101" s="17"/>
      <c r="AL101" s="17" t="s">
        <v>2190</v>
      </c>
      <c r="AM101" s="17" t="s">
        <v>1975</v>
      </c>
      <c r="AN101" s="17" t="b">
        <v>0</v>
      </c>
      <c r="AO101" s="341"/>
      <c r="AP101" s="142"/>
      <c r="AQ101" s="142"/>
      <c r="AR101" s="142"/>
      <c r="AS101" s="142"/>
      <c r="AT101" s="342"/>
      <c r="AU101" s="17"/>
      <c r="AV101" s="341"/>
      <c r="AW101" s="17"/>
      <c r="AX101" s="17"/>
      <c r="AY101" s="17"/>
      <c r="AZ101" s="17"/>
      <c r="BA101" s="17" t="s">
        <v>373</v>
      </c>
      <c r="BB101" s="17" t="s">
        <v>1610</v>
      </c>
      <c r="BC101" s="17" t="s">
        <v>2192</v>
      </c>
      <c r="BD101" s="280"/>
      <c r="BE101" s="280"/>
      <c r="BF101" s="280"/>
      <c r="BG101" s="280"/>
    </row>
    <row r="102" spans="1:59" ht="45" customHeight="1">
      <c r="A102" s="271">
        <f t="shared" si="1"/>
        <v>101</v>
      </c>
      <c r="B102" s="354" t="s">
        <v>2354</v>
      </c>
      <c r="C102" s="37" t="s">
        <v>2355</v>
      </c>
      <c r="D102" s="345" t="s">
        <v>8</v>
      </c>
      <c r="E102" s="215" t="s">
        <v>9</v>
      </c>
      <c r="F102" s="37" t="s">
        <v>1759</v>
      </c>
      <c r="G102" s="337">
        <v>44028</v>
      </c>
      <c r="H102" s="352"/>
      <c r="I102" s="337"/>
      <c r="J102" s="17"/>
      <c r="K102" s="337"/>
      <c r="L102" s="215"/>
      <c r="M102" s="215"/>
      <c r="N102" s="17" t="s">
        <v>122</v>
      </c>
      <c r="O102" s="17"/>
      <c r="P102" s="349" t="s">
        <v>1554</v>
      </c>
      <c r="Q102" s="345" t="s">
        <v>2198</v>
      </c>
      <c r="R102" s="339">
        <v>44571.548159722224</v>
      </c>
      <c r="S102" s="215">
        <v>2020</v>
      </c>
      <c r="T102" s="215" t="s">
        <v>2001</v>
      </c>
      <c r="U102" s="346" t="s">
        <v>678</v>
      </c>
      <c r="V102" s="346" t="s">
        <v>679</v>
      </c>
      <c r="W102" s="17" t="s">
        <v>145</v>
      </c>
      <c r="X102" s="346" t="s">
        <v>309</v>
      </c>
      <c r="Y102" s="347">
        <v>45078</v>
      </c>
      <c r="Z102" s="17" t="s">
        <v>1875</v>
      </c>
      <c r="AA102" s="17"/>
      <c r="AB102" s="17" t="s">
        <v>139</v>
      </c>
      <c r="AC102" s="17" t="s">
        <v>1875</v>
      </c>
      <c r="AD102" s="17" t="s">
        <v>1805</v>
      </c>
      <c r="AE102" s="17" t="s">
        <v>1805</v>
      </c>
      <c r="AF102" s="17"/>
      <c r="AG102" s="17"/>
      <c r="AH102" s="17"/>
      <c r="AI102" s="17"/>
      <c r="AJ102" s="17" t="s">
        <v>2191</v>
      </c>
      <c r="AK102" s="17"/>
      <c r="AL102" s="17" t="s">
        <v>2190</v>
      </c>
      <c r="AM102" s="17" t="s">
        <v>1975</v>
      </c>
      <c r="AN102" s="17" t="b">
        <v>0</v>
      </c>
      <c r="AO102" s="341"/>
      <c r="AP102" s="142"/>
      <c r="AQ102" s="142"/>
      <c r="AR102" s="142"/>
      <c r="AS102" s="142"/>
      <c r="AT102" s="342"/>
      <c r="AU102" s="17"/>
      <c r="AV102" s="341"/>
      <c r="AW102" s="17"/>
      <c r="AX102" s="17"/>
      <c r="AY102" s="17"/>
      <c r="AZ102" s="17"/>
      <c r="BA102" s="17" t="s">
        <v>373</v>
      </c>
      <c r="BB102" s="17" t="s">
        <v>1610</v>
      </c>
      <c r="BC102" s="17" t="s">
        <v>2192</v>
      </c>
      <c r="BD102" s="280"/>
      <c r="BE102" s="280"/>
      <c r="BF102" s="280"/>
      <c r="BG102" s="280"/>
    </row>
    <row r="103" spans="1:59" ht="45" customHeight="1">
      <c r="A103" s="271">
        <f t="shared" si="1"/>
        <v>102</v>
      </c>
      <c r="B103" s="354" t="s">
        <v>2356</v>
      </c>
      <c r="C103" s="37" t="s">
        <v>2357</v>
      </c>
      <c r="D103" s="345" t="s">
        <v>8</v>
      </c>
      <c r="E103" s="215" t="s">
        <v>9</v>
      </c>
      <c r="F103" s="37" t="s">
        <v>1759</v>
      </c>
      <c r="G103" s="337">
        <v>44028</v>
      </c>
      <c r="H103" s="352"/>
      <c r="I103" s="337"/>
      <c r="J103" s="17"/>
      <c r="K103" s="337"/>
      <c r="L103" s="215"/>
      <c r="M103" s="215"/>
      <c r="N103" s="17" t="s">
        <v>122</v>
      </c>
      <c r="O103" s="17"/>
      <c r="P103" s="349" t="s">
        <v>1554</v>
      </c>
      <c r="Q103" s="345" t="s">
        <v>2198</v>
      </c>
      <c r="R103" s="339">
        <v>44571.548668981479</v>
      </c>
      <c r="S103" s="215">
        <v>2020</v>
      </c>
      <c r="T103" s="215" t="s">
        <v>2001</v>
      </c>
      <c r="U103" s="346" t="s">
        <v>678</v>
      </c>
      <c r="V103" s="346" t="s">
        <v>679</v>
      </c>
      <c r="W103" s="17" t="s">
        <v>145</v>
      </c>
      <c r="X103" s="346" t="s">
        <v>309</v>
      </c>
      <c r="Y103" s="347">
        <v>45078</v>
      </c>
      <c r="Z103" s="17" t="s">
        <v>1875</v>
      </c>
      <c r="AA103" s="17"/>
      <c r="AB103" s="17" t="s">
        <v>139</v>
      </c>
      <c r="AC103" s="17" t="s">
        <v>1875</v>
      </c>
      <c r="AD103" s="17" t="s">
        <v>1805</v>
      </c>
      <c r="AE103" s="17" t="s">
        <v>1805</v>
      </c>
      <c r="AF103" s="17"/>
      <c r="AG103" s="17"/>
      <c r="AH103" s="17"/>
      <c r="AI103" s="17"/>
      <c r="AJ103" s="17" t="s">
        <v>2191</v>
      </c>
      <c r="AK103" s="17"/>
      <c r="AL103" s="17" t="s">
        <v>2190</v>
      </c>
      <c r="AM103" s="17" t="s">
        <v>1975</v>
      </c>
      <c r="AN103" s="17" t="b">
        <v>0</v>
      </c>
      <c r="AO103" s="341"/>
      <c r="AP103" s="142"/>
      <c r="AQ103" s="142"/>
      <c r="AR103" s="142"/>
      <c r="AS103" s="142"/>
      <c r="AT103" s="342"/>
      <c r="AU103" s="17"/>
      <c r="AV103" s="341"/>
      <c r="AW103" s="17"/>
      <c r="AX103" s="17"/>
      <c r="AY103" s="17"/>
      <c r="AZ103" s="17"/>
      <c r="BA103" s="17" t="s">
        <v>373</v>
      </c>
      <c r="BB103" s="17" t="s">
        <v>1610</v>
      </c>
      <c r="BC103" s="17" t="s">
        <v>2192</v>
      </c>
      <c r="BD103" s="280"/>
      <c r="BE103" s="280"/>
      <c r="BF103" s="280"/>
      <c r="BG103" s="280"/>
    </row>
    <row r="104" spans="1:59" ht="45" customHeight="1">
      <c r="A104" s="271">
        <f t="shared" si="1"/>
        <v>103</v>
      </c>
      <c r="B104" s="354" t="s">
        <v>2358</v>
      </c>
      <c r="C104" s="37" t="s">
        <v>2359</v>
      </c>
      <c r="D104" s="345" t="s">
        <v>8</v>
      </c>
      <c r="E104" s="215" t="s">
        <v>9</v>
      </c>
      <c r="F104" s="37" t="s">
        <v>1759</v>
      </c>
      <c r="G104" s="337">
        <v>44028</v>
      </c>
      <c r="H104" s="352"/>
      <c r="I104" s="337"/>
      <c r="J104" s="17"/>
      <c r="K104" s="337"/>
      <c r="L104" s="215"/>
      <c r="M104" s="215"/>
      <c r="N104" s="17" t="s">
        <v>122</v>
      </c>
      <c r="O104" s="17"/>
      <c r="P104" s="349" t="s">
        <v>1554</v>
      </c>
      <c r="Q104" s="345" t="s">
        <v>2198</v>
      </c>
      <c r="R104" s="339">
        <v>44571.549016203702</v>
      </c>
      <c r="S104" s="215">
        <v>2020</v>
      </c>
      <c r="T104" s="215" t="s">
        <v>2001</v>
      </c>
      <c r="U104" s="346" t="s">
        <v>678</v>
      </c>
      <c r="V104" s="346" t="s">
        <v>679</v>
      </c>
      <c r="W104" s="17" t="s">
        <v>145</v>
      </c>
      <c r="X104" s="346" t="s">
        <v>309</v>
      </c>
      <c r="Y104" s="347">
        <v>45078</v>
      </c>
      <c r="Z104" s="17" t="s">
        <v>1875</v>
      </c>
      <c r="AA104" s="17"/>
      <c r="AB104" s="17" t="s">
        <v>139</v>
      </c>
      <c r="AC104" s="17" t="s">
        <v>1875</v>
      </c>
      <c r="AD104" s="17" t="s">
        <v>1805</v>
      </c>
      <c r="AE104" s="17" t="s">
        <v>1805</v>
      </c>
      <c r="AF104" s="17"/>
      <c r="AG104" s="17"/>
      <c r="AH104" s="17"/>
      <c r="AI104" s="17"/>
      <c r="AJ104" s="17" t="s">
        <v>2191</v>
      </c>
      <c r="AK104" s="17"/>
      <c r="AL104" s="17" t="s">
        <v>2190</v>
      </c>
      <c r="AM104" s="17" t="s">
        <v>1975</v>
      </c>
      <c r="AN104" s="17" t="b">
        <v>0</v>
      </c>
      <c r="AO104" s="341"/>
      <c r="AP104" s="142"/>
      <c r="AQ104" s="142"/>
      <c r="AR104" s="142"/>
      <c r="AS104" s="142"/>
      <c r="AT104" s="342"/>
      <c r="AU104" s="17"/>
      <c r="AV104" s="341"/>
      <c r="AW104" s="17"/>
      <c r="AX104" s="17"/>
      <c r="AY104" s="17"/>
      <c r="AZ104" s="17"/>
      <c r="BA104" s="17" t="s">
        <v>373</v>
      </c>
      <c r="BB104" s="17" t="s">
        <v>1610</v>
      </c>
      <c r="BC104" s="17" t="s">
        <v>2192</v>
      </c>
      <c r="BD104" s="280"/>
      <c r="BE104" s="280"/>
      <c r="BF104" s="280"/>
      <c r="BG104" s="280"/>
    </row>
    <row r="105" spans="1:59" ht="45" customHeight="1">
      <c r="A105" s="271">
        <f t="shared" si="1"/>
        <v>104</v>
      </c>
      <c r="B105" s="343" t="s">
        <v>2284</v>
      </c>
      <c r="C105" s="348" t="s">
        <v>2370</v>
      </c>
      <c r="D105" s="345" t="s">
        <v>8</v>
      </c>
      <c r="E105" s="345" t="s">
        <v>9</v>
      </c>
      <c r="F105" s="37" t="s">
        <v>1759</v>
      </c>
      <c r="G105" s="337">
        <v>44028</v>
      </c>
      <c r="H105" s="337"/>
      <c r="I105" s="337"/>
      <c r="J105" s="345"/>
      <c r="K105" s="337"/>
      <c r="L105" s="215"/>
      <c r="M105" s="345"/>
      <c r="N105" s="345" t="s">
        <v>122</v>
      </c>
      <c r="O105" s="345"/>
      <c r="P105" s="349" t="s">
        <v>1554</v>
      </c>
      <c r="Q105" s="349" t="s">
        <v>2198</v>
      </c>
      <c r="R105" s="339">
        <v>44571.551238425927</v>
      </c>
      <c r="S105" s="215">
        <v>2020</v>
      </c>
      <c r="T105" s="215" t="s">
        <v>2001</v>
      </c>
      <c r="U105" s="350" t="s">
        <v>678</v>
      </c>
      <c r="V105" s="350" t="s">
        <v>679</v>
      </c>
      <c r="W105" s="17" t="s">
        <v>145</v>
      </c>
      <c r="X105" s="350" t="s">
        <v>309</v>
      </c>
      <c r="Y105" s="347">
        <v>45078</v>
      </c>
      <c r="Z105" s="171" t="s">
        <v>1875</v>
      </c>
      <c r="AA105" s="171"/>
      <c r="AB105" s="17" t="s">
        <v>139</v>
      </c>
      <c r="AC105" s="17" t="s">
        <v>1875</v>
      </c>
      <c r="AD105" s="17" t="s">
        <v>1805</v>
      </c>
      <c r="AE105" s="17" t="s">
        <v>1805</v>
      </c>
      <c r="AF105" s="171"/>
      <c r="AG105" s="171"/>
      <c r="AH105" s="17"/>
      <c r="AI105" s="17"/>
      <c r="AJ105" s="17" t="s">
        <v>2191</v>
      </c>
      <c r="AK105" s="17"/>
      <c r="AL105" s="17" t="s">
        <v>2190</v>
      </c>
      <c r="AM105" s="17" t="s">
        <v>1975</v>
      </c>
      <c r="AN105" s="17" t="b">
        <v>0</v>
      </c>
      <c r="AO105" s="341"/>
      <c r="AP105" s="142"/>
      <c r="AQ105" s="142"/>
      <c r="AR105" s="142"/>
      <c r="AS105" s="142"/>
      <c r="AT105" s="342"/>
      <c r="AU105" s="17"/>
      <c r="AV105" s="341"/>
      <c r="AW105" s="17"/>
      <c r="AX105" s="17"/>
      <c r="AY105" s="17"/>
      <c r="AZ105" s="17"/>
      <c r="BA105" s="17" t="s">
        <v>373</v>
      </c>
      <c r="BB105" s="17" t="s">
        <v>1610</v>
      </c>
      <c r="BC105" s="17" t="s">
        <v>2192</v>
      </c>
      <c r="BD105" s="280"/>
      <c r="BE105" s="280"/>
      <c r="BF105" s="280"/>
      <c r="BG105" s="280"/>
    </row>
    <row r="106" spans="1:59" ht="45" customHeight="1">
      <c r="A106" s="271">
        <f t="shared" si="1"/>
        <v>105</v>
      </c>
      <c r="B106" s="354" t="s">
        <v>2360</v>
      </c>
      <c r="C106" s="37" t="s">
        <v>2361</v>
      </c>
      <c r="D106" s="345" t="s">
        <v>8</v>
      </c>
      <c r="E106" s="215" t="s">
        <v>9</v>
      </c>
      <c r="F106" s="37" t="s">
        <v>1759</v>
      </c>
      <c r="G106" s="337">
        <v>44028</v>
      </c>
      <c r="H106" s="352"/>
      <c r="I106" s="337"/>
      <c r="J106" s="17"/>
      <c r="K106" s="337"/>
      <c r="L106" s="215"/>
      <c r="M106" s="215"/>
      <c r="N106" s="17" t="s">
        <v>122</v>
      </c>
      <c r="O106" s="17"/>
      <c r="P106" s="349" t="s">
        <v>1554</v>
      </c>
      <c r="Q106" s="345" t="s">
        <v>2198</v>
      </c>
      <c r="R106" s="339">
        <v>44571.549398148149</v>
      </c>
      <c r="S106" s="215">
        <v>2020</v>
      </c>
      <c r="T106" s="215" t="s">
        <v>2001</v>
      </c>
      <c r="U106" s="346" t="s">
        <v>678</v>
      </c>
      <c r="V106" s="346" t="s">
        <v>679</v>
      </c>
      <c r="W106" s="17" t="s">
        <v>145</v>
      </c>
      <c r="X106" s="346" t="s">
        <v>309</v>
      </c>
      <c r="Y106" s="347">
        <v>45078</v>
      </c>
      <c r="Z106" s="17" t="s">
        <v>1875</v>
      </c>
      <c r="AA106" s="17"/>
      <c r="AB106" s="17" t="s">
        <v>139</v>
      </c>
      <c r="AC106" s="17" t="s">
        <v>1875</v>
      </c>
      <c r="AD106" s="17" t="s">
        <v>1805</v>
      </c>
      <c r="AE106" s="17" t="s">
        <v>1805</v>
      </c>
      <c r="AF106" s="17"/>
      <c r="AG106" s="17"/>
      <c r="AH106" s="17"/>
      <c r="AI106" s="17"/>
      <c r="AJ106" s="17" t="s">
        <v>2191</v>
      </c>
      <c r="AK106" s="17"/>
      <c r="AL106" s="17" t="s">
        <v>2190</v>
      </c>
      <c r="AM106" s="17" t="s">
        <v>1975</v>
      </c>
      <c r="AN106" s="17" t="b">
        <v>0</v>
      </c>
      <c r="AO106" s="341"/>
      <c r="AP106" s="142"/>
      <c r="AQ106" s="142"/>
      <c r="AR106" s="142"/>
      <c r="AS106" s="142"/>
      <c r="AT106" s="342"/>
      <c r="AU106" s="17"/>
      <c r="AV106" s="341"/>
      <c r="AW106" s="17"/>
      <c r="AX106" s="17"/>
      <c r="AY106" s="17"/>
      <c r="AZ106" s="17"/>
      <c r="BA106" s="17" t="s">
        <v>373</v>
      </c>
      <c r="BB106" s="17" t="s">
        <v>1610</v>
      </c>
      <c r="BC106" s="17" t="s">
        <v>2192</v>
      </c>
      <c r="BD106" s="280"/>
      <c r="BE106" s="280"/>
      <c r="BF106" s="280"/>
      <c r="BG106" s="280"/>
    </row>
    <row r="107" spans="1:59" ht="45" customHeight="1">
      <c r="A107" s="271">
        <f t="shared" si="1"/>
        <v>106</v>
      </c>
      <c r="B107" s="354" t="s">
        <v>2362</v>
      </c>
      <c r="C107" s="37" t="s">
        <v>2363</v>
      </c>
      <c r="D107" s="345" t="s">
        <v>8</v>
      </c>
      <c r="E107" s="215" t="s">
        <v>9</v>
      </c>
      <c r="F107" s="37" t="s">
        <v>1759</v>
      </c>
      <c r="G107" s="337">
        <v>44028</v>
      </c>
      <c r="H107" s="352"/>
      <c r="I107" s="337"/>
      <c r="J107" s="17"/>
      <c r="K107" s="337"/>
      <c r="L107" s="215"/>
      <c r="M107" s="215"/>
      <c r="N107" s="17" t="s">
        <v>122</v>
      </c>
      <c r="O107" s="17"/>
      <c r="P107" s="349" t="s">
        <v>1554</v>
      </c>
      <c r="Q107" s="345" t="s">
        <v>2198</v>
      </c>
      <c r="R107" s="339">
        <v>44571.549768518518</v>
      </c>
      <c r="S107" s="215">
        <v>2020</v>
      </c>
      <c r="T107" s="215" t="s">
        <v>2001</v>
      </c>
      <c r="U107" s="346" t="s">
        <v>678</v>
      </c>
      <c r="V107" s="346" t="s">
        <v>679</v>
      </c>
      <c r="W107" s="17" t="s">
        <v>145</v>
      </c>
      <c r="X107" s="346" t="s">
        <v>309</v>
      </c>
      <c r="Y107" s="347">
        <v>45078</v>
      </c>
      <c r="Z107" s="17" t="s">
        <v>1875</v>
      </c>
      <c r="AA107" s="17"/>
      <c r="AB107" s="17" t="s">
        <v>139</v>
      </c>
      <c r="AC107" s="17" t="s">
        <v>1875</v>
      </c>
      <c r="AD107" s="17" t="s">
        <v>1805</v>
      </c>
      <c r="AE107" s="17" t="s">
        <v>1805</v>
      </c>
      <c r="AF107" s="17"/>
      <c r="AG107" s="17"/>
      <c r="AH107" s="17"/>
      <c r="AI107" s="17"/>
      <c r="AJ107" s="17" t="s">
        <v>2191</v>
      </c>
      <c r="AK107" s="17"/>
      <c r="AL107" s="17" t="s">
        <v>2190</v>
      </c>
      <c r="AM107" s="17" t="s">
        <v>1975</v>
      </c>
      <c r="AN107" s="17" t="b">
        <v>0</v>
      </c>
      <c r="AO107" s="341"/>
      <c r="AP107" s="142"/>
      <c r="AQ107" s="142"/>
      <c r="AR107" s="142"/>
      <c r="AS107" s="142"/>
      <c r="AT107" s="342"/>
      <c r="AU107" s="17"/>
      <c r="AV107" s="341"/>
      <c r="AW107" s="17"/>
      <c r="AX107" s="17"/>
      <c r="AY107" s="17"/>
      <c r="AZ107" s="17"/>
      <c r="BA107" s="17" t="s">
        <v>373</v>
      </c>
      <c r="BB107" s="17" t="s">
        <v>1610</v>
      </c>
      <c r="BC107" s="17" t="s">
        <v>2192</v>
      </c>
      <c r="BD107" s="280"/>
      <c r="BE107" s="280"/>
      <c r="BF107" s="280"/>
      <c r="BG107" s="280"/>
    </row>
    <row r="108" spans="1:59" ht="45" customHeight="1">
      <c r="A108" s="271">
        <f t="shared" si="1"/>
        <v>107</v>
      </c>
      <c r="B108" s="343" t="s">
        <v>2364</v>
      </c>
      <c r="C108" s="348" t="s">
        <v>2365</v>
      </c>
      <c r="D108" s="345" t="s">
        <v>8</v>
      </c>
      <c r="E108" s="345" t="s">
        <v>9</v>
      </c>
      <c r="F108" s="37" t="s">
        <v>1759</v>
      </c>
      <c r="G108" s="337">
        <v>44028</v>
      </c>
      <c r="H108" s="337"/>
      <c r="I108" s="337"/>
      <c r="J108" s="345"/>
      <c r="K108" s="337"/>
      <c r="L108" s="215"/>
      <c r="M108" s="345"/>
      <c r="N108" s="345" t="s">
        <v>122</v>
      </c>
      <c r="O108" s="345"/>
      <c r="P108" s="349" t="s">
        <v>1554</v>
      </c>
      <c r="Q108" s="349" t="s">
        <v>2198</v>
      </c>
      <c r="R108" s="339">
        <v>44571.550173611111</v>
      </c>
      <c r="S108" s="215">
        <v>2020</v>
      </c>
      <c r="T108" s="215" t="s">
        <v>2001</v>
      </c>
      <c r="U108" s="350" t="s">
        <v>678</v>
      </c>
      <c r="V108" s="350" t="s">
        <v>679</v>
      </c>
      <c r="W108" s="17" t="s">
        <v>145</v>
      </c>
      <c r="X108" s="350" t="s">
        <v>309</v>
      </c>
      <c r="Y108" s="347">
        <v>45078</v>
      </c>
      <c r="Z108" s="171" t="s">
        <v>1875</v>
      </c>
      <c r="AA108" s="171"/>
      <c r="AB108" s="17" t="s">
        <v>139</v>
      </c>
      <c r="AC108" s="17" t="s">
        <v>1875</v>
      </c>
      <c r="AD108" s="17" t="s">
        <v>1805</v>
      </c>
      <c r="AE108" s="17" t="s">
        <v>1805</v>
      </c>
      <c r="AF108" s="171"/>
      <c r="AG108" s="171"/>
      <c r="AH108" s="17"/>
      <c r="AI108" s="17"/>
      <c r="AJ108" s="17" t="s">
        <v>2191</v>
      </c>
      <c r="AK108" s="17"/>
      <c r="AL108" s="17" t="s">
        <v>2190</v>
      </c>
      <c r="AM108" s="17" t="s">
        <v>1975</v>
      </c>
      <c r="AN108" s="17" t="b">
        <v>0</v>
      </c>
      <c r="AO108" s="341"/>
      <c r="AP108" s="142"/>
      <c r="AQ108" s="142"/>
      <c r="AR108" s="142"/>
      <c r="AS108" s="142"/>
      <c r="AT108" s="342"/>
      <c r="AU108" s="17"/>
      <c r="AV108" s="341"/>
      <c r="AW108" s="17"/>
      <c r="AX108" s="17"/>
      <c r="AY108" s="17"/>
      <c r="AZ108" s="17"/>
      <c r="BA108" s="17" t="s">
        <v>373</v>
      </c>
      <c r="BB108" s="17" t="s">
        <v>1610</v>
      </c>
      <c r="BC108" s="17" t="s">
        <v>2192</v>
      </c>
      <c r="BD108" s="280"/>
      <c r="BE108" s="280"/>
      <c r="BF108" s="280"/>
      <c r="BG108" s="280"/>
    </row>
    <row r="109" spans="1:59" ht="45" customHeight="1">
      <c r="A109" s="271">
        <f t="shared" si="1"/>
        <v>108</v>
      </c>
      <c r="B109" s="343" t="s">
        <v>2366</v>
      </c>
      <c r="C109" s="344" t="s">
        <v>2367</v>
      </c>
      <c r="D109" s="345" t="s">
        <v>8</v>
      </c>
      <c r="E109" s="345" t="s">
        <v>9</v>
      </c>
      <c r="F109" s="37" t="s">
        <v>1759</v>
      </c>
      <c r="G109" s="337">
        <v>44028</v>
      </c>
      <c r="H109" s="337"/>
      <c r="I109" s="337"/>
      <c r="J109" s="345"/>
      <c r="K109" s="337"/>
      <c r="L109" s="215"/>
      <c r="M109" s="345"/>
      <c r="N109" s="345" t="s">
        <v>122</v>
      </c>
      <c r="O109" s="345"/>
      <c r="P109" s="345" t="s">
        <v>1554</v>
      </c>
      <c r="Q109" s="345" t="s">
        <v>2198</v>
      </c>
      <c r="R109" s="339">
        <v>44571.550555555557</v>
      </c>
      <c r="S109" s="215">
        <v>2020</v>
      </c>
      <c r="T109" s="215" t="s">
        <v>2001</v>
      </c>
      <c r="U109" s="346" t="s">
        <v>678</v>
      </c>
      <c r="V109" s="346" t="s">
        <v>679</v>
      </c>
      <c r="W109" s="17" t="s">
        <v>145</v>
      </c>
      <c r="X109" s="346" t="s">
        <v>309</v>
      </c>
      <c r="Y109" s="347">
        <v>45078</v>
      </c>
      <c r="Z109" s="17" t="s">
        <v>1875</v>
      </c>
      <c r="AA109" s="17"/>
      <c r="AB109" s="17" t="s">
        <v>139</v>
      </c>
      <c r="AC109" s="17" t="s">
        <v>1875</v>
      </c>
      <c r="AD109" s="17" t="s">
        <v>1805</v>
      </c>
      <c r="AE109" s="17" t="s">
        <v>1805</v>
      </c>
      <c r="AF109" s="17"/>
      <c r="AG109" s="17"/>
      <c r="AH109" s="17"/>
      <c r="AI109" s="17"/>
      <c r="AJ109" s="17" t="s">
        <v>2191</v>
      </c>
      <c r="AK109" s="17"/>
      <c r="AL109" s="17" t="s">
        <v>2190</v>
      </c>
      <c r="AM109" s="17" t="s">
        <v>1975</v>
      </c>
      <c r="AN109" s="17" t="b">
        <v>0</v>
      </c>
      <c r="AO109" s="341"/>
      <c r="AP109" s="142"/>
      <c r="AQ109" s="142"/>
      <c r="AR109" s="142"/>
      <c r="AS109" s="142"/>
      <c r="AT109" s="342"/>
      <c r="AU109" s="17"/>
      <c r="AV109" s="341"/>
      <c r="AW109" s="17"/>
      <c r="AX109" s="17"/>
      <c r="AY109" s="17"/>
      <c r="AZ109" s="17"/>
      <c r="BA109" s="17" t="s">
        <v>373</v>
      </c>
      <c r="BB109" s="17" t="s">
        <v>1610</v>
      </c>
      <c r="BC109" s="17" t="s">
        <v>2192</v>
      </c>
      <c r="BD109" s="280"/>
      <c r="BE109" s="280"/>
      <c r="BF109" s="280"/>
      <c r="BG109" s="280"/>
    </row>
    <row r="110" spans="1:59" ht="45" customHeight="1">
      <c r="A110" s="271">
        <f t="shared" si="1"/>
        <v>109</v>
      </c>
      <c r="B110" s="343" t="s">
        <v>2368</v>
      </c>
      <c r="C110" s="348" t="s">
        <v>2369</v>
      </c>
      <c r="D110" s="345" t="s">
        <v>8</v>
      </c>
      <c r="E110" s="345" t="s">
        <v>9</v>
      </c>
      <c r="F110" s="37" t="s">
        <v>1759</v>
      </c>
      <c r="G110" s="337">
        <v>44028</v>
      </c>
      <c r="H110" s="337"/>
      <c r="I110" s="337"/>
      <c r="J110" s="345"/>
      <c r="K110" s="337"/>
      <c r="L110" s="215"/>
      <c r="M110" s="345"/>
      <c r="N110" s="345" t="s">
        <v>122</v>
      </c>
      <c r="O110" s="345"/>
      <c r="P110" s="349" t="s">
        <v>1554</v>
      </c>
      <c r="Q110" s="349" t="s">
        <v>2198</v>
      </c>
      <c r="R110" s="339">
        <v>44571.550891203704</v>
      </c>
      <c r="S110" s="215">
        <v>2020</v>
      </c>
      <c r="T110" s="215" t="s">
        <v>2001</v>
      </c>
      <c r="U110" s="350" t="s">
        <v>678</v>
      </c>
      <c r="V110" s="350" t="s">
        <v>679</v>
      </c>
      <c r="W110" s="17" t="s">
        <v>145</v>
      </c>
      <c r="X110" s="350" t="s">
        <v>309</v>
      </c>
      <c r="Y110" s="347">
        <v>45078</v>
      </c>
      <c r="Z110" s="171" t="s">
        <v>1875</v>
      </c>
      <c r="AA110" s="171"/>
      <c r="AB110" s="17" t="s">
        <v>139</v>
      </c>
      <c r="AC110" s="17" t="s">
        <v>1875</v>
      </c>
      <c r="AD110" s="17" t="s">
        <v>1805</v>
      </c>
      <c r="AE110" s="17" t="s">
        <v>1805</v>
      </c>
      <c r="AF110" s="171"/>
      <c r="AG110" s="171"/>
      <c r="AH110" s="17"/>
      <c r="AI110" s="17"/>
      <c r="AJ110" s="17" t="s">
        <v>2191</v>
      </c>
      <c r="AK110" s="17"/>
      <c r="AL110" s="17" t="s">
        <v>2190</v>
      </c>
      <c r="AM110" s="17" t="s">
        <v>1975</v>
      </c>
      <c r="AN110" s="17" t="b">
        <v>0</v>
      </c>
      <c r="AO110" s="341"/>
      <c r="AP110" s="142"/>
      <c r="AQ110" s="142"/>
      <c r="AR110" s="142"/>
      <c r="AS110" s="142"/>
      <c r="AT110" s="342"/>
      <c r="AU110" s="17"/>
      <c r="AV110" s="341"/>
      <c r="AW110" s="17"/>
      <c r="AX110" s="17"/>
      <c r="AY110" s="17"/>
      <c r="AZ110" s="17"/>
      <c r="BA110" s="17" t="s">
        <v>373</v>
      </c>
      <c r="BB110" s="17" t="s">
        <v>1610</v>
      </c>
      <c r="BC110" s="17" t="s">
        <v>2192</v>
      </c>
      <c r="BD110" s="280"/>
      <c r="BE110" s="280"/>
      <c r="BF110" s="280"/>
      <c r="BG110" s="280"/>
    </row>
    <row r="111" spans="1:59" ht="45" customHeight="1">
      <c r="A111" s="271">
        <f t="shared" si="1"/>
        <v>110</v>
      </c>
      <c r="B111" s="354" t="s">
        <v>2316</v>
      </c>
      <c r="C111" s="37" t="s">
        <v>2317</v>
      </c>
      <c r="D111" s="345" t="s">
        <v>8</v>
      </c>
      <c r="E111" s="215" t="s">
        <v>9</v>
      </c>
      <c r="F111" s="37" t="s">
        <v>1759</v>
      </c>
      <c r="G111" s="337">
        <v>44036</v>
      </c>
      <c r="H111" s="352"/>
      <c r="I111" s="337"/>
      <c r="J111" s="17"/>
      <c r="K111" s="337"/>
      <c r="L111" s="215"/>
      <c r="M111" s="215"/>
      <c r="N111" s="17" t="s">
        <v>122</v>
      </c>
      <c r="O111" s="17"/>
      <c r="P111" s="349" t="s">
        <v>1554</v>
      </c>
      <c r="Q111" s="345" t="s">
        <v>2198</v>
      </c>
      <c r="R111" s="339">
        <v>44571.539131944446</v>
      </c>
      <c r="S111" s="215">
        <v>2020</v>
      </c>
      <c r="T111" s="215" t="s">
        <v>2001</v>
      </c>
      <c r="U111" s="346" t="s">
        <v>678</v>
      </c>
      <c r="V111" s="346" t="s">
        <v>679</v>
      </c>
      <c r="W111" s="17" t="s">
        <v>145</v>
      </c>
      <c r="X111" s="346" t="s">
        <v>309</v>
      </c>
      <c r="Y111" s="347">
        <v>45078</v>
      </c>
      <c r="Z111" s="17" t="s">
        <v>1875</v>
      </c>
      <c r="AA111" s="17"/>
      <c r="AB111" s="17" t="s">
        <v>139</v>
      </c>
      <c r="AC111" s="17" t="s">
        <v>1875</v>
      </c>
      <c r="AD111" s="17" t="s">
        <v>1805</v>
      </c>
      <c r="AE111" s="17" t="s">
        <v>1805</v>
      </c>
      <c r="AF111" s="17"/>
      <c r="AG111" s="17"/>
      <c r="AH111" s="17"/>
      <c r="AI111" s="17"/>
      <c r="AJ111" s="17" t="s">
        <v>2191</v>
      </c>
      <c r="AK111" s="17"/>
      <c r="AL111" s="17" t="s">
        <v>2190</v>
      </c>
      <c r="AM111" s="17" t="s">
        <v>1975</v>
      </c>
      <c r="AN111" s="17" t="b">
        <v>0</v>
      </c>
      <c r="AO111" s="341"/>
      <c r="AP111" s="142"/>
      <c r="AQ111" s="142"/>
      <c r="AR111" s="142"/>
      <c r="AS111" s="142"/>
      <c r="AT111" s="342"/>
      <c r="AU111" s="17"/>
      <c r="AV111" s="341"/>
      <c r="AW111" s="17"/>
      <c r="AX111" s="17"/>
      <c r="AY111" s="17"/>
      <c r="AZ111" s="17"/>
      <c r="BA111" s="17" t="s">
        <v>373</v>
      </c>
      <c r="BB111" s="17" t="s">
        <v>1610</v>
      </c>
      <c r="BC111" s="17" t="s">
        <v>2192</v>
      </c>
      <c r="BD111" s="280"/>
      <c r="BE111" s="280"/>
      <c r="BF111" s="280"/>
      <c r="BG111" s="280"/>
    </row>
    <row r="112" spans="1:59" ht="45" customHeight="1">
      <c r="A112" s="271">
        <f t="shared" si="1"/>
        <v>111</v>
      </c>
      <c r="B112" s="343" t="s">
        <v>2371</v>
      </c>
      <c r="C112" s="348" t="s">
        <v>2372</v>
      </c>
      <c r="D112" s="345" t="s">
        <v>8</v>
      </c>
      <c r="E112" s="345" t="s">
        <v>9</v>
      </c>
      <c r="F112" s="37" t="s">
        <v>1759</v>
      </c>
      <c r="G112" s="337">
        <v>44203</v>
      </c>
      <c r="H112" s="337"/>
      <c r="I112" s="337"/>
      <c r="J112" s="345"/>
      <c r="K112" s="337"/>
      <c r="L112" s="339"/>
      <c r="M112" s="345"/>
      <c r="N112" s="345" t="s">
        <v>122</v>
      </c>
      <c r="O112" s="345"/>
      <c r="P112" s="349" t="s">
        <v>1554</v>
      </c>
      <c r="Q112" s="349" t="s">
        <v>2198</v>
      </c>
      <c r="R112" s="339">
        <v>44571.551724537036</v>
      </c>
      <c r="S112" s="215">
        <v>2021</v>
      </c>
      <c r="T112" s="349" t="s">
        <v>2001</v>
      </c>
      <c r="U112" s="350" t="s">
        <v>678</v>
      </c>
      <c r="V112" s="350" t="s">
        <v>679</v>
      </c>
      <c r="W112" s="350" t="s">
        <v>145</v>
      </c>
      <c r="X112" s="350" t="s">
        <v>309</v>
      </c>
      <c r="Y112" s="347">
        <v>45078</v>
      </c>
      <c r="Z112" s="171" t="s">
        <v>1875</v>
      </c>
      <c r="AA112" s="171"/>
      <c r="AB112" s="17" t="s">
        <v>139</v>
      </c>
      <c r="AC112" s="17" t="s">
        <v>1875</v>
      </c>
      <c r="AD112" s="17" t="s">
        <v>1805</v>
      </c>
      <c r="AE112" s="17" t="s">
        <v>1805</v>
      </c>
      <c r="AF112" s="17"/>
      <c r="AG112" s="17"/>
      <c r="AH112" s="17"/>
      <c r="AI112" s="17"/>
      <c r="AJ112" s="17" t="s">
        <v>2191</v>
      </c>
      <c r="AK112" s="17"/>
      <c r="AL112" s="17" t="s">
        <v>2190</v>
      </c>
      <c r="AM112" s="17" t="s">
        <v>1975</v>
      </c>
      <c r="AN112" s="17" t="b">
        <v>0</v>
      </c>
      <c r="AO112" s="341"/>
      <c r="AP112" s="142"/>
      <c r="AQ112" s="142"/>
      <c r="AR112" s="142"/>
      <c r="AS112" s="142"/>
      <c r="AT112" s="342"/>
      <c r="AU112" s="17"/>
      <c r="AV112" s="341"/>
      <c r="AW112" s="17"/>
      <c r="AX112" s="17"/>
      <c r="AY112" s="17"/>
      <c r="AZ112" s="17"/>
      <c r="BA112" s="17" t="s">
        <v>373</v>
      </c>
      <c r="BB112" s="17" t="s">
        <v>1610</v>
      </c>
      <c r="BC112" s="17" t="s">
        <v>2192</v>
      </c>
      <c r="BD112" s="280"/>
      <c r="BE112" s="280"/>
      <c r="BF112" s="280"/>
      <c r="BG112" s="280"/>
    </row>
    <row r="113" spans="1:59" ht="45" customHeight="1">
      <c r="A113" s="271">
        <f t="shared" si="1"/>
        <v>112</v>
      </c>
      <c r="B113" s="343" t="s">
        <v>2373</v>
      </c>
      <c r="C113" s="348" t="s">
        <v>2374</v>
      </c>
      <c r="D113" s="345" t="s">
        <v>8</v>
      </c>
      <c r="E113" s="345" t="s">
        <v>9</v>
      </c>
      <c r="F113" s="37" t="s">
        <v>1759</v>
      </c>
      <c r="G113" s="337">
        <v>44271</v>
      </c>
      <c r="H113" s="337"/>
      <c r="I113" s="337"/>
      <c r="J113" s="345"/>
      <c r="K113" s="337"/>
      <c r="L113" s="215"/>
      <c r="M113" s="345"/>
      <c r="N113" s="345" t="s">
        <v>122</v>
      </c>
      <c r="O113" s="345"/>
      <c r="P113" s="349" t="s">
        <v>1554</v>
      </c>
      <c r="Q113" s="349" t="s">
        <v>2198</v>
      </c>
      <c r="R113" s="339">
        <v>44571.552210648151</v>
      </c>
      <c r="S113" s="215">
        <v>2021</v>
      </c>
      <c r="T113" s="215" t="s">
        <v>2001</v>
      </c>
      <c r="U113" s="350" t="s">
        <v>678</v>
      </c>
      <c r="V113" s="350" t="s">
        <v>679</v>
      </c>
      <c r="W113" s="17" t="s">
        <v>145</v>
      </c>
      <c r="X113" s="350" t="s">
        <v>309</v>
      </c>
      <c r="Y113" s="347">
        <v>45078</v>
      </c>
      <c r="Z113" s="171" t="s">
        <v>1875</v>
      </c>
      <c r="AA113" s="171"/>
      <c r="AB113" s="17" t="s">
        <v>139</v>
      </c>
      <c r="AC113" s="17" t="s">
        <v>1875</v>
      </c>
      <c r="AD113" s="17" t="s">
        <v>1805</v>
      </c>
      <c r="AE113" s="17" t="s">
        <v>1805</v>
      </c>
      <c r="AF113" s="171"/>
      <c r="AG113" s="171"/>
      <c r="AH113" s="17"/>
      <c r="AI113" s="17"/>
      <c r="AJ113" s="17" t="s">
        <v>2191</v>
      </c>
      <c r="AK113" s="17"/>
      <c r="AL113" s="17" t="s">
        <v>2190</v>
      </c>
      <c r="AM113" s="17" t="s">
        <v>1975</v>
      </c>
      <c r="AN113" s="17" t="b">
        <v>0</v>
      </c>
      <c r="AO113" s="341"/>
      <c r="AP113" s="142"/>
      <c r="AQ113" s="142"/>
      <c r="AR113" s="142"/>
      <c r="AS113" s="142"/>
      <c r="AT113" s="342"/>
      <c r="AU113" s="17"/>
      <c r="AV113" s="341"/>
      <c r="AW113" s="17"/>
      <c r="AX113" s="17"/>
      <c r="AY113" s="17"/>
      <c r="AZ113" s="17"/>
      <c r="BA113" s="17" t="s">
        <v>373</v>
      </c>
      <c r="BB113" s="17" t="s">
        <v>1610</v>
      </c>
      <c r="BC113" s="17" t="s">
        <v>2192</v>
      </c>
      <c r="BD113" s="280"/>
      <c r="BE113" s="280"/>
      <c r="BF113" s="280"/>
      <c r="BG113" s="280"/>
    </row>
    <row r="114" spans="1:59" ht="45" customHeight="1">
      <c r="A114" s="271">
        <f t="shared" si="1"/>
        <v>113</v>
      </c>
      <c r="B114" s="343" t="s">
        <v>2375</v>
      </c>
      <c r="C114" s="348" t="s">
        <v>2376</v>
      </c>
      <c r="D114" s="345" t="s">
        <v>8</v>
      </c>
      <c r="E114" s="345" t="s">
        <v>9</v>
      </c>
      <c r="F114" s="37" t="s">
        <v>1759</v>
      </c>
      <c r="G114" s="337">
        <v>44293</v>
      </c>
      <c r="H114" s="337"/>
      <c r="I114" s="337"/>
      <c r="J114" s="345"/>
      <c r="K114" s="337"/>
      <c r="L114" s="215"/>
      <c r="M114" s="345"/>
      <c r="N114" s="345" t="s">
        <v>122</v>
      </c>
      <c r="O114" s="345"/>
      <c r="P114" s="349" t="s">
        <v>1554</v>
      </c>
      <c r="Q114" s="349" t="s">
        <v>2198</v>
      </c>
      <c r="R114" s="339">
        <v>44571.552615740744</v>
      </c>
      <c r="S114" s="215">
        <v>2021</v>
      </c>
      <c r="T114" s="215" t="s">
        <v>2001</v>
      </c>
      <c r="U114" s="350" t="s">
        <v>678</v>
      </c>
      <c r="V114" s="350" t="s">
        <v>679</v>
      </c>
      <c r="W114" s="17" t="s">
        <v>145</v>
      </c>
      <c r="X114" s="350" t="s">
        <v>309</v>
      </c>
      <c r="Y114" s="347">
        <v>45078</v>
      </c>
      <c r="Z114" s="171" t="s">
        <v>1875</v>
      </c>
      <c r="AA114" s="171"/>
      <c r="AB114" s="17" t="s">
        <v>139</v>
      </c>
      <c r="AC114" s="17" t="s">
        <v>1875</v>
      </c>
      <c r="AD114" s="17" t="s">
        <v>1805</v>
      </c>
      <c r="AE114" s="17" t="s">
        <v>1805</v>
      </c>
      <c r="AF114" s="171"/>
      <c r="AG114" s="171"/>
      <c r="AH114" s="17"/>
      <c r="AI114" s="17"/>
      <c r="AJ114" s="17" t="s">
        <v>2191</v>
      </c>
      <c r="AK114" s="17"/>
      <c r="AL114" s="17" t="s">
        <v>2190</v>
      </c>
      <c r="AM114" s="17" t="s">
        <v>1975</v>
      </c>
      <c r="AN114" s="17" t="b">
        <v>0</v>
      </c>
      <c r="AO114" s="341"/>
      <c r="AP114" s="142"/>
      <c r="AQ114" s="142"/>
      <c r="AR114" s="142"/>
      <c r="AS114" s="142"/>
      <c r="AT114" s="342"/>
      <c r="AU114" s="17"/>
      <c r="AV114" s="341"/>
      <c r="AW114" s="17"/>
      <c r="AX114" s="17"/>
      <c r="AY114" s="17"/>
      <c r="AZ114" s="17"/>
      <c r="BA114" s="17" t="s">
        <v>373</v>
      </c>
      <c r="BB114" s="17" t="s">
        <v>1610</v>
      </c>
      <c r="BC114" s="17" t="s">
        <v>2192</v>
      </c>
      <c r="BD114" s="280"/>
      <c r="BE114" s="280"/>
      <c r="BF114" s="280"/>
      <c r="BG114" s="280"/>
    </row>
    <row r="115" spans="1:59" ht="45" customHeight="1">
      <c r="A115" s="271">
        <f t="shared" si="1"/>
        <v>114</v>
      </c>
      <c r="B115" s="343" t="s">
        <v>2377</v>
      </c>
      <c r="C115" s="348" t="s">
        <v>2378</v>
      </c>
      <c r="D115" s="345" t="s">
        <v>8</v>
      </c>
      <c r="E115" s="345" t="s">
        <v>9</v>
      </c>
      <c r="F115" s="37" t="s">
        <v>1759</v>
      </c>
      <c r="G115" s="337">
        <v>44293</v>
      </c>
      <c r="H115" s="337"/>
      <c r="I115" s="337"/>
      <c r="J115" s="345"/>
      <c r="K115" s="337"/>
      <c r="L115" s="215"/>
      <c r="M115" s="345"/>
      <c r="N115" s="345" t="s">
        <v>122</v>
      </c>
      <c r="O115" s="345"/>
      <c r="P115" s="349" t="s">
        <v>1554</v>
      </c>
      <c r="Q115" s="349" t="s">
        <v>2198</v>
      </c>
      <c r="R115" s="339">
        <v>44571.552997685183</v>
      </c>
      <c r="S115" s="215">
        <v>2021</v>
      </c>
      <c r="T115" s="215" t="s">
        <v>2001</v>
      </c>
      <c r="U115" s="350" t="s">
        <v>678</v>
      </c>
      <c r="V115" s="350" t="s">
        <v>679</v>
      </c>
      <c r="W115" s="17" t="s">
        <v>145</v>
      </c>
      <c r="X115" s="350" t="s">
        <v>309</v>
      </c>
      <c r="Y115" s="347">
        <v>45078</v>
      </c>
      <c r="Z115" s="171" t="s">
        <v>1875</v>
      </c>
      <c r="AA115" s="171"/>
      <c r="AB115" s="17" t="s">
        <v>139</v>
      </c>
      <c r="AC115" s="17" t="s">
        <v>1875</v>
      </c>
      <c r="AD115" s="17" t="s">
        <v>1805</v>
      </c>
      <c r="AE115" s="17" t="s">
        <v>1805</v>
      </c>
      <c r="AF115" s="171"/>
      <c r="AG115" s="171"/>
      <c r="AH115" s="17"/>
      <c r="AI115" s="17"/>
      <c r="AJ115" s="17" t="s">
        <v>2191</v>
      </c>
      <c r="AK115" s="17"/>
      <c r="AL115" s="17" t="s">
        <v>2190</v>
      </c>
      <c r="AM115" s="17" t="s">
        <v>1975</v>
      </c>
      <c r="AN115" s="17" t="b">
        <v>0</v>
      </c>
      <c r="AO115" s="341"/>
      <c r="AP115" s="142"/>
      <c r="AQ115" s="142"/>
      <c r="AR115" s="142"/>
      <c r="AS115" s="142"/>
      <c r="AT115" s="342"/>
      <c r="AU115" s="17"/>
      <c r="AV115" s="341"/>
      <c r="AW115" s="17"/>
      <c r="AX115" s="17"/>
      <c r="AY115" s="17"/>
      <c r="AZ115" s="17"/>
      <c r="BA115" s="17" t="s">
        <v>373</v>
      </c>
      <c r="BB115" s="17" t="s">
        <v>1610</v>
      </c>
      <c r="BC115" s="17" t="s">
        <v>2192</v>
      </c>
      <c r="BD115" s="280"/>
      <c r="BE115" s="280"/>
      <c r="BF115" s="280"/>
      <c r="BG115" s="280"/>
    </row>
    <row r="116" spans="1:59" ht="45" customHeight="1">
      <c r="A116" s="271">
        <f t="shared" si="1"/>
        <v>115</v>
      </c>
      <c r="B116" s="343" t="s">
        <v>2379</v>
      </c>
      <c r="C116" s="348" t="s">
        <v>2380</v>
      </c>
      <c r="D116" s="345" t="s">
        <v>8</v>
      </c>
      <c r="E116" s="345" t="s">
        <v>9</v>
      </c>
      <c r="F116" s="37" t="s">
        <v>1759</v>
      </c>
      <c r="G116" s="337">
        <v>44293</v>
      </c>
      <c r="H116" s="337"/>
      <c r="I116" s="337"/>
      <c r="J116" s="345"/>
      <c r="K116" s="337"/>
      <c r="L116" s="215"/>
      <c r="M116" s="345"/>
      <c r="N116" s="345" t="s">
        <v>122</v>
      </c>
      <c r="O116" s="345"/>
      <c r="P116" s="349" t="s">
        <v>1554</v>
      </c>
      <c r="Q116" s="349" t="s">
        <v>2198</v>
      </c>
      <c r="R116" s="339">
        <v>44571.553425925929</v>
      </c>
      <c r="S116" s="215">
        <v>2021</v>
      </c>
      <c r="T116" s="215" t="s">
        <v>2001</v>
      </c>
      <c r="U116" s="350" t="s">
        <v>678</v>
      </c>
      <c r="V116" s="350" t="s">
        <v>679</v>
      </c>
      <c r="W116" s="17" t="s">
        <v>145</v>
      </c>
      <c r="X116" s="350" t="s">
        <v>309</v>
      </c>
      <c r="Y116" s="347">
        <v>45078</v>
      </c>
      <c r="Z116" s="171" t="s">
        <v>1875</v>
      </c>
      <c r="AA116" s="171"/>
      <c r="AB116" s="17" t="s">
        <v>139</v>
      </c>
      <c r="AC116" s="17" t="s">
        <v>1875</v>
      </c>
      <c r="AD116" s="17" t="s">
        <v>1805</v>
      </c>
      <c r="AE116" s="17" t="s">
        <v>1805</v>
      </c>
      <c r="AF116" s="171"/>
      <c r="AG116" s="171"/>
      <c r="AH116" s="17"/>
      <c r="AI116" s="17"/>
      <c r="AJ116" s="17" t="s">
        <v>2191</v>
      </c>
      <c r="AK116" s="17"/>
      <c r="AL116" s="17" t="s">
        <v>2190</v>
      </c>
      <c r="AM116" s="17" t="s">
        <v>1975</v>
      </c>
      <c r="AN116" s="17" t="b">
        <v>0</v>
      </c>
      <c r="AO116" s="341"/>
      <c r="AP116" s="142"/>
      <c r="AQ116" s="142"/>
      <c r="AR116" s="142"/>
      <c r="AS116" s="142"/>
      <c r="AT116" s="342"/>
      <c r="AU116" s="17"/>
      <c r="AV116" s="341"/>
      <c r="AW116" s="17"/>
      <c r="AX116" s="17"/>
      <c r="AY116" s="17"/>
      <c r="AZ116" s="17"/>
      <c r="BA116" s="17" t="s">
        <v>373</v>
      </c>
      <c r="BB116" s="17" t="s">
        <v>1610</v>
      </c>
      <c r="BC116" s="17" t="s">
        <v>2192</v>
      </c>
      <c r="BD116" s="280"/>
      <c r="BE116" s="280"/>
      <c r="BF116" s="280"/>
      <c r="BG116" s="280"/>
    </row>
    <row r="117" spans="1:59" ht="45" customHeight="1">
      <c r="A117" s="271">
        <f t="shared" si="1"/>
        <v>116</v>
      </c>
      <c r="B117" s="343" t="s">
        <v>2381</v>
      </c>
      <c r="C117" s="348" t="s">
        <v>2382</v>
      </c>
      <c r="D117" s="345" t="s">
        <v>8</v>
      </c>
      <c r="E117" s="345" t="s">
        <v>9</v>
      </c>
      <c r="F117" s="37" t="s">
        <v>1759</v>
      </c>
      <c r="G117" s="337">
        <v>44293</v>
      </c>
      <c r="H117" s="337"/>
      <c r="I117" s="337"/>
      <c r="J117" s="345"/>
      <c r="K117" s="337"/>
      <c r="L117" s="339"/>
      <c r="M117" s="345"/>
      <c r="N117" s="345" t="s">
        <v>122</v>
      </c>
      <c r="O117" s="345"/>
      <c r="P117" s="349" t="s">
        <v>1554</v>
      </c>
      <c r="Q117" s="349" t="s">
        <v>2198</v>
      </c>
      <c r="R117" s="339">
        <v>44571.553749999999</v>
      </c>
      <c r="S117" s="215">
        <v>2021</v>
      </c>
      <c r="T117" s="349" t="s">
        <v>2001</v>
      </c>
      <c r="U117" s="350" t="s">
        <v>678</v>
      </c>
      <c r="V117" s="350" t="s">
        <v>679</v>
      </c>
      <c r="W117" s="350" t="s">
        <v>145</v>
      </c>
      <c r="X117" s="350" t="s">
        <v>309</v>
      </c>
      <c r="Y117" s="347">
        <v>45078</v>
      </c>
      <c r="Z117" s="171" t="s">
        <v>1875</v>
      </c>
      <c r="AA117" s="171"/>
      <c r="AB117" s="17" t="s">
        <v>139</v>
      </c>
      <c r="AC117" s="17" t="s">
        <v>1875</v>
      </c>
      <c r="AD117" s="17" t="s">
        <v>1805</v>
      </c>
      <c r="AE117" s="17" t="s">
        <v>1805</v>
      </c>
      <c r="AF117" s="171"/>
      <c r="AG117" s="171"/>
      <c r="AH117" s="17"/>
      <c r="AI117" s="17"/>
      <c r="AJ117" s="17" t="s">
        <v>2191</v>
      </c>
      <c r="AK117" s="17"/>
      <c r="AL117" s="17" t="s">
        <v>2190</v>
      </c>
      <c r="AM117" s="17" t="s">
        <v>1975</v>
      </c>
      <c r="AN117" s="17" t="b">
        <v>0</v>
      </c>
      <c r="AO117" s="341"/>
      <c r="AP117" s="142"/>
      <c r="AQ117" s="142"/>
      <c r="AR117" s="142"/>
      <c r="AS117" s="142"/>
      <c r="AT117" s="342"/>
      <c r="AU117" s="17"/>
      <c r="AV117" s="341"/>
      <c r="AW117" s="17"/>
      <c r="AX117" s="17"/>
      <c r="AY117" s="17"/>
      <c r="AZ117" s="17"/>
      <c r="BA117" s="17" t="s">
        <v>373</v>
      </c>
      <c r="BB117" s="17" t="s">
        <v>1610</v>
      </c>
      <c r="BC117" s="17" t="s">
        <v>2192</v>
      </c>
      <c r="BD117" s="280"/>
      <c r="BE117" s="280"/>
      <c r="BF117" s="280"/>
      <c r="BG117" s="280"/>
    </row>
    <row r="118" spans="1:59" ht="45" customHeight="1">
      <c r="A118" s="271">
        <f t="shared" si="1"/>
        <v>117</v>
      </c>
      <c r="B118" s="343" t="s">
        <v>2383</v>
      </c>
      <c r="C118" s="348" t="s">
        <v>2384</v>
      </c>
      <c r="D118" s="345" t="s">
        <v>8</v>
      </c>
      <c r="E118" s="345" t="s">
        <v>9</v>
      </c>
      <c r="F118" s="37" t="s">
        <v>1759</v>
      </c>
      <c r="G118" s="337">
        <v>44293</v>
      </c>
      <c r="H118" s="337"/>
      <c r="I118" s="337"/>
      <c r="J118" s="345"/>
      <c r="K118" s="337"/>
      <c r="L118" s="339"/>
      <c r="M118" s="345"/>
      <c r="N118" s="345" t="s">
        <v>122</v>
      </c>
      <c r="O118" s="345"/>
      <c r="P118" s="349" t="s">
        <v>1554</v>
      </c>
      <c r="Q118" s="349" t="s">
        <v>2198</v>
      </c>
      <c r="R118" s="339">
        <v>44571.554097222222</v>
      </c>
      <c r="S118" s="215">
        <v>2021</v>
      </c>
      <c r="T118" s="349" t="s">
        <v>2001</v>
      </c>
      <c r="U118" s="350" t="s">
        <v>678</v>
      </c>
      <c r="V118" s="350" t="s">
        <v>679</v>
      </c>
      <c r="W118" s="350" t="s">
        <v>145</v>
      </c>
      <c r="X118" s="350" t="s">
        <v>309</v>
      </c>
      <c r="Y118" s="347">
        <v>45078</v>
      </c>
      <c r="Z118" s="171" t="s">
        <v>1875</v>
      </c>
      <c r="AA118" s="171"/>
      <c r="AB118" s="17" t="s">
        <v>139</v>
      </c>
      <c r="AC118" s="17" t="s">
        <v>1875</v>
      </c>
      <c r="AD118" s="17" t="s">
        <v>1805</v>
      </c>
      <c r="AE118" s="17" t="s">
        <v>1805</v>
      </c>
      <c r="AF118" s="171"/>
      <c r="AG118" s="171"/>
      <c r="AH118" s="17"/>
      <c r="AI118" s="17"/>
      <c r="AJ118" s="17" t="s">
        <v>2191</v>
      </c>
      <c r="AK118" s="17"/>
      <c r="AL118" s="17" t="s">
        <v>2190</v>
      </c>
      <c r="AM118" s="17" t="s">
        <v>1975</v>
      </c>
      <c r="AN118" s="17" t="b">
        <v>0</v>
      </c>
      <c r="AO118" s="341"/>
      <c r="AP118" s="142"/>
      <c r="AQ118" s="142"/>
      <c r="AR118" s="142"/>
      <c r="AS118" s="142"/>
      <c r="AT118" s="342"/>
      <c r="AU118" s="17"/>
      <c r="AV118" s="341"/>
      <c r="AW118" s="17"/>
      <c r="AX118" s="17"/>
      <c r="AY118" s="17"/>
      <c r="AZ118" s="17"/>
      <c r="BA118" s="17" t="s">
        <v>373</v>
      </c>
      <c r="BB118" s="17" t="s">
        <v>1610</v>
      </c>
      <c r="BC118" s="17" t="s">
        <v>2192</v>
      </c>
      <c r="BD118" s="280"/>
      <c r="BE118" s="280"/>
      <c r="BF118" s="280"/>
      <c r="BG118" s="280"/>
    </row>
    <row r="119" spans="1:59" ht="45" customHeight="1">
      <c r="A119" s="271">
        <f t="shared" si="1"/>
        <v>118</v>
      </c>
      <c r="B119" s="343" t="s">
        <v>2387</v>
      </c>
      <c r="C119" s="348" t="s">
        <v>2388</v>
      </c>
      <c r="D119" s="345" t="s">
        <v>8</v>
      </c>
      <c r="E119" s="345" t="s">
        <v>9</v>
      </c>
      <c r="F119" s="37" t="s">
        <v>1759</v>
      </c>
      <c r="G119" s="337">
        <v>44293</v>
      </c>
      <c r="H119" s="337"/>
      <c r="I119" s="337"/>
      <c r="J119" s="345"/>
      <c r="K119" s="337"/>
      <c r="L119" s="339"/>
      <c r="M119" s="345"/>
      <c r="N119" s="345" t="s">
        <v>122</v>
      </c>
      <c r="O119" s="345"/>
      <c r="P119" s="349" t="s">
        <v>1554</v>
      </c>
      <c r="Q119" s="349" t="s">
        <v>2198</v>
      </c>
      <c r="R119" s="339">
        <v>44571.554768518516</v>
      </c>
      <c r="S119" s="215">
        <v>2021</v>
      </c>
      <c r="T119" s="349" t="s">
        <v>2001</v>
      </c>
      <c r="U119" s="350" t="s">
        <v>678</v>
      </c>
      <c r="V119" s="350" t="s">
        <v>679</v>
      </c>
      <c r="W119" s="350" t="s">
        <v>145</v>
      </c>
      <c r="X119" s="350" t="s">
        <v>309</v>
      </c>
      <c r="Y119" s="347">
        <v>45078</v>
      </c>
      <c r="Z119" s="171" t="s">
        <v>1875</v>
      </c>
      <c r="AA119" s="171"/>
      <c r="AB119" s="17" t="s">
        <v>139</v>
      </c>
      <c r="AC119" s="17" t="s">
        <v>1875</v>
      </c>
      <c r="AD119" s="17" t="s">
        <v>1805</v>
      </c>
      <c r="AE119" s="17" t="s">
        <v>1805</v>
      </c>
      <c r="AF119" s="171"/>
      <c r="AG119" s="171"/>
      <c r="AH119" s="17"/>
      <c r="AI119" s="17"/>
      <c r="AJ119" s="17" t="s">
        <v>2191</v>
      </c>
      <c r="AK119" s="17"/>
      <c r="AL119" s="17" t="s">
        <v>2190</v>
      </c>
      <c r="AM119" s="17" t="s">
        <v>1975</v>
      </c>
      <c r="AN119" s="17" t="b">
        <v>0</v>
      </c>
      <c r="AO119" s="341"/>
      <c r="AP119" s="142"/>
      <c r="AQ119" s="142"/>
      <c r="AR119" s="142"/>
      <c r="AS119" s="142"/>
      <c r="AT119" s="342"/>
      <c r="AU119" s="17"/>
      <c r="AV119" s="341"/>
      <c r="AW119" s="17"/>
      <c r="AX119" s="17"/>
      <c r="AY119" s="17"/>
      <c r="AZ119" s="17"/>
      <c r="BA119" s="17" t="s">
        <v>373</v>
      </c>
      <c r="BB119" s="17" t="s">
        <v>1610</v>
      </c>
      <c r="BC119" s="17" t="s">
        <v>2192</v>
      </c>
      <c r="BD119" s="280"/>
      <c r="BE119" s="280"/>
      <c r="BF119" s="280"/>
      <c r="BG119" s="280"/>
    </row>
    <row r="120" spans="1:59" ht="45" customHeight="1">
      <c r="A120" s="271">
        <f t="shared" si="1"/>
        <v>119</v>
      </c>
      <c r="B120" s="343" t="s">
        <v>2385</v>
      </c>
      <c r="C120" s="348" t="s">
        <v>2389</v>
      </c>
      <c r="D120" s="345" t="s">
        <v>8</v>
      </c>
      <c r="E120" s="345" t="s">
        <v>9</v>
      </c>
      <c r="F120" s="37" t="s">
        <v>1759</v>
      </c>
      <c r="G120" s="337">
        <v>44713</v>
      </c>
      <c r="H120" s="337"/>
      <c r="I120" s="337"/>
      <c r="J120" s="345"/>
      <c r="K120" s="337"/>
      <c r="L120" s="339"/>
      <c r="M120" s="345"/>
      <c r="N120" s="345" t="s">
        <v>122</v>
      </c>
      <c r="O120" s="345"/>
      <c r="P120" s="349" t="s">
        <v>1554</v>
      </c>
      <c r="Q120" s="349" t="s">
        <v>2198</v>
      </c>
      <c r="R120" s="339">
        <v>44571.555300925924</v>
      </c>
      <c r="S120" s="215">
        <v>2022</v>
      </c>
      <c r="T120" s="349" t="s">
        <v>2001</v>
      </c>
      <c r="U120" s="350" t="s">
        <v>678</v>
      </c>
      <c r="V120" s="350" t="s">
        <v>679</v>
      </c>
      <c r="W120" s="350" t="s">
        <v>145</v>
      </c>
      <c r="X120" s="350" t="s">
        <v>309</v>
      </c>
      <c r="Y120" s="347">
        <v>45078</v>
      </c>
      <c r="Z120" s="171" t="s">
        <v>1875</v>
      </c>
      <c r="AA120" s="171"/>
      <c r="AB120" s="17" t="s">
        <v>139</v>
      </c>
      <c r="AC120" s="17" t="s">
        <v>1875</v>
      </c>
      <c r="AD120" s="17" t="s">
        <v>1805</v>
      </c>
      <c r="AE120" s="17" t="s">
        <v>1805</v>
      </c>
      <c r="AF120" s="171"/>
      <c r="AG120" s="171"/>
      <c r="AH120" s="17"/>
      <c r="AI120" s="17"/>
      <c r="AJ120" s="17" t="s">
        <v>2191</v>
      </c>
      <c r="AK120" s="17"/>
      <c r="AL120" s="17" t="s">
        <v>2190</v>
      </c>
      <c r="AM120" s="17" t="s">
        <v>1975</v>
      </c>
      <c r="AN120" s="17" t="b">
        <v>0</v>
      </c>
      <c r="AO120" s="341"/>
      <c r="AP120" s="142"/>
      <c r="AQ120" s="142"/>
      <c r="AR120" s="142"/>
      <c r="AS120" s="142"/>
      <c r="AT120" s="342"/>
      <c r="AU120" s="17"/>
      <c r="AV120" s="341"/>
      <c r="AW120" s="17"/>
      <c r="AX120" s="17"/>
      <c r="AY120" s="17"/>
      <c r="AZ120" s="17"/>
      <c r="BA120" s="17" t="s">
        <v>373</v>
      </c>
      <c r="BB120" s="17" t="s">
        <v>1610</v>
      </c>
      <c r="BC120" s="17" t="s">
        <v>2192</v>
      </c>
      <c r="BD120" s="280"/>
      <c r="BE120" s="280"/>
      <c r="BF120" s="280"/>
      <c r="BG120" s="280"/>
    </row>
    <row r="121" spans="1:59" ht="45" customHeight="1">
      <c r="A121" s="271">
        <f t="shared" si="1"/>
        <v>120</v>
      </c>
      <c r="B121" s="276" t="s">
        <v>2822</v>
      </c>
      <c r="C121" s="277" t="s">
        <v>2823</v>
      </c>
      <c r="D121" s="277" t="s">
        <v>8</v>
      </c>
      <c r="E121" s="277" t="s">
        <v>9</v>
      </c>
      <c r="F121" s="277" t="s">
        <v>1759</v>
      </c>
      <c r="G121" s="307">
        <v>44830</v>
      </c>
      <c r="H121" s="308"/>
      <c r="I121" s="308"/>
      <c r="J121" s="277"/>
      <c r="K121" s="279"/>
      <c r="L121" s="277" t="s">
        <v>2479</v>
      </c>
      <c r="M121" s="277" t="s">
        <v>2479</v>
      </c>
      <c r="N121" s="277" t="s">
        <v>122</v>
      </c>
      <c r="O121" s="277" t="s">
        <v>2479</v>
      </c>
      <c r="P121" s="277" t="s">
        <v>1554</v>
      </c>
      <c r="Q121" s="277" t="s">
        <v>2198</v>
      </c>
      <c r="R121" s="279">
        <v>44630.544699074075</v>
      </c>
      <c r="S121" s="286">
        <v>2022</v>
      </c>
      <c r="T121" s="277" t="s">
        <v>2001</v>
      </c>
      <c r="U121" s="277" t="s">
        <v>678</v>
      </c>
      <c r="V121" s="277" t="s">
        <v>679</v>
      </c>
      <c r="W121" s="277" t="s">
        <v>145</v>
      </c>
      <c r="X121" s="277" t="s">
        <v>309</v>
      </c>
      <c r="Y121" s="278">
        <v>45078</v>
      </c>
      <c r="Z121" s="287" t="s">
        <v>1875</v>
      </c>
      <c r="AA121" s="287" t="s">
        <v>2479</v>
      </c>
      <c r="AB121" s="287" t="s">
        <v>139</v>
      </c>
      <c r="AC121" s="287" t="s">
        <v>1875</v>
      </c>
      <c r="AD121" s="287" t="s">
        <v>1805</v>
      </c>
      <c r="AE121" s="287" t="s">
        <v>1805</v>
      </c>
      <c r="AF121" s="287" t="s">
        <v>2479</v>
      </c>
      <c r="AG121" s="287" t="s">
        <v>2479</v>
      </c>
      <c r="AH121" s="287" t="s">
        <v>2479</v>
      </c>
      <c r="AI121" s="287" t="s">
        <v>2479</v>
      </c>
      <c r="AJ121" s="304" t="s">
        <v>2191</v>
      </c>
      <c r="AK121" s="287" t="s">
        <v>2479</v>
      </c>
      <c r="AL121" s="304" t="s">
        <v>2190</v>
      </c>
      <c r="AM121" s="289" t="s">
        <v>1975</v>
      </c>
      <c r="AN121" s="281" t="b">
        <v>0</v>
      </c>
      <c r="AO121" s="305"/>
      <c r="AP121" s="291"/>
      <c r="AQ121" s="291"/>
      <c r="AR121" s="291"/>
      <c r="AS121" s="291"/>
      <c r="AT121" s="291"/>
      <c r="AU121" s="291"/>
      <c r="AV121" s="305"/>
      <c r="AW121" s="281"/>
      <c r="AX121" s="281"/>
      <c r="AY121" s="289" t="s">
        <v>2479</v>
      </c>
      <c r="AZ121" s="289" t="s">
        <v>2479</v>
      </c>
      <c r="BA121" s="289" t="s">
        <v>373</v>
      </c>
      <c r="BB121" s="289" t="s">
        <v>1610</v>
      </c>
      <c r="BC121" s="292" t="s">
        <v>2192</v>
      </c>
      <c r="BD121" s="280"/>
      <c r="BE121" s="280"/>
      <c r="BF121" s="280"/>
      <c r="BG121" s="280"/>
    </row>
    <row r="122" spans="1:59" ht="45" customHeight="1">
      <c r="A122" s="271">
        <f t="shared" si="1"/>
        <v>121</v>
      </c>
      <c r="B122" s="284" t="s">
        <v>2373</v>
      </c>
      <c r="C122" s="270" t="s">
        <v>3706</v>
      </c>
      <c r="D122" s="270" t="s">
        <v>8</v>
      </c>
      <c r="E122" s="270" t="s">
        <v>9</v>
      </c>
      <c r="F122" s="270" t="s">
        <v>1759</v>
      </c>
      <c r="G122" s="302">
        <v>45017</v>
      </c>
      <c r="L122" s="270" t="s">
        <v>2479</v>
      </c>
      <c r="M122" s="270" t="s">
        <v>2479</v>
      </c>
      <c r="N122" s="272" t="s">
        <v>122</v>
      </c>
      <c r="O122" s="270" t="s">
        <v>2479</v>
      </c>
      <c r="P122" s="270" t="s">
        <v>1554</v>
      </c>
      <c r="Q122" s="270" t="s">
        <v>2198</v>
      </c>
      <c r="R122" s="306" t="s">
        <v>3707</v>
      </c>
      <c r="S122" s="285">
        <v>2023</v>
      </c>
      <c r="T122" s="270" t="s">
        <v>2001</v>
      </c>
      <c r="U122" s="270" t="s">
        <v>678</v>
      </c>
      <c r="V122" s="270" t="s">
        <v>679</v>
      </c>
      <c r="W122" s="270" t="s">
        <v>145</v>
      </c>
      <c r="X122" s="270" t="s">
        <v>309</v>
      </c>
      <c r="Y122" s="273">
        <v>45078</v>
      </c>
      <c r="Z122" s="288" t="s">
        <v>1875</v>
      </c>
      <c r="AA122" s="288" t="s">
        <v>2479</v>
      </c>
      <c r="AB122" s="288" t="s">
        <v>139</v>
      </c>
      <c r="AC122" s="288" t="s">
        <v>1875</v>
      </c>
      <c r="AD122" s="288" t="s">
        <v>1805</v>
      </c>
      <c r="AE122" s="288" t="s">
        <v>1805</v>
      </c>
      <c r="AF122" s="288" t="s">
        <v>2479</v>
      </c>
      <c r="AG122" s="288" t="s">
        <v>2479</v>
      </c>
      <c r="AH122" s="288" t="s">
        <v>2479</v>
      </c>
      <c r="AI122" s="288" t="s">
        <v>2479</v>
      </c>
      <c r="AJ122" s="303" t="s">
        <v>2191</v>
      </c>
      <c r="AK122" s="288" t="s">
        <v>2479</v>
      </c>
      <c r="AL122" s="303" t="s">
        <v>2190</v>
      </c>
      <c r="AM122" s="288" t="s">
        <v>1975</v>
      </c>
      <c r="AN122" s="207" t="b">
        <v>0</v>
      </c>
      <c r="AY122" s="288" t="s">
        <v>2479</v>
      </c>
      <c r="AZ122" s="288" t="s">
        <v>2479</v>
      </c>
      <c r="BA122" s="288" t="s">
        <v>373</v>
      </c>
      <c r="BB122" s="288" t="s">
        <v>1610</v>
      </c>
      <c r="BC122" s="288" t="s">
        <v>2192</v>
      </c>
      <c r="BD122" s="280"/>
      <c r="BE122" s="280"/>
      <c r="BF122" s="280"/>
      <c r="BG122" s="280"/>
    </row>
    <row r="123" spans="1:59" ht="45" customHeight="1">
      <c r="A123" s="271">
        <f t="shared" si="1"/>
        <v>122</v>
      </c>
      <c r="B123" s="284" t="s">
        <v>2375</v>
      </c>
      <c r="C123" s="270" t="s">
        <v>3708</v>
      </c>
      <c r="D123" s="270" t="s">
        <v>8</v>
      </c>
      <c r="E123" s="270" t="s">
        <v>9</v>
      </c>
      <c r="F123" s="270" t="s">
        <v>1759</v>
      </c>
      <c r="G123" s="302">
        <v>45022</v>
      </c>
      <c r="L123" s="270" t="s">
        <v>2479</v>
      </c>
      <c r="M123" s="270" t="s">
        <v>2479</v>
      </c>
      <c r="N123" s="272" t="s">
        <v>122</v>
      </c>
      <c r="O123" s="270" t="s">
        <v>2479</v>
      </c>
      <c r="P123" s="270" t="s">
        <v>1554</v>
      </c>
      <c r="Q123" s="270" t="s">
        <v>2198</v>
      </c>
      <c r="R123" s="306" t="s">
        <v>3709</v>
      </c>
      <c r="S123" s="285">
        <v>2023</v>
      </c>
      <c r="T123" s="270" t="s">
        <v>2001</v>
      </c>
      <c r="U123" s="270" t="s">
        <v>678</v>
      </c>
      <c r="V123" s="270" t="s">
        <v>679</v>
      </c>
      <c r="W123" s="270" t="s">
        <v>145</v>
      </c>
      <c r="X123" s="270" t="s">
        <v>309</v>
      </c>
      <c r="Y123" s="273">
        <v>45078</v>
      </c>
      <c r="Z123" s="288" t="s">
        <v>1875</v>
      </c>
      <c r="AA123" s="288" t="s">
        <v>2479</v>
      </c>
      <c r="AB123" s="288" t="s">
        <v>139</v>
      </c>
      <c r="AC123" s="288" t="s">
        <v>1875</v>
      </c>
      <c r="AD123" s="288" t="s">
        <v>1805</v>
      </c>
      <c r="AE123" s="288" t="s">
        <v>1805</v>
      </c>
      <c r="AF123" s="288" t="s">
        <v>2479</v>
      </c>
      <c r="AG123" s="288" t="s">
        <v>2479</v>
      </c>
      <c r="AH123" s="288" t="s">
        <v>2479</v>
      </c>
      <c r="AI123" s="288" t="s">
        <v>2479</v>
      </c>
      <c r="AJ123" s="303" t="s">
        <v>2191</v>
      </c>
      <c r="AK123" s="288" t="s">
        <v>2479</v>
      </c>
      <c r="AL123" s="303" t="s">
        <v>2190</v>
      </c>
      <c r="AM123" s="288" t="s">
        <v>1975</v>
      </c>
      <c r="AN123" s="207" t="b">
        <v>0</v>
      </c>
      <c r="AY123" s="288" t="s">
        <v>2479</v>
      </c>
      <c r="AZ123" s="288" t="s">
        <v>2479</v>
      </c>
      <c r="BA123" s="288" t="s">
        <v>373</v>
      </c>
      <c r="BB123" s="288" t="s">
        <v>1610</v>
      </c>
      <c r="BC123" s="288" t="s">
        <v>2192</v>
      </c>
      <c r="BD123" s="280"/>
      <c r="BE123" s="280"/>
      <c r="BF123" s="280"/>
      <c r="BG123" s="280"/>
    </row>
    <row r="124" spans="1:59" ht="45" customHeight="1">
      <c r="A124" s="271">
        <f t="shared" si="1"/>
        <v>123</v>
      </c>
      <c r="B124" s="284" t="s">
        <v>3933</v>
      </c>
      <c r="C124" s="270" t="s">
        <v>3934</v>
      </c>
      <c r="D124" s="270" t="s">
        <v>8</v>
      </c>
      <c r="E124" s="270" t="s">
        <v>9</v>
      </c>
      <c r="F124" s="270" t="s">
        <v>1759</v>
      </c>
      <c r="G124" s="302">
        <v>42748</v>
      </c>
      <c r="I124" s="306">
        <v>45082</v>
      </c>
      <c r="J124" s="270" t="s">
        <v>2904</v>
      </c>
      <c r="L124" s="270" t="s">
        <v>2479</v>
      </c>
      <c r="M124" s="270" t="s">
        <v>2479</v>
      </c>
      <c r="N124" s="272" t="s">
        <v>122</v>
      </c>
      <c r="O124" s="270" t="s">
        <v>2479</v>
      </c>
      <c r="P124" s="270" t="s">
        <v>1556</v>
      </c>
      <c r="Q124" s="270" t="s">
        <v>2198</v>
      </c>
      <c r="R124" s="306">
        <v>44992.487488425926</v>
      </c>
      <c r="S124" s="285">
        <v>2017</v>
      </c>
      <c r="T124" s="270" t="s">
        <v>2001</v>
      </c>
      <c r="U124" s="270" t="s">
        <v>678</v>
      </c>
      <c r="V124" s="270" t="s">
        <v>679</v>
      </c>
      <c r="W124" s="270" t="s">
        <v>145</v>
      </c>
      <c r="X124" s="270" t="s">
        <v>309</v>
      </c>
      <c r="Y124" s="273">
        <v>45078</v>
      </c>
      <c r="Z124" s="288" t="s">
        <v>1875</v>
      </c>
      <c r="AA124" s="288" t="s">
        <v>2479</v>
      </c>
      <c r="AB124" s="288" t="s">
        <v>139</v>
      </c>
      <c r="AC124" s="288" t="s">
        <v>1875</v>
      </c>
      <c r="AD124" s="288" t="s">
        <v>1805</v>
      </c>
      <c r="AE124" s="288" t="s">
        <v>1805</v>
      </c>
      <c r="AF124" s="288" t="s">
        <v>2479</v>
      </c>
      <c r="AG124" s="288" t="s">
        <v>2479</v>
      </c>
      <c r="AH124" s="288" t="s">
        <v>2479</v>
      </c>
      <c r="AI124" s="288" t="s">
        <v>2479</v>
      </c>
      <c r="AJ124" s="303" t="s">
        <v>2191</v>
      </c>
      <c r="AK124" s="288" t="s">
        <v>2479</v>
      </c>
      <c r="AL124" s="303" t="s">
        <v>2190</v>
      </c>
      <c r="AM124" s="288" t="s">
        <v>1975</v>
      </c>
      <c r="AN124" s="207" t="b">
        <v>0</v>
      </c>
      <c r="AY124" s="288" t="s">
        <v>2479</v>
      </c>
      <c r="AZ124" s="288" t="s">
        <v>2479</v>
      </c>
      <c r="BA124" s="288" t="s">
        <v>373</v>
      </c>
      <c r="BB124" s="288" t="s">
        <v>139</v>
      </c>
      <c r="BC124" s="288" t="s">
        <v>2192</v>
      </c>
      <c r="BD124" s="280"/>
      <c r="BE124" s="280"/>
      <c r="BF124" s="280"/>
      <c r="BG124" s="280"/>
    </row>
    <row r="125" spans="1:59" ht="45" customHeight="1">
      <c r="A125" s="271">
        <f t="shared" si="1"/>
        <v>124</v>
      </c>
      <c r="B125" s="284" t="s">
        <v>3945</v>
      </c>
      <c r="C125" s="270" t="s">
        <v>3946</v>
      </c>
      <c r="D125" s="270" t="s">
        <v>8</v>
      </c>
      <c r="E125" s="270" t="s">
        <v>9</v>
      </c>
      <c r="F125" s="270" t="s">
        <v>1759</v>
      </c>
      <c r="G125" s="302">
        <v>44928</v>
      </c>
      <c r="I125" s="306">
        <v>45092</v>
      </c>
      <c r="J125" s="270" t="s">
        <v>2904</v>
      </c>
      <c r="L125" s="270" t="s">
        <v>2479</v>
      </c>
      <c r="M125" s="270" t="s">
        <v>2479</v>
      </c>
      <c r="N125" s="272" t="s">
        <v>122</v>
      </c>
      <c r="O125" s="270" t="s">
        <v>2479</v>
      </c>
      <c r="P125" s="270" t="s">
        <v>1556</v>
      </c>
      <c r="Q125" s="270" t="s">
        <v>2198</v>
      </c>
      <c r="R125" s="306">
        <v>44992.493935185186</v>
      </c>
      <c r="S125" s="285">
        <v>2023</v>
      </c>
      <c r="T125" s="270" t="s">
        <v>2001</v>
      </c>
      <c r="U125" s="270" t="s">
        <v>678</v>
      </c>
      <c r="V125" s="270" t="s">
        <v>679</v>
      </c>
      <c r="W125" s="270" t="s">
        <v>145</v>
      </c>
      <c r="X125" s="270" t="s">
        <v>309</v>
      </c>
      <c r="Y125" s="273">
        <v>45078</v>
      </c>
      <c r="Z125" s="288" t="s">
        <v>1875</v>
      </c>
      <c r="AA125" s="288" t="s">
        <v>2479</v>
      </c>
      <c r="AB125" s="288" t="s">
        <v>139</v>
      </c>
      <c r="AC125" s="288" t="s">
        <v>1875</v>
      </c>
      <c r="AD125" s="288" t="s">
        <v>1805</v>
      </c>
      <c r="AE125" s="288" t="s">
        <v>1805</v>
      </c>
      <c r="AF125" s="288" t="s">
        <v>2479</v>
      </c>
      <c r="AG125" s="288" t="s">
        <v>2479</v>
      </c>
      <c r="AH125" s="288" t="s">
        <v>2479</v>
      </c>
      <c r="AI125" s="288" t="s">
        <v>2479</v>
      </c>
      <c r="AJ125" s="303" t="s">
        <v>2191</v>
      </c>
      <c r="AK125" s="288" t="s">
        <v>2479</v>
      </c>
      <c r="AL125" s="303" t="s">
        <v>2190</v>
      </c>
      <c r="AM125" s="288" t="s">
        <v>1975</v>
      </c>
      <c r="AN125" s="207" t="b">
        <v>0</v>
      </c>
      <c r="AY125" s="288" t="s">
        <v>2479</v>
      </c>
      <c r="AZ125" s="288" t="s">
        <v>2479</v>
      </c>
      <c r="BA125" s="288" t="s">
        <v>373</v>
      </c>
      <c r="BB125" s="288" t="s">
        <v>139</v>
      </c>
      <c r="BC125" s="288" t="s">
        <v>2192</v>
      </c>
      <c r="BD125" s="280"/>
      <c r="BE125" s="280"/>
      <c r="BF125" s="280"/>
      <c r="BG125" s="280"/>
    </row>
    <row r="126" spans="1:59" ht="45" customHeight="1">
      <c r="A126" s="271">
        <f t="shared" si="1"/>
        <v>125</v>
      </c>
      <c r="B126" s="343" t="s">
        <v>2390</v>
      </c>
      <c r="C126" s="348" t="s">
        <v>2391</v>
      </c>
      <c r="D126" s="345" t="s">
        <v>8</v>
      </c>
      <c r="E126" s="345" t="s">
        <v>9</v>
      </c>
      <c r="F126" s="37" t="s">
        <v>1765</v>
      </c>
      <c r="G126" s="337">
        <v>38142</v>
      </c>
      <c r="H126" s="337">
        <v>44020</v>
      </c>
      <c r="I126" s="337"/>
      <c r="J126" s="351"/>
      <c r="K126" s="337"/>
      <c r="L126" s="339"/>
      <c r="M126" s="345"/>
      <c r="N126" s="345" t="s">
        <v>98</v>
      </c>
      <c r="O126" s="345" t="s">
        <v>3080</v>
      </c>
      <c r="P126" s="349" t="s">
        <v>1554</v>
      </c>
      <c r="Q126" s="345" t="s">
        <v>2198</v>
      </c>
      <c r="R126" s="339">
        <v>44932.475775462961</v>
      </c>
      <c r="S126" s="215">
        <v>2004</v>
      </c>
      <c r="T126" s="345" t="s">
        <v>2001</v>
      </c>
      <c r="U126" s="346" t="s">
        <v>678</v>
      </c>
      <c r="V126" s="346" t="s">
        <v>679</v>
      </c>
      <c r="W126" s="346" t="s">
        <v>145</v>
      </c>
      <c r="X126" s="346" t="s">
        <v>309</v>
      </c>
      <c r="Y126" s="347">
        <v>45078</v>
      </c>
      <c r="Z126" s="171" t="s">
        <v>1875</v>
      </c>
      <c r="AA126" s="17"/>
      <c r="AB126" s="17" t="s">
        <v>139</v>
      </c>
      <c r="AC126" s="17" t="s">
        <v>1875</v>
      </c>
      <c r="AD126" s="17" t="s">
        <v>1805</v>
      </c>
      <c r="AE126" s="17" t="s">
        <v>1805</v>
      </c>
      <c r="AF126" s="171"/>
      <c r="AG126" s="171"/>
      <c r="AH126" s="17"/>
      <c r="AI126" s="17"/>
      <c r="AJ126" s="17" t="s">
        <v>2191</v>
      </c>
      <c r="AK126" s="17"/>
      <c r="AL126" s="17" t="s">
        <v>2190</v>
      </c>
      <c r="AM126" s="17" t="s">
        <v>1975</v>
      </c>
      <c r="AN126" s="17" t="b">
        <v>0</v>
      </c>
      <c r="AO126" s="341"/>
      <c r="AP126" s="142"/>
      <c r="AQ126" s="142"/>
      <c r="AR126" s="142"/>
      <c r="AS126" s="142"/>
      <c r="AT126" s="342"/>
      <c r="AU126" s="17"/>
      <c r="AV126" s="341"/>
      <c r="AW126" s="17"/>
      <c r="AX126" s="17"/>
      <c r="AY126" s="17"/>
      <c r="AZ126" s="17"/>
      <c r="BA126" s="17" t="s">
        <v>373</v>
      </c>
      <c r="BB126" s="17" t="s">
        <v>1610</v>
      </c>
      <c r="BC126" s="17" t="s">
        <v>2192</v>
      </c>
      <c r="BD126" s="280"/>
      <c r="BE126" s="280"/>
      <c r="BF126" s="280"/>
      <c r="BG126" s="280"/>
    </row>
    <row r="127" spans="1:59" ht="45" customHeight="1">
      <c r="A127" s="271">
        <f t="shared" si="1"/>
        <v>126</v>
      </c>
      <c r="B127" s="343" t="s">
        <v>2392</v>
      </c>
      <c r="C127" s="348" t="s">
        <v>2393</v>
      </c>
      <c r="D127" s="345" t="s">
        <v>8</v>
      </c>
      <c r="E127" s="345" t="s">
        <v>9</v>
      </c>
      <c r="F127" s="37" t="s">
        <v>1765</v>
      </c>
      <c r="G127" s="337">
        <v>40851</v>
      </c>
      <c r="H127" s="337">
        <v>44020</v>
      </c>
      <c r="I127" s="337"/>
      <c r="J127" s="345"/>
      <c r="K127" s="337"/>
      <c r="L127" s="215"/>
      <c r="M127" s="345"/>
      <c r="N127" s="345" t="s">
        <v>98</v>
      </c>
      <c r="O127" s="345" t="s">
        <v>3080</v>
      </c>
      <c r="P127" s="349" t="s">
        <v>1554</v>
      </c>
      <c r="Q127" s="349" t="s">
        <v>2198</v>
      </c>
      <c r="R127" s="339">
        <v>44603.5940625</v>
      </c>
      <c r="S127" s="215">
        <v>2011</v>
      </c>
      <c r="T127" s="215" t="s">
        <v>2001</v>
      </c>
      <c r="U127" s="350" t="s">
        <v>678</v>
      </c>
      <c r="V127" s="350" t="s">
        <v>679</v>
      </c>
      <c r="W127" s="17" t="s">
        <v>145</v>
      </c>
      <c r="X127" s="350" t="s">
        <v>309</v>
      </c>
      <c r="Y127" s="347">
        <v>45078</v>
      </c>
      <c r="Z127" s="171" t="s">
        <v>1875</v>
      </c>
      <c r="AA127" s="171"/>
      <c r="AB127" s="17" t="s">
        <v>139</v>
      </c>
      <c r="AC127" s="17" t="s">
        <v>1875</v>
      </c>
      <c r="AD127" s="17" t="s">
        <v>1805</v>
      </c>
      <c r="AE127" s="17" t="s">
        <v>1805</v>
      </c>
      <c r="AF127" s="171"/>
      <c r="AG127" s="171"/>
      <c r="AH127" s="17"/>
      <c r="AI127" s="17"/>
      <c r="AJ127" s="17" t="s">
        <v>2191</v>
      </c>
      <c r="AK127" s="17"/>
      <c r="AL127" s="17" t="s">
        <v>2190</v>
      </c>
      <c r="AM127" s="17" t="s">
        <v>1975</v>
      </c>
      <c r="AN127" s="17" t="b">
        <v>0</v>
      </c>
      <c r="AO127" s="341"/>
      <c r="AP127" s="142"/>
      <c r="AQ127" s="142"/>
      <c r="AR127" s="142"/>
      <c r="AS127" s="142"/>
      <c r="AT127" s="342"/>
      <c r="AU127" s="17"/>
      <c r="AV127" s="341"/>
      <c r="AW127" s="17"/>
      <c r="AX127" s="17"/>
      <c r="AY127" s="17"/>
      <c r="AZ127" s="17"/>
      <c r="BA127" s="17" t="s">
        <v>373</v>
      </c>
      <c r="BB127" s="17" t="s">
        <v>1610</v>
      </c>
      <c r="BC127" s="17" t="s">
        <v>2192</v>
      </c>
      <c r="BD127" s="280"/>
      <c r="BE127" s="280"/>
      <c r="BF127" s="280"/>
      <c r="BG127" s="280"/>
    </row>
    <row r="128" spans="1:59" ht="45" customHeight="1">
      <c r="A128" s="271">
        <f t="shared" si="1"/>
        <v>127</v>
      </c>
      <c r="B128" s="343" t="s">
        <v>2394</v>
      </c>
      <c r="C128" s="344" t="s">
        <v>2395</v>
      </c>
      <c r="D128" s="345" t="s">
        <v>8</v>
      </c>
      <c r="E128" s="345" t="s">
        <v>9</v>
      </c>
      <c r="F128" s="37" t="s">
        <v>1765</v>
      </c>
      <c r="G128" s="337">
        <v>41388</v>
      </c>
      <c r="H128" s="337">
        <v>44020</v>
      </c>
      <c r="I128" s="337"/>
      <c r="J128" s="345"/>
      <c r="K128" s="337"/>
      <c r="L128" s="345"/>
      <c r="M128" s="345"/>
      <c r="N128" s="345" t="s">
        <v>131</v>
      </c>
      <c r="O128" s="345" t="s">
        <v>3080</v>
      </c>
      <c r="P128" s="345" t="s">
        <v>1554</v>
      </c>
      <c r="Q128" s="345" t="s">
        <v>2198</v>
      </c>
      <c r="R128" s="339">
        <v>44603.594224537039</v>
      </c>
      <c r="S128" s="215">
        <v>2013</v>
      </c>
      <c r="T128" s="345" t="s">
        <v>2001</v>
      </c>
      <c r="U128" s="346" t="s">
        <v>678</v>
      </c>
      <c r="V128" s="346" t="s">
        <v>679</v>
      </c>
      <c r="W128" s="346" t="s">
        <v>145</v>
      </c>
      <c r="X128" s="346" t="s">
        <v>309</v>
      </c>
      <c r="Y128" s="347">
        <v>45078</v>
      </c>
      <c r="Z128" s="17" t="s">
        <v>1875</v>
      </c>
      <c r="AA128" s="17"/>
      <c r="AB128" s="17" t="s">
        <v>139</v>
      </c>
      <c r="AC128" s="17" t="s">
        <v>1875</v>
      </c>
      <c r="AD128" s="17" t="s">
        <v>1805</v>
      </c>
      <c r="AE128" s="17" t="s">
        <v>1805</v>
      </c>
      <c r="AF128" s="17"/>
      <c r="AG128" s="17"/>
      <c r="AH128" s="17"/>
      <c r="AI128" s="17"/>
      <c r="AJ128" s="17" t="s">
        <v>2191</v>
      </c>
      <c r="AK128" s="17"/>
      <c r="AL128" s="17" t="s">
        <v>2190</v>
      </c>
      <c r="AM128" s="17" t="s">
        <v>1975</v>
      </c>
      <c r="AN128" s="17" t="b">
        <v>0</v>
      </c>
      <c r="AO128" s="341"/>
      <c r="AP128" s="142"/>
      <c r="AQ128" s="142"/>
      <c r="AR128" s="142"/>
      <c r="AS128" s="142"/>
      <c r="AT128" s="342"/>
      <c r="AU128" s="17"/>
      <c r="AV128" s="341"/>
      <c r="AW128" s="17"/>
      <c r="AX128" s="17"/>
      <c r="AY128" s="17"/>
      <c r="AZ128" s="17"/>
      <c r="BA128" s="17" t="s">
        <v>373</v>
      </c>
      <c r="BB128" s="17" t="s">
        <v>1610</v>
      </c>
      <c r="BC128" s="17" t="s">
        <v>2192</v>
      </c>
      <c r="BD128" s="280"/>
      <c r="BE128" s="280"/>
      <c r="BF128" s="280"/>
      <c r="BG128" s="280"/>
    </row>
    <row r="129" spans="1:59" ht="45" customHeight="1">
      <c r="A129" s="271">
        <f t="shared" si="1"/>
        <v>128</v>
      </c>
      <c r="B129" s="284" t="s">
        <v>3483</v>
      </c>
      <c r="C129" s="270" t="s">
        <v>3484</v>
      </c>
      <c r="D129" s="270" t="s">
        <v>8</v>
      </c>
      <c r="E129" s="270" t="s">
        <v>9</v>
      </c>
      <c r="F129" s="270" t="s">
        <v>1765</v>
      </c>
      <c r="G129" s="302">
        <v>42051</v>
      </c>
      <c r="I129" s="306">
        <v>44966</v>
      </c>
      <c r="J129" s="270" t="s">
        <v>3165</v>
      </c>
      <c r="L129" s="270" t="s">
        <v>2479</v>
      </c>
      <c r="M129" s="270" t="s">
        <v>2479</v>
      </c>
      <c r="N129" s="272" t="s">
        <v>122</v>
      </c>
      <c r="O129" s="270" t="s">
        <v>2479</v>
      </c>
      <c r="P129" s="270" t="s">
        <v>1554</v>
      </c>
      <c r="Q129" s="270" t="s">
        <v>2198</v>
      </c>
      <c r="R129" s="306" t="s">
        <v>3485</v>
      </c>
      <c r="S129" s="285">
        <v>2015</v>
      </c>
      <c r="T129" s="270" t="s">
        <v>2001</v>
      </c>
      <c r="U129" s="270" t="s">
        <v>678</v>
      </c>
      <c r="V129" s="270" t="s">
        <v>679</v>
      </c>
      <c r="W129" s="270" t="s">
        <v>145</v>
      </c>
      <c r="X129" s="270" t="s">
        <v>309</v>
      </c>
      <c r="Y129" s="273">
        <v>45078</v>
      </c>
      <c r="Z129" s="288" t="s">
        <v>1875</v>
      </c>
      <c r="AA129" s="288" t="s">
        <v>2479</v>
      </c>
      <c r="AB129" s="288" t="s">
        <v>139</v>
      </c>
      <c r="AC129" s="288" t="s">
        <v>1875</v>
      </c>
      <c r="AD129" s="288" t="s">
        <v>1805</v>
      </c>
      <c r="AE129" s="288" t="s">
        <v>1805</v>
      </c>
      <c r="AF129" s="288" t="s">
        <v>2479</v>
      </c>
      <c r="AG129" s="288" t="s">
        <v>2479</v>
      </c>
      <c r="AH129" s="288" t="s">
        <v>2479</v>
      </c>
      <c r="AI129" s="288" t="s">
        <v>2479</v>
      </c>
      <c r="AJ129" s="303" t="s">
        <v>2191</v>
      </c>
      <c r="AK129" s="288" t="s">
        <v>2479</v>
      </c>
      <c r="AL129" s="303" t="s">
        <v>2190</v>
      </c>
      <c r="AM129" s="288" t="s">
        <v>1975</v>
      </c>
      <c r="AN129" s="207" t="b">
        <v>0</v>
      </c>
      <c r="AY129" s="288" t="s">
        <v>2479</v>
      </c>
      <c r="AZ129" s="288" t="s">
        <v>2479</v>
      </c>
      <c r="BA129" s="288" t="s">
        <v>373</v>
      </c>
      <c r="BB129" s="288" t="s">
        <v>1610</v>
      </c>
      <c r="BC129" s="288" t="s">
        <v>2192</v>
      </c>
      <c r="BD129" s="280"/>
      <c r="BE129" s="280"/>
      <c r="BF129" s="280"/>
      <c r="BG129" s="280"/>
    </row>
    <row r="130" spans="1:59" ht="45" customHeight="1">
      <c r="A130" s="271">
        <f t="shared" si="1"/>
        <v>129</v>
      </c>
      <c r="B130" s="343" t="s">
        <v>2396</v>
      </c>
      <c r="C130" s="348" t="s">
        <v>2397</v>
      </c>
      <c r="D130" s="345" t="s">
        <v>8</v>
      </c>
      <c r="E130" s="345" t="s">
        <v>9</v>
      </c>
      <c r="F130" s="37" t="s">
        <v>1765</v>
      </c>
      <c r="G130" s="337">
        <v>42692</v>
      </c>
      <c r="H130" s="337">
        <v>44020</v>
      </c>
      <c r="I130" s="337"/>
      <c r="J130" s="345"/>
      <c r="K130" s="337"/>
      <c r="L130" s="339"/>
      <c r="M130" s="345"/>
      <c r="N130" s="345" t="s">
        <v>131</v>
      </c>
      <c r="O130" s="345" t="s">
        <v>3080</v>
      </c>
      <c r="P130" s="349" t="s">
        <v>1554</v>
      </c>
      <c r="Q130" s="349" t="s">
        <v>2198</v>
      </c>
      <c r="R130" s="339">
        <v>44603.594375000001</v>
      </c>
      <c r="S130" s="215">
        <v>2016</v>
      </c>
      <c r="T130" s="349" t="s">
        <v>2001</v>
      </c>
      <c r="U130" s="350" t="s">
        <v>678</v>
      </c>
      <c r="V130" s="350" t="s">
        <v>679</v>
      </c>
      <c r="W130" s="350" t="s">
        <v>145</v>
      </c>
      <c r="X130" s="350" t="s">
        <v>309</v>
      </c>
      <c r="Y130" s="347">
        <v>45078</v>
      </c>
      <c r="Z130" s="171" t="s">
        <v>1875</v>
      </c>
      <c r="AA130" s="171"/>
      <c r="AB130" s="17" t="s">
        <v>139</v>
      </c>
      <c r="AC130" s="17" t="s">
        <v>1875</v>
      </c>
      <c r="AD130" s="17" t="s">
        <v>1805</v>
      </c>
      <c r="AE130" s="17" t="s">
        <v>1805</v>
      </c>
      <c r="AF130" s="171"/>
      <c r="AG130" s="171"/>
      <c r="AH130" s="17"/>
      <c r="AI130" s="17"/>
      <c r="AJ130" s="17" t="s">
        <v>2191</v>
      </c>
      <c r="AK130" s="17"/>
      <c r="AL130" s="17" t="s">
        <v>2190</v>
      </c>
      <c r="AM130" s="17" t="s">
        <v>1975</v>
      </c>
      <c r="AN130" s="17" t="b">
        <v>0</v>
      </c>
      <c r="AO130" s="341"/>
      <c r="AP130" s="142"/>
      <c r="AQ130" s="142"/>
      <c r="AR130" s="142"/>
      <c r="AS130" s="142"/>
      <c r="AT130" s="342"/>
      <c r="AU130" s="17"/>
      <c r="AV130" s="341"/>
      <c r="AW130" s="17"/>
      <c r="AX130" s="17"/>
      <c r="AY130" s="17"/>
      <c r="AZ130" s="17"/>
      <c r="BA130" s="17" t="s">
        <v>373</v>
      </c>
      <c r="BB130" s="17" t="s">
        <v>1610</v>
      </c>
      <c r="BC130" s="17" t="s">
        <v>2192</v>
      </c>
      <c r="BD130" s="280"/>
      <c r="BE130" s="280"/>
      <c r="BF130" s="280"/>
      <c r="BG130" s="280"/>
    </row>
    <row r="131" spans="1:59" ht="45" customHeight="1">
      <c r="A131" s="271">
        <f t="shared" ref="A131:A194" si="2">ROW()-1</f>
        <v>130</v>
      </c>
      <c r="B131" s="343" t="s">
        <v>2400</v>
      </c>
      <c r="C131" s="344" t="s">
        <v>2401</v>
      </c>
      <c r="D131" s="345" t="s">
        <v>8</v>
      </c>
      <c r="E131" s="345" t="s">
        <v>9</v>
      </c>
      <c r="F131" s="37" t="s">
        <v>1765</v>
      </c>
      <c r="G131" s="337">
        <v>44110</v>
      </c>
      <c r="H131" s="337"/>
      <c r="I131" s="337"/>
      <c r="J131" s="345"/>
      <c r="K131" s="337"/>
      <c r="L131" s="345"/>
      <c r="M131" s="345"/>
      <c r="N131" s="345" t="s">
        <v>122</v>
      </c>
      <c r="O131" s="345"/>
      <c r="P131" s="345" t="s">
        <v>1554</v>
      </c>
      <c r="Q131" s="345" t="s">
        <v>2198</v>
      </c>
      <c r="R131" s="339">
        <v>44571.581192129626</v>
      </c>
      <c r="S131" s="215">
        <v>2020</v>
      </c>
      <c r="T131" s="345" t="s">
        <v>2001</v>
      </c>
      <c r="U131" s="346" t="s">
        <v>678</v>
      </c>
      <c r="V131" s="346" t="s">
        <v>679</v>
      </c>
      <c r="W131" s="346" t="s">
        <v>145</v>
      </c>
      <c r="X131" s="346" t="s">
        <v>309</v>
      </c>
      <c r="Y131" s="347">
        <v>45078</v>
      </c>
      <c r="Z131" s="17" t="s">
        <v>1875</v>
      </c>
      <c r="AA131" s="17"/>
      <c r="AB131" s="17" t="s">
        <v>139</v>
      </c>
      <c r="AC131" s="17" t="s">
        <v>1875</v>
      </c>
      <c r="AD131" s="17" t="s">
        <v>1805</v>
      </c>
      <c r="AE131" s="17" t="s">
        <v>1805</v>
      </c>
      <c r="AF131" s="17"/>
      <c r="AG131" s="17"/>
      <c r="AH131" s="17"/>
      <c r="AI131" s="17"/>
      <c r="AJ131" s="17" t="s">
        <v>2191</v>
      </c>
      <c r="AK131" s="17"/>
      <c r="AL131" s="17" t="s">
        <v>2190</v>
      </c>
      <c r="AM131" s="17" t="s">
        <v>1975</v>
      </c>
      <c r="AN131" s="17" t="b">
        <v>0</v>
      </c>
      <c r="AO131" s="341"/>
      <c r="AP131" s="142"/>
      <c r="AQ131" s="142"/>
      <c r="AR131" s="142"/>
      <c r="AS131" s="142"/>
      <c r="AT131" s="342"/>
      <c r="AU131" s="17"/>
      <c r="AV131" s="341"/>
      <c r="AW131" s="17"/>
      <c r="AX131" s="17"/>
      <c r="AY131" s="17"/>
      <c r="AZ131" s="17"/>
      <c r="BA131" s="17" t="s">
        <v>373</v>
      </c>
      <c r="BB131" s="17" t="s">
        <v>1610</v>
      </c>
      <c r="BC131" s="17" t="s">
        <v>2192</v>
      </c>
      <c r="BD131" s="280"/>
      <c r="BE131" s="280"/>
      <c r="BF131" s="280"/>
      <c r="BG131" s="280"/>
    </row>
    <row r="132" spans="1:59" ht="45" customHeight="1">
      <c r="A132" s="271">
        <f t="shared" si="2"/>
        <v>131</v>
      </c>
      <c r="B132" s="284" t="s">
        <v>3511</v>
      </c>
      <c r="C132" s="270" t="s">
        <v>3512</v>
      </c>
      <c r="D132" s="270" t="s">
        <v>8</v>
      </c>
      <c r="E132" s="270" t="s">
        <v>9</v>
      </c>
      <c r="F132" s="270" t="s">
        <v>1765</v>
      </c>
      <c r="G132" s="302">
        <v>44137</v>
      </c>
      <c r="I132" s="306">
        <v>45006</v>
      </c>
      <c r="J132" s="270" t="s">
        <v>2904</v>
      </c>
      <c r="L132" s="270" t="s">
        <v>2479</v>
      </c>
      <c r="M132" s="270" t="s">
        <v>2479</v>
      </c>
      <c r="N132" s="272" t="s">
        <v>122</v>
      </c>
      <c r="O132" s="270" t="s">
        <v>2479</v>
      </c>
      <c r="P132" s="270" t="s">
        <v>1554</v>
      </c>
      <c r="Q132" s="270" t="s">
        <v>2198</v>
      </c>
      <c r="R132" s="306" t="s">
        <v>3513</v>
      </c>
      <c r="S132" s="285">
        <v>2020</v>
      </c>
      <c r="T132" s="270" t="s">
        <v>2001</v>
      </c>
      <c r="U132" s="270" t="s">
        <v>678</v>
      </c>
      <c r="V132" s="270" t="s">
        <v>679</v>
      </c>
      <c r="W132" s="270" t="s">
        <v>145</v>
      </c>
      <c r="X132" s="270" t="s">
        <v>309</v>
      </c>
      <c r="Y132" s="273">
        <v>45078</v>
      </c>
      <c r="Z132" s="288" t="s">
        <v>1875</v>
      </c>
      <c r="AA132" s="288" t="s">
        <v>2479</v>
      </c>
      <c r="AB132" s="288" t="s">
        <v>139</v>
      </c>
      <c r="AC132" s="288" t="s">
        <v>1875</v>
      </c>
      <c r="AD132" s="288" t="s">
        <v>1805</v>
      </c>
      <c r="AE132" s="288" t="s">
        <v>1805</v>
      </c>
      <c r="AF132" s="288" t="s">
        <v>2479</v>
      </c>
      <c r="AG132" s="288" t="s">
        <v>2479</v>
      </c>
      <c r="AH132" s="288" t="s">
        <v>2479</v>
      </c>
      <c r="AI132" s="288" t="s">
        <v>2479</v>
      </c>
      <c r="AJ132" s="303" t="s">
        <v>2191</v>
      </c>
      <c r="AK132" s="288" t="s">
        <v>2479</v>
      </c>
      <c r="AL132" s="303" t="s">
        <v>2190</v>
      </c>
      <c r="AM132" s="288" t="s">
        <v>1975</v>
      </c>
      <c r="AN132" s="207" t="b">
        <v>0</v>
      </c>
      <c r="AY132" s="288" t="s">
        <v>2479</v>
      </c>
      <c r="AZ132" s="288" t="s">
        <v>2479</v>
      </c>
      <c r="BA132" s="288" t="s">
        <v>373</v>
      </c>
      <c r="BB132" s="288" t="s">
        <v>1610</v>
      </c>
      <c r="BC132" s="288" t="s">
        <v>2192</v>
      </c>
      <c r="BD132" s="280"/>
      <c r="BE132" s="280"/>
      <c r="BF132" s="280"/>
      <c r="BG132" s="280"/>
    </row>
    <row r="133" spans="1:59" ht="45" customHeight="1">
      <c r="A133" s="271">
        <f t="shared" si="2"/>
        <v>132</v>
      </c>
      <c r="B133" s="343" t="s">
        <v>2402</v>
      </c>
      <c r="C133" s="348" t="s">
        <v>2403</v>
      </c>
      <c r="D133" s="345" t="s">
        <v>8</v>
      </c>
      <c r="E133" s="345" t="s">
        <v>9</v>
      </c>
      <c r="F133" s="37" t="s">
        <v>1765</v>
      </c>
      <c r="G133" s="337">
        <v>44140</v>
      </c>
      <c r="H133" s="337"/>
      <c r="I133" s="337"/>
      <c r="J133" s="345"/>
      <c r="K133" s="337"/>
      <c r="L133" s="339"/>
      <c r="M133" s="345"/>
      <c r="N133" s="345" t="s">
        <v>122</v>
      </c>
      <c r="O133" s="345"/>
      <c r="P133" s="349" t="s">
        <v>1554</v>
      </c>
      <c r="Q133" s="349" t="s">
        <v>2198</v>
      </c>
      <c r="R133" s="339">
        <v>44571.581701388888</v>
      </c>
      <c r="S133" s="215">
        <v>2020</v>
      </c>
      <c r="T133" s="349" t="s">
        <v>2001</v>
      </c>
      <c r="U133" s="350" t="s">
        <v>678</v>
      </c>
      <c r="V133" s="350" t="s">
        <v>679</v>
      </c>
      <c r="W133" s="350" t="s">
        <v>145</v>
      </c>
      <c r="X133" s="350" t="s">
        <v>309</v>
      </c>
      <c r="Y133" s="347">
        <v>45078</v>
      </c>
      <c r="Z133" s="171" t="s">
        <v>1875</v>
      </c>
      <c r="AA133" s="171"/>
      <c r="AB133" s="17" t="s">
        <v>139</v>
      </c>
      <c r="AC133" s="17" t="s">
        <v>1875</v>
      </c>
      <c r="AD133" s="17" t="s">
        <v>1805</v>
      </c>
      <c r="AE133" s="17" t="s">
        <v>1805</v>
      </c>
      <c r="AF133" s="171"/>
      <c r="AG133" s="171"/>
      <c r="AH133" s="17"/>
      <c r="AI133" s="17"/>
      <c r="AJ133" s="17" t="s">
        <v>2191</v>
      </c>
      <c r="AK133" s="17"/>
      <c r="AL133" s="17" t="s">
        <v>2190</v>
      </c>
      <c r="AM133" s="17" t="s">
        <v>1975</v>
      </c>
      <c r="AN133" s="17" t="b">
        <v>0</v>
      </c>
      <c r="AO133" s="341"/>
      <c r="AP133" s="142"/>
      <c r="AQ133" s="142"/>
      <c r="AR133" s="142"/>
      <c r="AS133" s="142"/>
      <c r="AT133" s="342"/>
      <c r="AU133" s="17"/>
      <c r="AV133" s="341"/>
      <c r="AW133" s="17"/>
      <c r="AX133" s="17"/>
      <c r="AY133" s="17"/>
      <c r="AZ133" s="17"/>
      <c r="BA133" s="17" t="s">
        <v>373</v>
      </c>
      <c r="BB133" s="17" t="s">
        <v>1610</v>
      </c>
      <c r="BC133" s="17" t="s">
        <v>2192</v>
      </c>
      <c r="BD133" s="280"/>
      <c r="BE133" s="280"/>
      <c r="BF133" s="280"/>
      <c r="BG133" s="280"/>
    </row>
    <row r="134" spans="1:59" ht="45" customHeight="1">
      <c r="A134" s="271">
        <f>ROW()-1</f>
        <v>133</v>
      </c>
      <c r="B134" s="284" t="s">
        <v>3522</v>
      </c>
      <c r="C134" s="270" t="s">
        <v>3523</v>
      </c>
      <c r="D134" s="270" t="s">
        <v>8</v>
      </c>
      <c r="E134" s="270" t="s">
        <v>9</v>
      </c>
      <c r="F134" s="270" t="s">
        <v>1765</v>
      </c>
      <c r="G134" s="302">
        <v>44161</v>
      </c>
      <c r="I134" s="306">
        <v>45006</v>
      </c>
      <c r="J134" s="270" t="s">
        <v>2904</v>
      </c>
      <c r="K134" s="306">
        <v>45104</v>
      </c>
      <c r="L134" s="270" t="s">
        <v>2193</v>
      </c>
      <c r="M134" s="270" t="s">
        <v>115</v>
      </c>
      <c r="N134" s="272" t="s">
        <v>2479</v>
      </c>
      <c r="O134" s="270" t="s">
        <v>2479</v>
      </c>
      <c r="P134" s="270" t="s">
        <v>1554</v>
      </c>
      <c r="Q134" s="270" t="s">
        <v>2198</v>
      </c>
      <c r="R134" s="306">
        <v>44992.63863425926</v>
      </c>
      <c r="S134" s="285">
        <v>2020</v>
      </c>
      <c r="T134" s="270" t="s">
        <v>2194</v>
      </c>
      <c r="U134" s="270" t="s">
        <v>678</v>
      </c>
      <c r="V134" s="270" t="s">
        <v>679</v>
      </c>
      <c r="W134" s="270" t="s">
        <v>145</v>
      </c>
      <c r="X134" s="270" t="s">
        <v>309</v>
      </c>
      <c r="Y134" s="273">
        <v>45078</v>
      </c>
      <c r="Z134" s="288" t="s">
        <v>1875</v>
      </c>
      <c r="AA134" s="288" t="s">
        <v>2479</v>
      </c>
      <c r="AB134" s="288" t="s">
        <v>139</v>
      </c>
      <c r="AC134" s="288" t="s">
        <v>1875</v>
      </c>
      <c r="AD134" s="288" t="s">
        <v>1805</v>
      </c>
      <c r="AE134" s="288" t="s">
        <v>1805</v>
      </c>
      <c r="AF134" s="288" t="s">
        <v>2479</v>
      </c>
      <c r="AG134" s="288" t="s">
        <v>2479</v>
      </c>
      <c r="AH134" s="288" t="s">
        <v>2479</v>
      </c>
      <c r="AI134" s="288" t="s">
        <v>2479</v>
      </c>
      <c r="AJ134" s="303" t="s">
        <v>2191</v>
      </c>
      <c r="AK134" s="288" t="s">
        <v>2479</v>
      </c>
      <c r="AL134" s="303" t="s">
        <v>2190</v>
      </c>
      <c r="AM134" s="288" t="s">
        <v>1975</v>
      </c>
      <c r="AN134" s="207" t="b">
        <v>0</v>
      </c>
      <c r="AY134" s="288" t="s">
        <v>2479</v>
      </c>
      <c r="AZ134" s="288" t="s">
        <v>2479</v>
      </c>
      <c r="BA134" s="288" t="s">
        <v>373</v>
      </c>
      <c r="BB134" s="288" t="s">
        <v>139</v>
      </c>
      <c r="BC134" s="288" t="s">
        <v>2192</v>
      </c>
      <c r="BD134" s="280"/>
      <c r="BE134" s="280"/>
      <c r="BF134" s="280"/>
      <c r="BG134" s="280"/>
    </row>
    <row r="135" spans="1:59" ht="45" customHeight="1">
      <c r="A135" s="271">
        <f>ROW()-1</f>
        <v>134</v>
      </c>
      <c r="B135" s="284" t="s">
        <v>3509</v>
      </c>
      <c r="C135" s="270" t="s">
        <v>3510</v>
      </c>
      <c r="D135" s="270" t="s">
        <v>8</v>
      </c>
      <c r="E135" s="270" t="s">
        <v>9</v>
      </c>
      <c r="F135" s="270" t="s">
        <v>1765</v>
      </c>
      <c r="G135" s="302">
        <v>44162</v>
      </c>
      <c r="I135" s="306">
        <v>45007</v>
      </c>
      <c r="J135" s="270" t="s">
        <v>2904</v>
      </c>
      <c r="K135" s="306">
        <v>45104</v>
      </c>
      <c r="L135" s="270" t="s">
        <v>2193</v>
      </c>
      <c r="M135" s="270" t="s">
        <v>115</v>
      </c>
      <c r="N135" s="272" t="s">
        <v>2479</v>
      </c>
      <c r="O135" s="270" t="s">
        <v>2479</v>
      </c>
      <c r="P135" s="270" t="s">
        <v>1554</v>
      </c>
      <c r="Q135" s="270" t="s">
        <v>2198</v>
      </c>
      <c r="R135" s="306">
        <v>44992.623263888891</v>
      </c>
      <c r="S135" s="285">
        <v>2020</v>
      </c>
      <c r="T135" s="270" t="s">
        <v>2194</v>
      </c>
      <c r="U135" s="270" t="s">
        <v>678</v>
      </c>
      <c r="V135" s="270" t="s">
        <v>679</v>
      </c>
      <c r="W135" s="270" t="s">
        <v>145</v>
      </c>
      <c r="X135" s="270" t="s">
        <v>309</v>
      </c>
      <c r="Y135" s="273">
        <v>45078</v>
      </c>
      <c r="Z135" s="288" t="s">
        <v>1875</v>
      </c>
      <c r="AA135" s="288" t="s">
        <v>2479</v>
      </c>
      <c r="AB135" s="288" t="s">
        <v>139</v>
      </c>
      <c r="AC135" s="288" t="s">
        <v>1875</v>
      </c>
      <c r="AD135" s="288" t="s">
        <v>1805</v>
      </c>
      <c r="AE135" s="288" t="s">
        <v>1805</v>
      </c>
      <c r="AF135" s="288" t="s">
        <v>2479</v>
      </c>
      <c r="AG135" s="288" t="s">
        <v>2479</v>
      </c>
      <c r="AH135" s="288" t="s">
        <v>2479</v>
      </c>
      <c r="AI135" s="288" t="s">
        <v>2479</v>
      </c>
      <c r="AJ135" s="303" t="s">
        <v>2191</v>
      </c>
      <c r="AK135" s="288" t="s">
        <v>2479</v>
      </c>
      <c r="AL135" s="303" t="s">
        <v>2190</v>
      </c>
      <c r="AM135" s="288" t="s">
        <v>1975</v>
      </c>
      <c r="AN135" s="207" t="b">
        <v>0</v>
      </c>
      <c r="AY135" s="288" t="s">
        <v>2479</v>
      </c>
      <c r="AZ135" s="288" t="s">
        <v>2479</v>
      </c>
      <c r="BA135" s="288" t="s">
        <v>373</v>
      </c>
      <c r="BB135" s="288" t="s">
        <v>139</v>
      </c>
      <c r="BC135" s="288" t="s">
        <v>2192</v>
      </c>
      <c r="BD135" s="280"/>
      <c r="BE135" s="280"/>
      <c r="BF135" s="280"/>
      <c r="BG135" s="280"/>
    </row>
    <row r="136" spans="1:59" ht="45" customHeight="1">
      <c r="A136" s="271">
        <f t="shared" si="2"/>
        <v>135</v>
      </c>
      <c r="B136" s="284" t="s">
        <v>3517</v>
      </c>
      <c r="C136" s="270" t="s">
        <v>3518</v>
      </c>
      <c r="D136" s="270" t="s">
        <v>8</v>
      </c>
      <c r="E136" s="270" t="s">
        <v>9</v>
      </c>
      <c r="F136" s="270" t="s">
        <v>1765</v>
      </c>
      <c r="G136" s="302">
        <v>44167</v>
      </c>
      <c r="I136" s="306">
        <v>45006</v>
      </c>
      <c r="J136" s="270" t="s">
        <v>2904</v>
      </c>
      <c r="L136" s="270" t="s">
        <v>2479</v>
      </c>
      <c r="M136" s="270" t="s">
        <v>2479</v>
      </c>
      <c r="N136" s="272" t="s">
        <v>122</v>
      </c>
      <c r="O136" s="270" t="s">
        <v>2479</v>
      </c>
      <c r="P136" s="270" t="s">
        <v>1554</v>
      </c>
      <c r="Q136" s="270" t="s">
        <v>2198</v>
      </c>
      <c r="R136" s="306" t="s">
        <v>3519</v>
      </c>
      <c r="S136" s="285">
        <v>2020</v>
      </c>
      <c r="T136" s="270" t="s">
        <v>2001</v>
      </c>
      <c r="U136" s="270" t="s">
        <v>678</v>
      </c>
      <c r="V136" s="270" t="s">
        <v>679</v>
      </c>
      <c r="W136" s="270" t="s">
        <v>145</v>
      </c>
      <c r="X136" s="270" t="s">
        <v>309</v>
      </c>
      <c r="Y136" s="273">
        <v>45078</v>
      </c>
      <c r="Z136" s="288" t="s">
        <v>1875</v>
      </c>
      <c r="AA136" s="288" t="s">
        <v>2479</v>
      </c>
      <c r="AB136" s="288" t="s">
        <v>139</v>
      </c>
      <c r="AC136" s="288" t="s">
        <v>1875</v>
      </c>
      <c r="AD136" s="288" t="s">
        <v>1805</v>
      </c>
      <c r="AE136" s="288" t="s">
        <v>1805</v>
      </c>
      <c r="AF136" s="288" t="s">
        <v>2479</v>
      </c>
      <c r="AG136" s="288" t="s">
        <v>2479</v>
      </c>
      <c r="AH136" s="288" t="s">
        <v>2479</v>
      </c>
      <c r="AI136" s="288" t="s">
        <v>2479</v>
      </c>
      <c r="AJ136" s="303" t="s">
        <v>2191</v>
      </c>
      <c r="AK136" s="288" t="s">
        <v>2479</v>
      </c>
      <c r="AL136" s="303" t="s">
        <v>2190</v>
      </c>
      <c r="AM136" s="288" t="s">
        <v>1975</v>
      </c>
      <c r="AN136" s="207" t="b">
        <v>0</v>
      </c>
      <c r="AY136" s="288" t="s">
        <v>2479</v>
      </c>
      <c r="AZ136" s="288" t="s">
        <v>2479</v>
      </c>
      <c r="BA136" s="288" t="s">
        <v>373</v>
      </c>
      <c r="BB136" s="288" t="s">
        <v>1610</v>
      </c>
      <c r="BC136" s="288" t="s">
        <v>2192</v>
      </c>
      <c r="BD136" s="280"/>
      <c r="BE136" s="280"/>
      <c r="BF136" s="280"/>
      <c r="BG136" s="280"/>
    </row>
    <row r="137" spans="1:59" ht="45" customHeight="1">
      <c r="A137" s="271">
        <f>ROW()-1</f>
        <v>136</v>
      </c>
      <c r="B137" s="284" t="s">
        <v>3520</v>
      </c>
      <c r="C137" s="270" t="s">
        <v>3521</v>
      </c>
      <c r="D137" s="270" t="s">
        <v>8</v>
      </c>
      <c r="E137" s="270" t="s">
        <v>9</v>
      </c>
      <c r="F137" s="270" t="s">
        <v>1765</v>
      </c>
      <c r="G137" s="302">
        <v>44198</v>
      </c>
      <c r="I137" s="306">
        <v>45006</v>
      </c>
      <c r="J137" s="270" t="s">
        <v>2904</v>
      </c>
      <c r="K137" s="306">
        <v>45104</v>
      </c>
      <c r="L137" s="270" t="s">
        <v>2193</v>
      </c>
      <c r="M137" s="270" t="s">
        <v>115</v>
      </c>
      <c r="N137" s="272" t="s">
        <v>2479</v>
      </c>
      <c r="O137" s="270" t="s">
        <v>2479</v>
      </c>
      <c r="P137" s="270" t="s">
        <v>1554</v>
      </c>
      <c r="Q137" s="270" t="s">
        <v>2198</v>
      </c>
      <c r="R137" s="306">
        <v>44992.633194444446</v>
      </c>
      <c r="S137" s="285">
        <v>2021</v>
      </c>
      <c r="T137" s="270" t="s">
        <v>2194</v>
      </c>
      <c r="U137" s="270" t="s">
        <v>678</v>
      </c>
      <c r="V137" s="270" t="s">
        <v>679</v>
      </c>
      <c r="W137" s="270" t="s">
        <v>145</v>
      </c>
      <c r="X137" s="270" t="s">
        <v>309</v>
      </c>
      <c r="Y137" s="273">
        <v>45078</v>
      </c>
      <c r="Z137" s="288" t="s">
        <v>1875</v>
      </c>
      <c r="AA137" s="288" t="s">
        <v>2479</v>
      </c>
      <c r="AB137" s="288" t="s">
        <v>139</v>
      </c>
      <c r="AC137" s="288" t="s">
        <v>1875</v>
      </c>
      <c r="AD137" s="288" t="s">
        <v>1805</v>
      </c>
      <c r="AE137" s="288" t="s">
        <v>1805</v>
      </c>
      <c r="AF137" s="288" t="s">
        <v>2479</v>
      </c>
      <c r="AG137" s="288" t="s">
        <v>2479</v>
      </c>
      <c r="AH137" s="288" t="s">
        <v>2479</v>
      </c>
      <c r="AI137" s="288" t="s">
        <v>2479</v>
      </c>
      <c r="AJ137" s="303" t="s">
        <v>2191</v>
      </c>
      <c r="AK137" s="288" t="s">
        <v>2479</v>
      </c>
      <c r="AL137" s="303" t="s">
        <v>2190</v>
      </c>
      <c r="AM137" s="288" t="s">
        <v>1975</v>
      </c>
      <c r="AN137" s="207" t="b">
        <v>0</v>
      </c>
      <c r="AY137" s="288" t="s">
        <v>2479</v>
      </c>
      <c r="AZ137" s="288" t="s">
        <v>2479</v>
      </c>
      <c r="BA137" s="288" t="s">
        <v>373</v>
      </c>
      <c r="BB137" s="288" t="s">
        <v>139</v>
      </c>
      <c r="BC137" s="288" t="s">
        <v>2192</v>
      </c>
      <c r="BD137" s="280"/>
      <c r="BE137" s="280"/>
      <c r="BF137" s="280"/>
      <c r="BG137" s="280"/>
    </row>
    <row r="138" spans="1:59" ht="45" customHeight="1">
      <c r="A138" s="271">
        <f t="shared" si="2"/>
        <v>137</v>
      </c>
      <c r="B138" s="343" t="s">
        <v>2402</v>
      </c>
      <c r="C138" s="348" t="s">
        <v>2408</v>
      </c>
      <c r="D138" s="345" t="s">
        <v>8</v>
      </c>
      <c r="E138" s="345" t="s">
        <v>9</v>
      </c>
      <c r="F138" s="37" t="s">
        <v>1765</v>
      </c>
      <c r="G138" s="337">
        <v>44289</v>
      </c>
      <c r="H138" s="337"/>
      <c r="I138" s="337"/>
      <c r="J138" s="345"/>
      <c r="K138" s="337"/>
      <c r="L138" s="339"/>
      <c r="M138" s="345"/>
      <c r="N138" s="345" t="s">
        <v>122</v>
      </c>
      <c r="O138" s="345"/>
      <c r="P138" s="349" t="s">
        <v>1554</v>
      </c>
      <c r="Q138" s="349" t="s">
        <v>2198</v>
      </c>
      <c r="R138" s="339">
        <v>44571.582997685182</v>
      </c>
      <c r="S138" s="215">
        <v>2021</v>
      </c>
      <c r="T138" s="349" t="s">
        <v>2001</v>
      </c>
      <c r="U138" s="350" t="s">
        <v>678</v>
      </c>
      <c r="V138" s="350" t="s">
        <v>679</v>
      </c>
      <c r="W138" s="350" t="s">
        <v>145</v>
      </c>
      <c r="X138" s="350" t="s">
        <v>309</v>
      </c>
      <c r="Y138" s="347">
        <v>45078</v>
      </c>
      <c r="Z138" s="171" t="s">
        <v>1875</v>
      </c>
      <c r="AA138" s="171"/>
      <c r="AB138" s="17" t="s">
        <v>139</v>
      </c>
      <c r="AC138" s="17" t="s">
        <v>1875</v>
      </c>
      <c r="AD138" s="17" t="s">
        <v>1805</v>
      </c>
      <c r="AE138" s="17" t="s">
        <v>1805</v>
      </c>
      <c r="AF138" s="171"/>
      <c r="AG138" s="171"/>
      <c r="AH138" s="17"/>
      <c r="AI138" s="17"/>
      <c r="AJ138" s="17" t="s">
        <v>2191</v>
      </c>
      <c r="AK138" s="17"/>
      <c r="AL138" s="17" t="s">
        <v>2190</v>
      </c>
      <c r="AM138" s="17" t="s">
        <v>1975</v>
      </c>
      <c r="AN138" s="17" t="b">
        <v>0</v>
      </c>
      <c r="AO138" s="341"/>
      <c r="AP138" s="142"/>
      <c r="AQ138" s="142"/>
      <c r="AR138" s="142"/>
      <c r="AS138" s="142"/>
      <c r="AT138" s="342"/>
      <c r="AU138" s="17"/>
      <c r="AV138" s="341"/>
      <c r="AW138" s="17"/>
      <c r="AX138" s="17"/>
      <c r="AY138" s="17"/>
      <c r="AZ138" s="17"/>
      <c r="BA138" s="17" t="s">
        <v>373</v>
      </c>
      <c r="BB138" s="17" t="s">
        <v>1610</v>
      </c>
      <c r="BC138" s="17" t="s">
        <v>2192</v>
      </c>
      <c r="BD138" s="280"/>
      <c r="BE138" s="280"/>
      <c r="BF138" s="280"/>
      <c r="BG138" s="280"/>
    </row>
    <row r="139" spans="1:59" ht="45" customHeight="1">
      <c r="A139" s="271">
        <f t="shared" si="2"/>
        <v>138</v>
      </c>
      <c r="B139" s="284" t="s">
        <v>3514</v>
      </c>
      <c r="C139" s="270" t="s">
        <v>3515</v>
      </c>
      <c r="D139" s="270" t="s">
        <v>8</v>
      </c>
      <c r="E139" s="270" t="s">
        <v>9</v>
      </c>
      <c r="F139" s="270" t="s">
        <v>1765</v>
      </c>
      <c r="G139" s="302">
        <v>44363</v>
      </c>
      <c r="I139" s="306">
        <v>45009</v>
      </c>
      <c r="J139" s="270" t="s">
        <v>2904</v>
      </c>
      <c r="L139" s="270" t="s">
        <v>2479</v>
      </c>
      <c r="M139" s="270" t="s">
        <v>2479</v>
      </c>
      <c r="N139" s="272" t="s">
        <v>122</v>
      </c>
      <c r="O139" s="270" t="s">
        <v>2479</v>
      </c>
      <c r="P139" s="270" t="s">
        <v>1554</v>
      </c>
      <c r="Q139" s="270" t="s">
        <v>2198</v>
      </c>
      <c r="R139" s="306" t="s">
        <v>3516</v>
      </c>
      <c r="S139" s="285">
        <v>2021</v>
      </c>
      <c r="T139" s="270" t="s">
        <v>2001</v>
      </c>
      <c r="U139" s="270" t="s">
        <v>678</v>
      </c>
      <c r="V139" s="270" t="s">
        <v>679</v>
      </c>
      <c r="W139" s="270" t="s">
        <v>145</v>
      </c>
      <c r="X139" s="270" t="s">
        <v>309</v>
      </c>
      <c r="Y139" s="273">
        <v>45078</v>
      </c>
      <c r="Z139" s="288" t="s">
        <v>1875</v>
      </c>
      <c r="AA139" s="288" t="s">
        <v>2479</v>
      </c>
      <c r="AB139" s="288" t="s">
        <v>139</v>
      </c>
      <c r="AC139" s="288" t="s">
        <v>1875</v>
      </c>
      <c r="AD139" s="288" t="s">
        <v>1805</v>
      </c>
      <c r="AE139" s="288" t="s">
        <v>1805</v>
      </c>
      <c r="AF139" s="288" t="s">
        <v>2479</v>
      </c>
      <c r="AG139" s="288" t="s">
        <v>2479</v>
      </c>
      <c r="AH139" s="288" t="s">
        <v>2479</v>
      </c>
      <c r="AI139" s="288" t="s">
        <v>2479</v>
      </c>
      <c r="AJ139" s="303" t="s">
        <v>2191</v>
      </c>
      <c r="AK139" s="288" t="s">
        <v>2479</v>
      </c>
      <c r="AL139" s="303" t="s">
        <v>2190</v>
      </c>
      <c r="AM139" s="288" t="s">
        <v>1975</v>
      </c>
      <c r="AN139" s="207" t="b">
        <v>0</v>
      </c>
      <c r="AY139" s="288" t="s">
        <v>2479</v>
      </c>
      <c r="AZ139" s="288" t="s">
        <v>2479</v>
      </c>
      <c r="BA139" s="288" t="s">
        <v>373</v>
      </c>
      <c r="BB139" s="288" t="s">
        <v>1610</v>
      </c>
      <c r="BC139" s="288" t="s">
        <v>2192</v>
      </c>
      <c r="BD139" s="280"/>
      <c r="BE139" s="280"/>
      <c r="BF139" s="280"/>
      <c r="BG139" s="280"/>
    </row>
    <row r="140" spans="1:59" ht="45" customHeight="1">
      <c r="A140" s="271">
        <f t="shared" si="2"/>
        <v>139</v>
      </c>
      <c r="B140" s="343" t="s">
        <v>2413</v>
      </c>
      <c r="C140" s="348" t="s">
        <v>2414</v>
      </c>
      <c r="D140" s="345" t="s">
        <v>8</v>
      </c>
      <c r="E140" s="345" t="s">
        <v>9</v>
      </c>
      <c r="F140" s="37" t="s">
        <v>1765</v>
      </c>
      <c r="G140" s="337">
        <v>44484</v>
      </c>
      <c r="H140" s="337"/>
      <c r="I140" s="337"/>
      <c r="J140" s="345"/>
      <c r="K140" s="337"/>
      <c r="L140" s="215"/>
      <c r="M140" s="345"/>
      <c r="N140" s="345" t="s">
        <v>122</v>
      </c>
      <c r="O140" s="345"/>
      <c r="P140" s="349" t="s">
        <v>1554</v>
      </c>
      <c r="Q140" s="349" t="s">
        <v>2198</v>
      </c>
      <c r="R140" s="339">
        <v>44571.584467592591</v>
      </c>
      <c r="S140" s="215">
        <v>2021</v>
      </c>
      <c r="T140" s="215" t="s">
        <v>2001</v>
      </c>
      <c r="U140" s="350" t="s">
        <v>678</v>
      </c>
      <c r="V140" s="350" t="s">
        <v>679</v>
      </c>
      <c r="W140" s="17" t="s">
        <v>145</v>
      </c>
      <c r="X140" s="350" t="s">
        <v>309</v>
      </c>
      <c r="Y140" s="347">
        <v>45078</v>
      </c>
      <c r="Z140" s="171" t="s">
        <v>1875</v>
      </c>
      <c r="AA140" s="171"/>
      <c r="AB140" s="17" t="s">
        <v>139</v>
      </c>
      <c r="AC140" s="17" t="s">
        <v>1875</v>
      </c>
      <c r="AD140" s="17" t="s">
        <v>1805</v>
      </c>
      <c r="AE140" s="17" t="s">
        <v>1805</v>
      </c>
      <c r="AF140" s="171"/>
      <c r="AG140" s="171"/>
      <c r="AH140" s="17"/>
      <c r="AI140" s="17"/>
      <c r="AJ140" s="17" t="s">
        <v>2191</v>
      </c>
      <c r="AK140" s="17"/>
      <c r="AL140" s="17" t="s">
        <v>2190</v>
      </c>
      <c r="AM140" s="17" t="s">
        <v>1975</v>
      </c>
      <c r="AN140" s="17" t="b">
        <v>0</v>
      </c>
      <c r="AO140" s="341"/>
      <c r="AP140" s="142"/>
      <c r="AQ140" s="142"/>
      <c r="AR140" s="142"/>
      <c r="AS140" s="142"/>
      <c r="AT140" s="342"/>
      <c r="AU140" s="17"/>
      <c r="AV140" s="341"/>
      <c r="AW140" s="17"/>
      <c r="AX140" s="17"/>
      <c r="AY140" s="17"/>
      <c r="AZ140" s="17"/>
      <c r="BA140" s="17" t="s">
        <v>373</v>
      </c>
      <c r="BB140" s="17" t="s">
        <v>1610</v>
      </c>
      <c r="BC140" s="17" t="s">
        <v>2192</v>
      </c>
      <c r="BD140" s="280"/>
      <c r="BE140" s="280"/>
      <c r="BF140" s="280"/>
      <c r="BG140" s="280"/>
    </row>
    <row r="141" spans="1:59" ht="45" customHeight="1">
      <c r="A141" s="271">
        <f t="shared" si="2"/>
        <v>140</v>
      </c>
      <c r="B141" s="343" t="s">
        <v>2398</v>
      </c>
      <c r="C141" s="344" t="s">
        <v>2419</v>
      </c>
      <c r="D141" s="345" t="s">
        <v>8</v>
      </c>
      <c r="E141" s="345" t="s">
        <v>9</v>
      </c>
      <c r="F141" s="37" t="s">
        <v>1765</v>
      </c>
      <c r="G141" s="337">
        <v>44577</v>
      </c>
      <c r="H141" s="337"/>
      <c r="I141" s="337"/>
      <c r="J141" s="345"/>
      <c r="K141" s="337"/>
      <c r="L141" s="345"/>
      <c r="M141" s="345"/>
      <c r="N141" s="345" t="s">
        <v>122</v>
      </c>
      <c r="O141" s="345"/>
      <c r="P141" s="345" t="s">
        <v>1554</v>
      </c>
      <c r="Q141" s="345" t="s">
        <v>2198</v>
      </c>
      <c r="R141" s="339">
        <v>44571.585914351854</v>
      </c>
      <c r="S141" s="215">
        <v>2022</v>
      </c>
      <c r="T141" s="345" t="s">
        <v>2001</v>
      </c>
      <c r="U141" s="346" t="s">
        <v>678</v>
      </c>
      <c r="V141" s="346" t="s">
        <v>679</v>
      </c>
      <c r="W141" s="346" t="s">
        <v>145</v>
      </c>
      <c r="X141" s="346" t="s">
        <v>309</v>
      </c>
      <c r="Y141" s="347">
        <v>45078</v>
      </c>
      <c r="Z141" s="17" t="s">
        <v>1875</v>
      </c>
      <c r="AA141" s="17"/>
      <c r="AB141" s="17" t="s">
        <v>139</v>
      </c>
      <c r="AC141" s="17" t="s">
        <v>1875</v>
      </c>
      <c r="AD141" s="17" t="s">
        <v>1805</v>
      </c>
      <c r="AE141" s="17" t="s">
        <v>1805</v>
      </c>
      <c r="AF141" s="17"/>
      <c r="AG141" s="17"/>
      <c r="AH141" s="17"/>
      <c r="AI141" s="17"/>
      <c r="AJ141" s="17" t="s">
        <v>2191</v>
      </c>
      <c r="AK141" s="17"/>
      <c r="AL141" s="17" t="s">
        <v>2190</v>
      </c>
      <c r="AM141" s="17" t="s">
        <v>1975</v>
      </c>
      <c r="AN141" s="17" t="b">
        <v>0</v>
      </c>
      <c r="AO141" s="341"/>
      <c r="AP141" s="142"/>
      <c r="AQ141" s="142"/>
      <c r="AR141" s="142"/>
      <c r="AS141" s="142"/>
      <c r="AT141" s="342"/>
      <c r="AU141" s="17"/>
      <c r="AV141" s="341"/>
      <c r="AW141" s="17"/>
      <c r="AX141" s="17"/>
      <c r="AY141" s="17"/>
      <c r="AZ141" s="17"/>
      <c r="BA141" s="17" t="s">
        <v>373</v>
      </c>
      <c r="BB141" s="17" t="s">
        <v>1610</v>
      </c>
      <c r="BC141" s="17" t="s">
        <v>2192</v>
      </c>
      <c r="BD141" s="280"/>
      <c r="BE141" s="280"/>
      <c r="BF141" s="280"/>
      <c r="BG141" s="280"/>
    </row>
    <row r="142" spans="1:59" ht="45" customHeight="1">
      <c r="A142" s="271">
        <f t="shared" si="2"/>
        <v>141</v>
      </c>
      <c r="B142" s="343" t="s">
        <v>2417</v>
      </c>
      <c r="C142" s="344" t="s">
        <v>2418</v>
      </c>
      <c r="D142" s="345" t="s">
        <v>8</v>
      </c>
      <c r="E142" s="345" t="s">
        <v>9</v>
      </c>
      <c r="F142" s="37" t="s">
        <v>1765</v>
      </c>
      <c r="G142" s="337">
        <v>44581</v>
      </c>
      <c r="H142" s="337"/>
      <c r="I142" s="337"/>
      <c r="J142" s="345"/>
      <c r="K142" s="337"/>
      <c r="L142" s="345"/>
      <c r="M142" s="345"/>
      <c r="N142" s="345" t="s">
        <v>122</v>
      </c>
      <c r="O142" s="345"/>
      <c r="P142" s="345" t="s">
        <v>1554</v>
      </c>
      <c r="Q142" s="345" t="s">
        <v>2198</v>
      </c>
      <c r="R142" s="339">
        <v>44571.585462962961</v>
      </c>
      <c r="S142" s="215">
        <v>2022</v>
      </c>
      <c r="T142" s="345" t="s">
        <v>2001</v>
      </c>
      <c r="U142" s="346" t="s">
        <v>678</v>
      </c>
      <c r="V142" s="346" t="s">
        <v>679</v>
      </c>
      <c r="W142" s="346" t="s">
        <v>145</v>
      </c>
      <c r="X142" s="346" t="s">
        <v>309</v>
      </c>
      <c r="Y142" s="347">
        <v>45078</v>
      </c>
      <c r="Z142" s="17" t="s">
        <v>1875</v>
      </c>
      <c r="AA142" s="17"/>
      <c r="AB142" s="17" t="s">
        <v>139</v>
      </c>
      <c r="AC142" s="17" t="s">
        <v>1875</v>
      </c>
      <c r="AD142" s="17" t="s">
        <v>1805</v>
      </c>
      <c r="AE142" s="17" t="s">
        <v>1805</v>
      </c>
      <c r="AF142" s="17"/>
      <c r="AG142" s="17"/>
      <c r="AH142" s="17"/>
      <c r="AI142" s="17"/>
      <c r="AJ142" s="17" t="s">
        <v>2191</v>
      </c>
      <c r="AK142" s="17"/>
      <c r="AL142" s="17" t="s">
        <v>2190</v>
      </c>
      <c r="AM142" s="17" t="s">
        <v>1975</v>
      </c>
      <c r="AN142" s="17" t="b">
        <v>0</v>
      </c>
      <c r="AO142" s="341"/>
      <c r="AP142" s="142"/>
      <c r="AQ142" s="142"/>
      <c r="AR142" s="142"/>
      <c r="AS142" s="142"/>
      <c r="AT142" s="342"/>
      <c r="AU142" s="17"/>
      <c r="AV142" s="341"/>
      <c r="AW142" s="17"/>
      <c r="AX142" s="17"/>
      <c r="AY142" s="17"/>
      <c r="AZ142" s="17"/>
      <c r="BA142" s="17" t="s">
        <v>373</v>
      </c>
      <c r="BB142" s="17" t="s">
        <v>1610</v>
      </c>
      <c r="BC142" s="17" t="s">
        <v>2192</v>
      </c>
      <c r="BD142" s="280"/>
      <c r="BE142" s="280"/>
      <c r="BF142" s="280"/>
      <c r="BG142" s="280"/>
    </row>
    <row r="143" spans="1:59" ht="45" customHeight="1">
      <c r="A143" s="271">
        <f t="shared" si="2"/>
        <v>142</v>
      </c>
      <c r="B143" s="343" t="s">
        <v>2420</v>
      </c>
      <c r="C143" s="348" t="s">
        <v>2421</v>
      </c>
      <c r="D143" s="345" t="s">
        <v>8</v>
      </c>
      <c r="E143" s="345" t="s">
        <v>9</v>
      </c>
      <c r="F143" s="37" t="s">
        <v>1765</v>
      </c>
      <c r="G143" s="337">
        <v>44582</v>
      </c>
      <c r="H143" s="337"/>
      <c r="I143" s="337"/>
      <c r="J143" s="345"/>
      <c r="K143" s="337"/>
      <c r="L143" s="339"/>
      <c r="M143" s="345"/>
      <c r="N143" s="345" t="s">
        <v>122</v>
      </c>
      <c r="O143" s="345"/>
      <c r="P143" s="349" t="s">
        <v>1554</v>
      </c>
      <c r="Q143" s="349" t="s">
        <v>2198</v>
      </c>
      <c r="R143" s="339">
        <v>44571.586273148147</v>
      </c>
      <c r="S143" s="215">
        <v>2022</v>
      </c>
      <c r="T143" s="349" t="s">
        <v>2001</v>
      </c>
      <c r="U143" s="350" t="s">
        <v>678</v>
      </c>
      <c r="V143" s="350" t="s">
        <v>679</v>
      </c>
      <c r="W143" s="350" t="s">
        <v>145</v>
      </c>
      <c r="X143" s="350" t="s">
        <v>309</v>
      </c>
      <c r="Y143" s="347">
        <v>45078</v>
      </c>
      <c r="Z143" s="171" t="s">
        <v>1875</v>
      </c>
      <c r="AA143" s="171"/>
      <c r="AB143" s="17" t="s">
        <v>139</v>
      </c>
      <c r="AC143" s="17" t="s">
        <v>1875</v>
      </c>
      <c r="AD143" s="17" t="s">
        <v>1805</v>
      </c>
      <c r="AE143" s="17" t="s">
        <v>1805</v>
      </c>
      <c r="AF143" s="171"/>
      <c r="AG143" s="171"/>
      <c r="AH143" s="17"/>
      <c r="AI143" s="17"/>
      <c r="AJ143" s="17" t="s">
        <v>2191</v>
      </c>
      <c r="AK143" s="17"/>
      <c r="AL143" s="17" t="s">
        <v>2190</v>
      </c>
      <c r="AM143" s="17" t="s">
        <v>1975</v>
      </c>
      <c r="AN143" s="17" t="b">
        <v>0</v>
      </c>
      <c r="AO143" s="341"/>
      <c r="AP143" s="142"/>
      <c r="AQ143" s="142"/>
      <c r="AR143" s="142"/>
      <c r="AS143" s="142"/>
      <c r="AT143" s="342"/>
      <c r="AU143" s="17"/>
      <c r="AV143" s="341"/>
      <c r="AW143" s="17"/>
      <c r="AX143" s="17"/>
      <c r="AY143" s="17"/>
      <c r="AZ143" s="17"/>
      <c r="BA143" s="17" t="s">
        <v>373</v>
      </c>
      <c r="BB143" s="17" t="s">
        <v>1610</v>
      </c>
      <c r="BC143" s="17" t="s">
        <v>2192</v>
      </c>
      <c r="BD143" s="280"/>
      <c r="BE143" s="280"/>
      <c r="BF143" s="280"/>
      <c r="BG143" s="280"/>
    </row>
    <row r="144" spans="1:59" ht="45" customHeight="1">
      <c r="A144" s="271">
        <f t="shared" si="2"/>
        <v>143</v>
      </c>
      <c r="B144" s="343" t="s">
        <v>2404</v>
      </c>
      <c r="C144" s="348" t="s">
        <v>2422</v>
      </c>
      <c r="D144" s="345" t="s">
        <v>8</v>
      </c>
      <c r="E144" s="345" t="s">
        <v>9</v>
      </c>
      <c r="F144" s="37" t="s">
        <v>1765</v>
      </c>
      <c r="G144" s="337">
        <v>44733</v>
      </c>
      <c r="H144" s="337"/>
      <c r="I144" s="337"/>
      <c r="J144" s="345"/>
      <c r="K144" s="337"/>
      <c r="L144" s="215"/>
      <c r="M144" s="345"/>
      <c r="N144" s="345" t="s">
        <v>122</v>
      </c>
      <c r="O144" s="345"/>
      <c r="P144" s="349" t="s">
        <v>1554</v>
      </c>
      <c r="Q144" s="349" t="s">
        <v>2198</v>
      </c>
      <c r="R144" s="339">
        <v>44571.587187500001</v>
      </c>
      <c r="S144" s="215">
        <v>2022</v>
      </c>
      <c r="T144" s="215" t="s">
        <v>2001</v>
      </c>
      <c r="U144" s="350" t="s">
        <v>678</v>
      </c>
      <c r="V144" s="350" t="s">
        <v>679</v>
      </c>
      <c r="W144" s="17" t="s">
        <v>145</v>
      </c>
      <c r="X144" s="350" t="s">
        <v>309</v>
      </c>
      <c r="Y144" s="347">
        <v>45078</v>
      </c>
      <c r="Z144" s="171" t="s">
        <v>1875</v>
      </c>
      <c r="AA144" s="171"/>
      <c r="AB144" s="17" t="s">
        <v>139</v>
      </c>
      <c r="AC144" s="17" t="s">
        <v>1875</v>
      </c>
      <c r="AD144" s="17" t="s">
        <v>1805</v>
      </c>
      <c r="AE144" s="17" t="s">
        <v>1805</v>
      </c>
      <c r="AF144" s="171"/>
      <c r="AG144" s="171"/>
      <c r="AH144" s="17"/>
      <c r="AI144" s="17"/>
      <c r="AJ144" s="17" t="s">
        <v>2191</v>
      </c>
      <c r="AK144" s="17"/>
      <c r="AL144" s="17" t="s">
        <v>2190</v>
      </c>
      <c r="AM144" s="17" t="s">
        <v>1975</v>
      </c>
      <c r="AN144" s="17" t="b">
        <v>0</v>
      </c>
      <c r="AO144" s="341"/>
      <c r="AP144" s="142"/>
      <c r="AQ144" s="142"/>
      <c r="AR144" s="142"/>
      <c r="AS144" s="142"/>
      <c r="AT144" s="342"/>
      <c r="AU144" s="17"/>
      <c r="AV144" s="341"/>
      <c r="AW144" s="17"/>
      <c r="AX144" s="17"/>
      <c r="AY144" s="17"/>
      <c r="AZ144" s="17"/>
      <c r="BA144" s="17" t="s">
        <v>373</v>
      </c>
      <c r="BB144" s="17" t="s">
        <v>1610</v>
      </c>
      <c r="BC144" s="17" t="s">
        <v>2192</v>
      </c>
      <c r="BD144" s="280"/>
      <c r="BE144" s="280"/>
      <c r="BF144" s="280"/>
      <c r="BG144" s="280"/>
    </row>
    <row r="145" spans="1:59" ht="45" customHeight="1">
      <c r="A145" s="271">
        <f t="shared" si="2"/>
        <v>144</v>
      </c>
      <c r="B145" s="284" t="s">
        <v>3524</v>
      </c>
      <c r="C145" s="270" t="s">
        <v>2805</v>
      </c>
      <c r="D145" s="270" t="s">
        <v>8</v>
      </c>
      <c r="E145" s="270" t="s">
        <v>9</v>
      </c>
      <c r="F145" s="270" t="s">
        <v>1765</v>
      </c>
      <c r="G145" s="302">
        <v>44817</v>
      </c>
      <c r="I145" s="306">
        <v>45010</v>
      </c>
      <c r="J145" s="270" t="s">
        <v>2904</v>
      </c>
      <c r="L145" s="270" t="s">
        <v>2479</v>
      </c>
      <c r="M145" s="270" t="s">
        <v>2479</v>
      </c>
      <c r="N145" s="272" t="s">
        <v>122</v>
      </c>
      <c r="O145" s="270" t="s">
        <v>2479</v>
      </c>
      <c r="P145" s="270" t="s">
        <v>1554</v>
      </c>
      <c r="Q145" s="270" t="s">
        <v>2198</v>
      </c>
      <c r="R145" s="306" t="s">
        <v>3525</v>
      </c>
      <c r="S145" s="285">
        <v>2022</v>
      </c>
      <c r="T145" s="270" t="s">
        <v>2001</v>
      </c>
      <c r="U145" s="270" t="s">
        <v>678</v>
      </c>
      <c r="V145" s="270" t="s">
        <v>679</v>
      </c>
      <c r="W145" s="270" t="s">
        <v>145</v>
      </c>
      <c r="X145" s="270" t="s">
        <v>309</v>
      </c>
      <c r="Y145" s="273">
        <v>45078</v>
      </c>
      <c r="Z145" s="288" t="s">
        <v>1875</v>
      </c>
      <c r="AA145" s="288" t="s">
        <v>2479</v>
      </c>
      <c r="AB145" s="288" t="s">
        <v>139</v>
      </c>
      <c r="AC145" s="288" t="s">
        <v>1875</v>
      </c>
      <c r="AD145" s="288" t="s">
        <v>1805</v>
      </c>
      <c r="AE145" s="288" t="s">
        <v>1805</v>
      </c>
      <c r="AF145" s="288" t="s">
        <v>2479</v>
      </c>
      <c r="AG145" s="288" t="s">
        <v>2479</v>
      </c>
      <c r="AH145" s="288" t="s">
        <v>2479</v>
      </c>
      <c r="AI145" s="288" t="s">
        <v>2479</v>
      </c>
      <c r="AJ145" s="303" t="s">
        <v>2191</v>
      </c>
      <c r="AK145" s="288" t="s">
        <v>2479</v>
      </c>
      <c r="AL145" s="303" t="s">
        <v>2190</v>
      </c>
      <c r="AM145" s="288" t="s">
        <v>1975</v>
      </c>
      <c r="AN145" s="207" t="b">
        <v>0</v>
      </c>
      <c r="AY145" s="288" t="s">
        <v>2479</v>
      </c>
      <c r="AZ145" s="288" t="s">
        <v>2479</v>
      </c>
      <c r="BA145" s="288" t="s">
        <v>373</v>
      </c>
      <c r="BB145" s="288" t="s">
        <v>1610</v>
      </c>
      <c r="BC145" s="288" t="s">
        <v>2192</v>
      </c>
      <c r="BD145" s="280"/>
      <c r="BE145" s="280"/>
      <c r="BF145" s="280"/>
      <c r="BG145" s="280"/>
    </row>
    <row r="146" spans="1:59" ht="45" customHeight="1">
      <c r="A146" s="271">
        <f t="shared" si="2"/>
        <v>145</v>
      </c>
      <c r="B146" s="276" t="s">
        <v>3148</v>
      </c>
      <c r="C146" s="277" t="s">
        <v>3149</v>
      </c>
      <c r="D146" s="277" t="s">
        <v>8</v>
      </c>
      <c r="E146" s="277" t="s">
        <v>9</v>
      </c>
      <c r="F146" s="277" t="s">
        <v>1765</v>
      </c>
      <c r="G146" s="307">
        <v>44889</v>
      </c>
      <c r="H146" s="308"/>
      <c r="I146" s="308"/>
      <c r="J146" s="277"/>
      <c r="K146" s="279"/>
      <c r="L146" s="277" t="s">
        <v>2479</v>
      </c>
      <c r="M146" s="277" t="s">
        <v>2479</v>
      </c>
      <c r="N146" s="277" t="s">
        <v>122</v>
      </c>
      <c r="O146" s="277" t="s">
        <v>2479</v>
      </c>
      <c r="P146" s="277" t="s">
        <v>1554</v>
      </c>
      <c r="Q146" s="277" t="s">
        <v>2198</v>
      </c>
      <c r="R146" s="279" t="s">
        <v>3150</v>
      </c>
      <c r="S146" s="286">
        <v>2022</v>
      </c>
      <c r="T146" s="277" t="s">
        <v>2001</v>
      </c>
      <c r="U146" s="277" t="s">
        <v>678</v>
      </c>
      <c r="V146" s="277" t="s">
        <v>679</v>
      </c>
      <c r="W146" s="277" t="s">
        <v>145</v>
      </c>
      <c r="X146" s="277" t="s">
        <v>309</v>
      </c>
      <c r="Y146" s="278">
        <v>45078</v>
      </c>
      <c r="Z146" s="287" t="s">
        <v>1875</v>
      </c>
      <c r="AA146" s="287" t="s">
        <v>2479</v>
      </c>
      <c r="AB146" s="287" t="s">
        <v>139</v>
      </c>
      <c r="AC146" s="287" t="s">
        <v>1875</v>
      </c>
      <c r="AD146" s="287" t="s">
        <v>1805</v>
      </c>
      <c r="AE146" s="287" t="s">
        <v>1805</v>
      </c>
      <c r="AF146" s="287" t="s">
        <v>2479</v>
      </c>
      <c r="AG146" s="287" t="s">
        <v>2479</v>
      </c>
      <c r="AH146" s="287" t="s">
        <v>2479</v>
      </c>
      <c r="AI146" s="287" t="s">
        <v>2479</v>
      </c>
      <c r="AJ146" s="304" t="s">
        <v>2191</v>
      </c>
      <c r="AK146" s="287" t="s">
        <v>2479</v>
      </c>
      <c r="AL146" s="304" t="s">
        <v>2190</v>
      </c>
      <c r="AM146" s="289" t="s">
        <v>1975</v>
      </c>
      <c r="AN146" s="281" t="b">
        <v>0</v>
      </c>
      <c r="AO146" s="305"/>
      <c r="AP146" s="291"/>
      <c r="AQ146" s="291"/>
      <c r="AR146" s="291"/>
      <c r="AS146" s="291"/>
      <c r="AT146" s="291"/>
      <c r="AU146" s="291"/>
      <c r="AV146" s="305"/>
      <c r="AW146" s="281"/>
      <c r="AX146" s="281"/>
      <c r="AY146" s="289" t="s">
        <v>2479</v>
      </c>
      <c r="AZ146" s="289" t="s">
        <v>2479</v>
      </c>
      <c r="BA146" s="289" t="s">
        <v>373</v>
      </c>
      <c r="BB146" s="289" t="s">
        <v>1610</v>
      </c>
      <c r="BC146" s="292" t="s">
        <v>2192</v>
      </c>
      <c r="BD146" s="280"/>
      <c r="BE146" s="280"/>
      <c r="BF146" s="280"/>
      <c r="BG146" s="280"/>
    </row>
    <row r="147" spans="1:59" ht="45" customHeight="1">
      <c r="A147" s="271">
        <f t="shared" si="2"/>
        <v>146</v>
      </c>
      <c r="B147" s="276" t="s">
        <v>3151</v>
      </c>
      <c r="C147" s="277" t="s">
        <v>3152</v>
      </c>
      <c r="D147" s="277" t="s">
        <v>8</v>
      </c>
      <c r="E147" s="277" t="s">
        <v>9</v>
      </c>
      <c r="F147" s="277" t="s">
        <v>1765</v>
      </c>
      <c r="G147" s="308">
        <v>44895</v>
      </c>
      <c r="H147" s="308"/>
      <c r="I147" s="308"/>
      <c r="J147" s="277"/>
      <c r="K147" s="279"/>
      <c r="L147" s="277" t="s">
        <v>2479</v>
      </c>
      <c r="M147" s="277" t="s">
        <v>2479</v>
      </c>
      <c r="N147" s="277" t="s">
        <v>122</v>
      </c>
      <c r="O147" s="277" t="s">
        <v>2479</v>
      </c>
      <c r="P147" s="277" t="s">
        <v>1554</v>
      </c>
      <c r="Q147" s="277" t="s">
        <v>2198</v>
      </c>
      <c r="R147" s="279" t="s">
        <v>3153</v>
      </c>
      <c r="S147" s="286">
        <v>2022</v>
      </c>
      <c r="T147" s="277" t="s">
        <v>2001</v>
      </c>
      <c r="U147" s="277" t="s">
        <v>678</v>
      </c>
      <c r="V147" s="277" t="s">
        <v>679</v>
      </c>
      <c r="W147" s="277" t="s">
        <v>145</v>
      </c>
      <c r="X147" s="277" t="s">
        <v>309</v>
      </c>
      <c r="Y147" s="278">
        <v>45078</v>
      </c>
      <c r="Z147" s="287" t="s">
        <v>1875</v>
      </c>
      <c r="AA147" s="287" t="s">
        <v>2479</v>
      </c>
      <c r="AB147" s="287" t="s">
        <v>139</v>
      </c>
      <c r="AC147" s="287" t="s">
        <v>1875</v>
      </c>
      <c r="AD147" s="287" t="s">
        <v>1805</v>
      </c>
      <c r="AE147" s="287" t="s">
        <v>1805</v>
      </c>
      <c r="AF147" s="287" t="s">
        <v>2479</v>
      </c>
      <c r="AG147" s="287" t="s">
        <v>2479</v>
      </c>
      <c r="AH147" s="287" t="s">
        <v>2479</v>
      </c>
      <c r="AI147" s="287" t="s">
        <v>2479</v>
      </c>
      <c r="AJ147" s="304" t="s">
        <v>2191</v>
      </c>
      <c r="AK147" s="287" t="s">
        <v>2479</v>
      </c>
      <c r="AL147" s="304" t="s">
        <v>2190</v>
      </c>
      <c r="AM147" s="289" t="s">
        <v>1975</v>
      </c>
      <c r="AN147" s="281" t="b">
        <v>0</v>
      </c>
      <c r="AO147" s="305"/>
      <c r="AP147" s="291"/>
      <c r="AQ147" s="291"/>
      <c r="AR147" s="291"/>
      <c r="AS147" s="291"/>
      <c r="AT147" s="291"/>
      <c r="AU147" s="291"/>
      <c r="AV147" s="305"/>
      <c r="AW147" s="281"/>
      <c r="AX147" s="281"/>
      <c r="AY147" s="289" t="s">
        <v>2479</v>
      </c>
      <c r="AZ147" s="289" t="s">
        <v>2479</v>
      </c>
      <c r="BA147" s="289" t="s">
        <v>373</v>
      </c>
      <c r="BB147" s="289" t="s">
        <v>1610</v>
      </c>
      <c r="BC147" s="292" t="s">
        <v>2192</v>
      </c>
      <c r="BD147" s="280"/>
      <c r="BE147" s="280"/>
      <c r="BF147" s="280"/>
      <c r="BG147" s="280"/>
    </row>
    <row r="148" spans="1:59" ht="45" customHeight="1">
      <c r="A148" s="271">
        <f t="shared" si="2"/>
        <v>147</v>
      </c>
      <c r="B148" s="284" t="s">
        <v>2788</v>
      </c>
      <c r="C148" s="270" t="s">
        <v>3208</v>
      </c>
      <c r="D148" s="270" t="s">
        <v>8</v>
      </c>
      <c r="E148" s="270" t="s">
        <v>9</v>
      </c>
      <c r="F148" s="270" t="s">
        <v>1765</v>
      </c>
      <c r="G148" s="302">
        <v>44904</v>
      </c>
      <c r="L148" s="270" t="s">
        <v>2479</v>
      </c>
      <c r="M148" s="270" t="s">
        <v>2479</v>
      </c>
      <c r="N148" s="272" t="s">
        <v>122</v>
      </c>
      <c r="O148" s="270" t="s">
        <v>2479</v>
      </c>
      <c r="P148" s="270" t="s">
        <v>1554</v>
      </c>
      <c r="Q148" s="270" t="s">
        <v>2198</v>
      </c>
      <c r="R148" s="306" t="s">
        <v>3209</v>
      </c>
      <c r="S148" s="285">
        <v>2022</v>
      </c>
      <c r="T148" s="270" t="s">
        <v>2001</v>
      </c>
      <c r="U148" s="270" t="s">
        <v>678</v>
      </c>
      <c r="V148" s="270" t="s">
        <v>679</v>
      </c>
      <c r="W148" s="270" t="s">
        <v>145</v>
      </c>
      <c r="X148" s="270" t="s">
        <v>309</v>
      </c>
      <c r="Y148" s="273">
        <v>45078</v>
      </c>
      <c r="Z148" s="288" t="s">
        <v>1875</v>
      </c>
      <c r="AA148" s="288" t="s">
        <v>2479</v>
      </c>
      <c r="AB148" s="288" t="s">
        <v>139</v>
      </c>
      <c r="AC148" s="288" t="s">
        <v>1875</v>
      </c>
      <c r="AD148" s="288" t="s">
        <v>1805</v>
      </c>
      <c r="AE148" s="288" t="s">
        <v>1805</v>
      </c>
      <c r="AF148" s="288" t="s">
        <v>2479</v>
      </c>
      <c r="AG148" s="288" t="s">
        <v>2479</v>
      </c>
      <c r="AH148" s="288" t="s">
        <v>2479</v>
      </c>
      <c r="AI148" s="288" t="s">
        <v>2479</v>
      </c>
      <c r="AJ148" s="303" t="s">
        <v>2191</v>
      </c>
      <c r="AK148" s="288" t="s">
        <v>2479</v>
      </c>
      <c r="AL148" s="303" t="s">
        <v>2190</v>
      </c>
      <c r="AM148" s="288" t="s">
        <v>1975</v>
      </c>
      <c r="AN148" s="207" t="b">
        <v>0</v>
      </c>
      <c r="AY148" s="288" t="s">
        <v>2479</v>
      </c>
      <c r="AZ148" s="288" t="s">
        <v>2479</v>
      </c>
      <c r="BA148" s="288" t="s">
        <v>373</v>
      </c>
      <c r="BB148" s="288" t="s">
        <v>1610</v>
      </c>
      <c r="BC148" s="288" t="s">
        <v>2192</v>
      </c>
      <c r="BD148" s="280"/>
      <c r="BE148" s="280"/>
      <c r="BF148" s="280"/>
      <c r="BG148" s="280"/>
    </row>
    <row r="149" spans="1:59" ht="45" customHeight="1">
      <c r="A149" s="271">
        <f t="shared" si="2"/>
        <v>148</v>
      </c>
      <c r="B149" s="284" t="s">
        <v>2791</v>
      </c>
      <c r="C149" s="270" t="s">
        <v>3210</v>
      </c>
      <c r="D149" s="270" t="s">
        <v>8</v>
      </c>
      <c r="E149" s="270" t="s">
        <v>9</v>
      </c>
      <c r="F149" s="270" t="s">
        <v>1765</v>
      </c>
      <c r="G149" s="302">
        <v>44914</v>
      </c>
      <c r="L149" s="270" t="s">
        <v>2479</v>
      </c>
      <c r="M149" s="270" t="s">
        <v>2479</v>
      </c>
      <c r="N149" s="272" t="s">
        <v>122</v>
      </c>
      <c r="O149" s="270" t="s">
        <v>2479</v>
      </c>
      <c r="P149" s="270" t="s">
        <v>1554</v>
      </c>
      <c r="Q149" s="270" t="s">
        <v>2198</v>
      </c>
      <c r="R149" s="306" t="s">
        <v>3211</v>
      </c>
      <c r="S149" s="285">
        <v>2022</v>
      </c>
      <c r="T149" s="270" t="s">
        <v>2001</v>
      </c>
      <c r="U149" s="270" t="s">
        <v>678</v>
      </c>
      <c r="V149" s="270" t="s">
        <v>679</v>
      </c>
      <c r="W149" s="270" t="s">
        <v>145</v>
      </c>
      <c r="X149" s="270" t="s">
        <v>309</v>
      </c>
      <c r="Y149" s="273">
        <v>45078</v>
      </c>
      <c r="Z149" s="288" t="s">
        <v>1875</v>
      </c>
      <c r="AA149" s="288" t="s">
        <v>2479</v>
      </c>
      <c r="AB149" s="288" t="s">
        <v>139</v>
      </c>
      <c r="AC149" s="288" t="s">
        <v>1875</v>
      </c>
      <c r="AD149" s="288" t="s">
        <v>1805</v>
      </c>
      <c r="AE149" s="288" t="s">
        <v>1805</v>
      </c>
      <c r="AF149" s="288" t="s">
        <v>2479</v>
      </c>
      <c r="AG149" s="288" t="s">
        <v>2479</v>
      </c>
      <c r="AH149" s="288" t="s">
        <v>2479</v>
      </c>
      <c r="AI149" s="288" t="s">
        <v>2479</v>
      </c>
      <c r="AJ149" s="303" t="s">
        <v>2191</v>
      </c>
      <c r="AK149" s="288" t="s">
        <v>2479</v>
      </c>
      <c r="AL149" s="303" t="s">
        <v>2190</v>
      </c>
      <c r="AM149" s="288" t="s">
        <v>1975</v>
      </c>
      <c r="AN149" s="207" t="b">
        <v>0</v>
      </c>
      <c r="AY149" s="288" t="s">
        <v>2479</v>
      </c>
      <c r="AZ149" s="288" t="s">
        <v>2479</v>
      </c>
      <c r="BA149" s="288" t="s">
        <v>373</v>
      </c>
      <c r="BB149" s="288" t="s">
        <v>1610</v>
      </c>
      <c r="BC149" s="288" t="s">
        <v>2192</v>
      </c>
      <c r="BD149" s="280"/>
      <c r="BE149" s="280"/>
      <c r="BF149" s="280"/>
      <c r="BG149" s="280"/>
    </row>
    <row r="150" spans="1:59" ht="45" customHeight="1">
      <c r="A150" s="271">
        <f t="shared" si="2"/>
        <v>149</v>
      </c>
      <c r="B150" s="284" t="s">
        <v>3479</v>
      </c>
      <c r="C150" s="270" t="s">
        <v>3480</v>
      </c>
      <c r="D150" s="270" t="s">
        <v>8</v>
      </c>
      <c r="E150" s="270" t="s">
        <v>9</v>
      </c>
      <c r="F150" s="270" t="s">
        <v>1765</v>
      </c>
      <c r="G150" s="302">
        <v>44968</v>
      </c>
      <c r="L150" s="270" t="s">
        <v>2479</v>
      </c>
      <c r="M150" s="270" t="s">
        <v>2479</v>
      </c>
      <c r="N150" s="272" t="s">
        <v>122</v>
      </c>
      <c r="O150" s="270" t="s">
        <v>2479</v>
      </c>
      <c r="P150" s="270" t="s">
        <v>1554</v>
      </c>
      <c r="Q150" s="270" t="s">
        <v>2198</v>
      </c>
      <c r="R150" s="306" t="s">
        <v>3481</v>
      </c>
      <c r="S150" s="285">
        <v>2023</v>
      </c>
      <c r="T150" s="270" t="s">
        <v>2001</v>
      </c>
      <c r="U150" s="270" t="s">
        <v>678</v>
      </c>
      <c r="V150" s="270" t="s">
        <v>679</v>
      </c>
      <c r="W150" s="270" t="s">
        <v>145</v>
      </c>
      <c r="X150" s="270" t="s">
        <v>309</v>
      </c>
      <c r="Y150" s="273">
        <v>45078</v>
      </c>
      <c r="Z150" s="288" t="s">
        <v>1875</v>
      </c>
      <c r="AA150" s="288" t="s">
        <v>2479</v>
      </c>
      <c r="AB150" s="288" t="s">
        <v>139</v>
      </c>
      <c r="AC150" s="288" t="s">
        <v>1875</v>
      </c>
      <c r="AD150" s="288" t="s">
        <v>1805</v>
      </c>
      <c r="AE150" s="288" t="s">
        <v>1805</v>
      </c>
      <c r="AF150" s="288" t="s">
        <v>2479</v>
      </c>
      <c r="AG150" s="288" t="s">
        <v>2479</v>
      </c>
      <c r="AH150" s="288" t="s">
        <v>2479</v>
      </c>
      <c r="AI150" s="288" t="s">
        <v>2479</v>
      </c>
      <c r="AJ150" s="303" t="s">
        <v>2191</v>
      </c>
      <c r="AK150" s="288" t="s">
        <v>2479</v>
      </c>
      <c r="AL150" s="303" t="s">
        <v>2190</v>
      </c>
      <c r="AM150" s="288" t="s">
        <v>1975</v>
      </c>
      <c r="AN150" s="207" t="b">
        <v>0</v>
      </c>
      <c r="AY150" s="288" t="s">
        <v>2479</v>
      </c>
      <c r="AZ150" s="288" t="s">
        <v>2479</v>
      </c>
      <c r="BA150" s="288" t="s">
        <v>373</v>
      </c>
      <c r="BB150" s="288" t="s">
        <v>1610</v>
      </c>
      <c r="BC150" s="288" t="s">
        <v>2192</v>
      </c>
      <c r="BD150" s="280"/>
      <c r="BE150" s="280"/>
      <c r="BF150" s="280"/>
      <c r="BG150" s="280"/>
    </row>
    <row r="151" spans="1:59" ht="45" customHeight="1">
      <c r="A151" s="271">
        <f>ROW()-1</f>
        <v>150</v>
      </c>
      <c r="B151" s="284" t="s">
        <v>3550</v>
      </c>
      <c r="C151" s="270" t="s">
        <v>3551</v>
      </c>
      <c r="D151" s="270" t="s">
        <v>8</v>
      </c>
      <c r="E151" s="270" t="s">
        <v>9</v>
      </c>
      <c r="F151" s="270" t="s">
        <v>1765</v>
      </c>
      <c r="G151" s="302">
        <v>44995</v>
      </c>
      <c r="K151" s="306">
        <v>45104</v>
      </c>
      <c r="L151" s="270" t="s">
        <v>2193</v>
      </c>
      <c r="M151" s="270" t="s">
        <v>115</v>
      </c>
      <c r="N151" s="272" t="s">
        <v>2479</v>
      </c>
      <c r="O151" s="270" t="s">
        <v>2479</v>
      </c>
      <c r="P151" s="270" t="s">
        <v>1554</v>
      </c>
      <c r="Q151" s="270" t="s">
        <v>2198</v>
      </c>
      <c r="R151" s="306">
        <v>44992.621689814812</v>
      </c>
      <c r="S151" s="285">
        <v>2023</v>
      </c>
      <c r="T151" s="270" t="s">
        <v>2194</v>
      </c>
      <c r="U151" s="270" t="s">
        <v>678</v>
      </c>
      <c r="V151" s="270" t="s">
        <v>679</v>
      </c>
      <c r="W151" s="270" t="s">
        <v>145</v>
      </c>
      <c r="X151" s="270" t="s">
        <v>309</v>
      </c>
      <c r="Y151" s="273">
        <v>45078</v>
      </c>
      <c r="Z151" s="288" t="s">
        <v>1875</v>
      </c>
      <c r="AA151" s="288" t="s">
        <v>2479</v>
      </c>
      <c r="AB151" s="288" t="s">
        <v>139</v>
      </c>
      <c r="AC151" s="288" t="s">
        <v>1875</v>
      </c>
      <c r="AD151" s="288" t="s">
        <v>1805</v>
      </c>
      <c r="AE151" s="288" t="s">
        <v>1805</v>
      </c>
      <c r="AF151" s="288" t="s">
        <v>2479</v>
      </c>
      <c r="AG151" s="288" t="s">
        <v>2479</v>
      </c>
      <c r="AH151" s="288" t="s">
        <v>2479</v>
      </c>
      <c r="AI151" s="288" t="s">
        <v>2479</v>
      </c>
      <c r="AJ151" s="303" t="s">
        <v>2191</v>
      </c>
      <c r="AK151" s="288" t="s">
        <v>2479</v>
      </c>
      <c r="AL151" s="303" t="s">
        <v>2190</v>
      </c>
      <c r="AM151" s="288" t="s">
        <v>1975</v>
      </c>
      <c r="AN151" s="207" t="b">
        <v>0</v>
      </c>
      <c r="AY151" s="288" t="s">
        <v>2479</v>
      </c>
      <c r="AZ151" s="288" t="s">
        <v>2479</v>
      </c>
      <c r="BA151" s="288" t="s">
        <v>373</v>
      </c>
      <c r="BB151" s="288" t="s">
        <v>139</v>
      </c>
      <c r="BC151" s="288" t="s">
        <v>2192</v>
      </c>
      <c r="BD151" s="280"/>
      <c r="BE151" s="280"/>
      <c r="BF151" s="280"/>
      <c r="BG151" s="280"/>
    </row>
    <row r="152" spans="1:59" ht="45" customHeight="1">
      <c r="A152" s="271">
        <f>ROW()-1</f>
        <v>151</v>
      </c>
      <c r="B152" s="284" t="s">
        <v>3552</v>
      </c>
      <c r="C152" s="270" t="s">
        <v>3553</v>
      </c>
      <c r="D152" s="270" t="s">
        <v>8</v>
      </c>
      <c r="E152" s="270" t="s">
        <v>9</v>
      </c>
      <c r="F152" s="270" t="s">
        <v>1765</v>
      </c>
      <c r="G152" s="302">
        <v>44995</v>
      </c>
      <c r="K152" s="306">
        <v>45104</v>
      </c>
      <c r="L152" s="270" t="s">
        <v>2193</v>
      </c>
      <c r="M152" s="270" t="s">
        <v>115</v>
      </c>
      <c r="N152" s="272" t="s">
        <v>2479</v>
      </c>
      <c r="O152" s="270" t="s">
        <v>2479</v>
      </c>
      <c r="P152" s="270" t="s">
        <v>1554</v>
      </c>
      <c r="Q152" s="270" t="s">
        <v>2198</v>
      </c>
      <c r="R152" s="306">
        <v>44992.627314814818</v>
      </c>
      <c r="S152" s="285">
        <v>2023</v>
      </c>
      <c r="T152" s="270" t="s">
        <v>2194</v>
      </c>
      <c r="U152" s="270" t="s">
        <v>678</v>
      </c>
      <c r="V152" s="270" t="s">
        <v>679</v>
      </c>
      <c r="W152" s="270" t="s">
        <v>145</v>
      </c>
      <c r="X152" s="270" t="s">
        <v>309</v>
      </c>
      <c r="Y152" s="273">
        <v>45078</v>
      </c>
      <c r="Z152" s="288" t="s">
        <v>1875</v>
      </c>
      <c r="AA152" s="288" t="s">
        <v>2479</v>
      </c>
      <c r="AB152" s="288" t="s">
        <v>139</v>
      </c>
      <c r="AC152" s="288" t="s">
        <v>1875</v>
      </c>
      <c r="AD152" s="288" t="s">
        <v>1805</v>
      </c>
      <c r="AE152" s="288" t="s">
        <v>1805</v>
      </c>
      <c r="AF152" s="288" t="s">
        <v>2479</v>
      </c>
      <c r="AG152" s="288" t="s">
        <v>2479</v>
      </c>
      <c r="AH152" s="288" t="s">
        <v>2479</v>
      </c>
      <c r="AI152" s="288" t="s">
        <v>2479</v>
      </c>
      <c r="AJ152" s="303" t="s">
        <v>2191</v>
      </c>
      <c r="AK152" s="288" t="s">
        <v>2479</v>
      </c>
      <c r="AL152" s="303" t="s">
        <v>2190</v>
      </c>
      <c r="AM152" s="288" t="s">
        <v>1975</v>
      </c>
      <c r="AN152" s="207" t="b">
        <v>0</v>
      </c>
      <c r="AY152" s="288" t="s">
        <v>2479</v>
      </c>
      <c r="AZ152" s="288" t="s">
        <v>2479</v>
      </c>
      <c r="BA152" s="288" t="s">
        <v>373</v>
      </c>
      <c r="BB152" s="288" t="s">
        <v>139</v>
      </c>
      <c r="BC152" s="288" t="s">
        <v>2192</v>
      </c>
      <c r="BD152" s="280"/>
      <c r="BE152" s="280"/>
      <c r="BF152" s="280"/>
      <c r="BG152" s="280"/>
    </row>
    <row r="153" spans="1:59" ht="45" customHeight="1">
      <c r="A153" s="271">
        <f t="shared" si="2"/>
        <v>152</v>
      </c>
      <c r="B153" s="284" t="s">
        <v>2804</v>
      </c>
      <c r="C153" s="270" t="s">
        <v>2226</v>
      </c>
      <c r="D153" s="270" t="s">
        <v>8</v>
      </c>
      <c r="E153" s="270" t="s">
        <v>9</v>
      </c>
      <c r="F153" s="270" t="s">
        <v>1765</v>
      </c>
      <c r="G153" s="302">
        <v>45002</v>
      </c>
      <c r="L153" s="270" t="s">
        <v>2479</v>
      </c>
      <c r="M153" s="270" t="s">
        <v>2479</v>
      </c>
      <c r="N153" s="272" t="s">
        <v>122</v>
      </c>
      <c r="O153" s="270" t="s">
        <v>2479</v>
      </c>
      <c r="P153" s="270" t="s">
        <v>1554</v>
      </c>
      <c r="Q153" s="270" t="s">
        <v>2198</v>
      </c>
      <c r="R153" s="306">
        <v>44930.414583333331</v>
      </c>
      <c r="S153" s="285">
        <v>2023</v>
      </c>
      <c r="T153" s="270" t="s">
        <v>2001</v>
      </c>
      <c r="U153" s="270" t="s">
        <v>678</v>
      </c>
      <c r="V153" s="270" t="s">
        <v>679</v>
      </c>
      <c r="W153" s="270" t="s">
        <v>145</v>
      </c>
      <c r="X153" s="270" t="s">
        <v>309</v>
      </c>
      <c r="Y153" s="273">
        <v>45078</v>
      </c>
      <c r="Z153" s="288" t="s">
        <v>1875</v>
      </c>
      <c r="AA153" s="288" t="s">
        <v>2479</v>
      </c>
      <c r="AB153" s="288" t="s">
        <v>139</v>
      </c>
      <c r="AC153" s="288" t="s">
        <v>1875</v>
      </c>
      <c r="AD153" s="288" t="s">
        <v>1805</v>
      </c>
      <c r="AE153" s="288" t="s">
        <v>1805</v>
      </c>
      <c r="AF153" s="288" t="s">
        <v>2479</v>
      </c>
      <c r="AG153" s="288" t="s">
        <v>2479</v>
      </c>
      <c r="AH153" s="288" t="s">
        <v>2479</v>
      </c>
      <c r="AI153" s="288" t="s">
        <v>2479</v>
      </c>
      <c r="AJ153" s="303" t="s">
        <v>2191</v>
      </c>
      <c r="AK153" s="288" t="s">
        <v>2479</v>
      </c>
      <c r="AL153" s="303" t="s">
        <v>2190</v>
      </c>
      <c r="AM153" s="288" t="s">
        <v>1975</v>
      </c>
      <c r="AN153" s="207" t="b">
        <v>0</v>
      </c>
      <c r="AY153" s="288" t="s">
        <v>2479</v>
      </c>
      <c r="AZ153" s="288" t="s">
        <v>2479</v>
      </c>
      <c r="BA153" s="288" t="s">
        <v>373</v>
      </c>
      <c r="BB153" s="288" t="s">
        <v>1610</v>
      </c>
      <c r="BC153" s="288" t="s">
        <v>2192</v>
      </c>
      <c r="BD153" s="280"/>
      <c r="BE153" s="280"/>
      <c r="BF153" s="280"/>
      <c r="BG153" s="280"/>
    </row>
    <row r="154" spans="1:59" ht="45" customHeight="1">
      <c r="A154" s="271">
        <f t="shared" si="2"/>
        <v>153</v>
      </c>
      <c r="B154" s="284" t="s">
        <v>3554</v>
      </c>
      <c r="C154" s="270" t="s">
        <v>3555</v>
      </c>
      <c r="D154" s="270" t="s">
        <v>8</v>
      </c>
      <c r="E154" s="270" t="s">
        <v>9</v>
      </c>
      <c r="F154" s="270" t="s">
        <v>1765</v>
      </c>
      <c r="G154" s="302">
        <v>45007</v>
      </c>
      <c r="L154" s="270" t="s">
        <v>2479</v>
      </c>
      <c r="M154" s="270" t="s">
        <v>2479</v>
      </c>
      <c r="N154" s="272" t="s">
        <v>122</v>
      </c>
      <c r="O154" s="270" t="s">
        <v>2479</v>
      </c>
      <c r="P154" s="270" t="s">
        <v>1554</v>
      </c>
      <c r="Q154" s="270" t="s">
        <v>2198</v>
      </c>
      <c r="R154" s="306">
        <v>44930.415937500002</v>
      </c>
      <c r="S154" s="285">
        <v>2023</v>
      </c>
      <c r="T154" s="270" t="s">
        <v>2001</v>
      </c>
      <c r="U154" s="270" t="s">
        <v>678</v>
      </c>
      <c r="V154" s="270" t="s">
        <v>679</v>
      </c>
      <c r="W154" s="270" t="s">
        <v>145</v>
      </c>
      <c r="X154" s="270" t="s">
        <v>309</v>
      </c>
      <c r="Y154" s="273">
        <v>45078</v>
      </c>
      <c r="Z154" s="288" t="s">
        <v>1875</v>
      </c>
      <c r="AA154" s="288" t="s">
        <v>2479</v>
      </c>
      <c r="AB154" s="288" t="s">
        <v>139</v>
      </c>
      <c r="AC154" s="288" t="s">
        <v>1875</v>
      </c>
      <c r="AD154" s="288" t="s">
        <v>1805</v>
      </c>
      <c r="AE154" s="288" t="s">
        <v>1805</v>
      </c>
      <c r="AF154" s="288" t="s">
        <v>2479</v>
      </c>
      <c r="AG154" s="288" t="s">
        <v>2479</v>
      </c>
      <c r="AH154" s="288" t="s">
        <v>2479</v>
      </c>
      <c r="AI154" s="288" t="s">
        <v>2479</v>
      </c>
      <c r="AJ154" s="303" t="s">
        <v>2191</v>
      </c>
      <c r="AK154" s="288" t="s">
        <v>2479</v>
      </c>
      <c r="AL154" s="303" t="s">
        <v>2190</v>
      </c>
      <c r="AM154" s="288" t="s">
        <v>1975</v>
      </c>
      <c r="AN154" s="207" t="b">
        <v>0</v>
      </c>
      <c r="AY154" s="288" t="s">
        <v>2479</v>
      </c>
      <c r="AZ154" s="288" t="s">
        <v>2479</v>
      </c>
      <c r="BA154" s="288" t="s">
        <v>373</v>
      </c>
      <c r="BB154" s="288" t="s">
        <v>1610</v>
      </c>
      <c r="BC154" s="288" t="s">
        <v>2192</v>
      </c>
      <c r="BD154" s="280"/>
      <c r="BE154" s="280"/>
      <c r="BF154" s="280"/>
      <c r="BG154" s="280"/>
    </row>
    <row r="155" spans="1:59" ht="45" customHeight="1">
      <c r="A155" s="271">
        <f t="shared" si="2"/>
        <v>154</v>
      </c>
      <c r="B155" s="284" t="s">
        <v>3592</v>
      </c>
      <c r="C155" s="270" t="s">
        <v>3593</v>
      </c>
      <c r="D155" s="270" t="s">
        <v>8</v>
      </c>
      <c r="E155" s="270" t="s">
        <v>9</v>
      </c>
      <c r="F155" s="270" t="s">
        <v>1765</v>
      </c>
      <c r="G155" s="302">
        <v>45017</v>
      </c>
      <c r="L155" s="270" t="s">
        <v>2479</v>
      </c>
      <c r="M155" s="270" t="s">
        <v>2479</v>
      </c>
      <c r="N155" s="272" t="s">
        <v>122</v>
      </c>
      <c r="O155" s="270" t="s">
        <v>2479</v>
      </c>
      <c r="P155" s="270" t="s">
        <v>1554</v>
      </c>
      <c r="Q155" s="270" t="s">
        <v>2198</v>
      </c>
      <c r="R155" s="306" t="s">
        <v>3594</v>
      </c>
      <c r="S155" s="285">
        <v>2023</v>
      </c>
      <c r="T155" s="270" t="s">
        <v>2001</v>
      </c>
      <c r="U155" s="270" t="s">
        <v>678</v>
      </c>
      <c r="V155" s="270" t="s">
        <v>679</v>
      </c>
      <c r="W155" s="270" t="s">
        <v>145</v>
      </c>
      <c r="X155" s="270" t="s">
        <v>309</v>
      </c>
      <c r="Y155" s="273">
        <v>45078</v>
      </c>
      <c r="Z155" s="288" t="s">
        <v>1875</v>
      </c>
      <c r="AA155" s="288" t="s">
        <v>2479</v>
      </c>
      <c r="AB155" s="288" t="s">
        <v>139</v>
      </c>
      <c r="AC155" s="288" t="s">
        <v>1875</v>
      </c>
      <c r="AD155" s="288" t="s">
        <v>1805</v>
      </c>
      <c r="AE155" s="288" t="s">
        <v>1805</v>
      </c>
      <c r="AF155" s="288" t="s">
        <v>2479</v>
      </c>
      <c r="AG155" s="288" t="s">
        <v>2479</v>
      </c>
      <c r="AH155" s="288" t="s">
        <v>2479</v>
      </c>
      <c r="AI155" s="288" t="s">
        <v>2479</v>
      </c>
      <c r="AJ155" s="303" t="s">
        <v>2191</v>
      </c>
      <c r="AK155" s="288" t="s">
        <v>2479</v>
      </c>
      <c r="AL155" s="303" t="s">
        <v>2190</v>
      </c>
      <c r="AM155" s="288" t="s">
        <v>1975</v>
      </c>
      <c r="AN155" s="207" t="b">
        <v>0</v>
      </c>
      <c r="AY155" s="288" t="s">
        <v>2479</v>
      </c>
      <c r="AZ155" s="288" t="s">
        <v>2479</v>
      </c>
      <c r="BA155" s="288" t="s">
        <v>373</v>
      </c>
      <c r="BB155" s="288" t="s">
        <v>1610</v>
      </c>
      <c r="BC155" s="288" t="s">
        <v>2192</v>
      </c>
      <c r="BD155" s="280"/>
      <c r="BE155" s="280"/>
      <c r="BF155" s="280"/>
      <c r="BG155" s="280"/>
    </row>
    <row r="156" spans="1:59" ht="45" customHeight="1">
      <c r="A156" s="271">
        <f t="shared" si="2"/>
        <v>155</v>
      </c>
      <c r="B156" s="284" t="s">
        <v>3595</v>
      </c>
      <c r="C156" s="270" t="s">
        <v>3596</v>
      </c>
      <c r="D156" s="270" t="s">
        <v>8</v>
      </c>
      <c r="E156" s="270" t="s">
        <v>9</v>
      </c>
      <c r="F156" s="270" t="s">
        <v>1765</v>
      </c>
      <c r="G156" s="302">
        <v>45017</v>
      </c>
      <c r="L156" s="270" t="s">
        <v>2479</v>
      </c>
      <c r="M156" s="270" t="s">
        <v>2479</v>
      </c>
      <c r="N156" s="272" t="s">
        <v>122</v>
      </c>
      <c r="O156" s="270" t="s">
        <v>2479</v>
      </c>
      <c r="P156" s="270" t="s">
        <v>1554</v>
      </c>
      <c r="Q156" s="270" t="s">
        <v>2198</v>
      </c>
      <c r="R156" s="306" t="s">
        <v>3597</v>
      </c>
      <c r="S156" s="285">
        <v>2023</v>
      </c>
      <c r="T156" s="270" t="s">
        <v>2001</v>
      </c>
      <c r="U156" s="270" t="s">
        <v>678</v>
      </c>
      <c r="V156" s="270" t="s">
        <v>679</v>
      </c>
      <c r="W156" s="270" t="s">
        <v>145</v>
      </c>
      <c r="X156" s="270" t="s">
        <v>309</v>
      </c>
      <c r="Y156" s="273">
        <v>45078</v>
      </c>
      <c r="Z156" s="288" t="s">
        <v>1875</v>
      </c>
      <c r="AA156" s="288" t="s">
        <v>2479</v>
      </c>
      <c r="AB156" s="288" t="s">
        <v>139</v>
      </c>
      <c r="AC156" s="288" t="s">
        <v>1875</v>
      </c>
      <c r="AD156" s="288" t="s">
        <v>1805</v>
      </c>
      <c r="AE156" s="288" t="s">
        <v>1805</v>
      </c>
      <c r="AF156" s="288" t="s">
        <v>2479</v>
      </c>
      <c r="AG156" s="288" t="s">
        <v>2479</v>
      </c>
      <c r="AH156" s="288" t="s">
        <v>2479</v>
      </c>
      <c r="AI156" s="288" t="s">
        <v>2479</v>
      </c>
      <c r="AJ156" s="303" t="s">
        <v>2191</v>
      </c>
      <c r="AK156" s="288" t="s">
        <v>2479</v>
      </c>
      <c r="AL156" s="303" t="s">
        <v>2190</v>
      </c>
      <c r="AM156" s="288" t="s">
        <v>1975</v>
      </c>
      <c r="AN156" s="207" t="b">
        <v>0</v>
      </c>
      <c r="AY156" s="288" t="s">
        <v>2479</v>
      </c>
      <c r="AZ156" s="288" t="s">
        <v>2479</v>
      </c>
      <c r="BA156" s="288" t="s">
        <v>373</v>
      </c>
      <c r="BB156" s="288" t="s">
        <v>1610</v>
      </c>
      <c r="BC156" s="288" t="s">
        <v>2192</v>
      </c>
      <c r="BD156" s="280"/>
      <c r="BE156" s="280"/>
      <c r="BF156" s="280"/>
      <c r="BG156" s="280"/>
    </row>
    <row r="157" spans="1:59" ht="45" customHeight="1">
      <c r="A157" s="271">
        <f t="shared" si="2"/>
        <v>156</v>
      </c>
      <c r="B157" s="284" t="s">
        <v>3598</v>
      </c>
      <c r="C157" s="270" t="s">
        <v>3599</v>
      </c>
      <c r="D157" s="270" t="s">
        <v>8</v>
      </c>
      <c r="E157" s="270" t="s">
        <v>9</v>
      </c>
      <c r="F157" s="270" t="s">
        <v>1765</v>
      </c>
      <c r="G157" s="302">
        <v>45017</v>
      </c>
      <c r="L157" s="270" t="s">
        <v>2479</v>
      </c>
      <c r="M157" s="270" t="s">
        <v>2479</v>
      </c>
      <c r="N157" s="272" t="s">
        <v>122</v>
      </c>
      <c r="O157" s="270" t="s">
        <v>2479</v>
      </c>
      <c r="P157" s="270" t="s">
        <v>1554</v>
      </c>
      <c r="Q157" s="270" t="s">
        <v>2198</v>
      </c>
      <c r="R157" s="306" t="s">
        <v>3600</v>
      </c>
      <c r="S157" s="285">
        <v>2023</v>
      </c>
      <c r="T157" s="270" t="s">
        <v>2001</v>
      </c>
      <c r="U157" s="270" t="s">
        <v>678</v>
      </c>
      <c r="V157" s="270" t="s">
        <v>679</v>
      </c>
      <c r="W157" s="270" t="s">
        <v>145</v>
      </c>
      <c r="X157" s="270" t="s">
        <v>309</v>
      </c>
      <c r="Y157" s="273">
        <v>45078</v>
      </c>
      <c r="Z157" s="288" t="s">
        <v>1875</v>
      </c>
      <c r="AA157" s="288" t="s">
        <v>2479</v>
      </c>
      <c r="AB157" s="288" t="s">
        <v>139</v>
      </c>
      <c r="AC157" s="288" t="s">
        <v>1875</v>
      </c>
      <c r="AD157" s="288" t="s">
        <v>1805</v>
      </c>
      <c r="AE157" s="288" t="s">
        <v>1805</v>
      </c>
      <c r="AF157" s="288" t="s">
        <v>2479</v>
      </c>
      <c r="AG157" s="288" t="s">
        <v>2479</v>
      </c>
      <c r="AH157" s="288" t="s">
        <v>2479</v>
      </c>
      <c r="AI157" s="288" t="s">
        <v>2479</v>
      </c>
      <c r="AJ157" s="303" t="s">
        <v>2191</v>
      </c>
      <c r="AK157" s="288" t="s">
        <v>2479</v>
      </c>
      <c r="AL157" s="303" t="s">
        <v>2190</v>
      </c>
      <c r="AM157" s="288" t="s">
        <v>1975</v>
      </c>
      <c r="AN157" s="207" t="b">
        <v>0</v>
      </c>
      <c r="AY157" s="288" t="s">
        <v>2479</v>
      </c>
      <c r="AZ157" s="288" t="s">
        <v>2479</v>
      </c>
      <c r="BA157" s="288" t="s">
        <v>373</v>
      </c>
      <c r="BB157" s="288" t="s">
        <v>1610</v>
      </c>
      <c r="BC157" s="288" t="s">
        <v>2192</v>
      </c>
      <c r="BD157" s="280"/>
      <c r="BE157" s="280"/>
      <c r="BF157" s="280"/>
      <c r="BG157" s="280"/>
    </row>
    <row r="158" spans="1:59" ht="45" customHeight="1">
      <c r="A158" s="271">
        <f t="shared" si="2"/>
        <v>157</v>
      </c>
      <c r="B158" s="284" t="s">
        <v>3601</v>
      </c>
      <c r="C158" s="270" t="s">
        <v>3602</v>
      </c>
      <c r="D158" s="270" t="s">
        <v>8</v>
      </c>
      <c r="E158" s="270" t="s">
        <v>9</v>
      </c>
      <c r="F158" s="270" t="s">
        <v>1765</v>
      </c>
      <c r="G158" s="302">
        <v>45017</v>
      </c>
      <c r="L158" s="270" t="s">
        <v>2479</v>
      </c>
      <c r="M158" s="270" t="s">
        <v>2479</v>
      </c>
      <c r="N158" s="272" t="s">
        <v>122</v>
      </c>
      <c r="O158" s="270" t="s">
        <v>2479</v>
      </c>
      <c r="P158" s="270" t="s">
        <v>1554</v>
      </c>
      <c r="Q158" s="270" t="s">
        <v>2198</v>
      </c>
      <c r="R158" s="306" t="s">
        <v>3603</v>
      </c>
      <c r="S158" s="285">
        <v>2023</v>
      </c>
      <c r="T158" s="270" t="s">
        <v>2001</v>
      </c>
      <c r="U158" s="270" t="s">
        <v>678</v>
      </c>
      <c r="V158" s="270" t="s">
        <v>679</v>
      </c>
      <c r="W158" s="270" t="s">
        <v>145</v>
      </c>
      <c r="X158" s="270" t="s">
        <v>309</v>
      </c>
      <c r="Y158" s="273">
        <v>45078</v>
      </c>
      <c r="Z158" s="288" t="s">
        <v>1875</v>
      </c>
      <c r="AA158" s="288" t="s">
        <v>2479</v>
      </c>
      <c r="AB158" s="288" t="s">
        <v>139</v>
      </c>
      <c r="AC158" s="288" t="s">
        <v>1875</v>
      </c>
      <c r="AD158" s="288" t="s">
        <v>1805</v>
      </c>
      <c r="AE158" s="288" t="s">
        <v>1805</v>
      </c>
      <c r="AF158" s="288" t="s">
        <v>2479</v>
      </c>
      <c r="AG158" s="288" t="s">
        <v>2479</v>
      </c>
      <c r="AH158" s="288" t="s">
        <v>2479</v>
      </c>
      <c r="AI158" s="288" t="s">
        <v>2479</v>
      </c>
      <c r="AJ158" s="303" t="s">
        <v>2191</v>
      </c>
      <c r="AK158" s="288" t="s">
        <v>2479</v>
      </c>
      <c r="AL158" s="303" t="s">
        <v>2190</v>
      </c>
      <c r="AM158" s="288" t="s">
        <v>1975</v>
      </c>
      <c r="AN158" s="207" t="b">
        <v>0</v>
      </c>
      <c r="AY158" s="288" t="s">
        <v>2479</v>
      </c>
      <c r="AZ158" s="288" t="s">
        <v>2479</v>
      </c>
      <c r="BA158" s="288" t="s">
        <v>373</v>
      </c>
      <c r="BB158" s="288" t="s">
        <v>1610</v>
      </c>
      <c r="BC158" s="288" t="s">
        <v>2192</v>
      </c>
      <c r="BD158" s="280"/>
      <c r="BE158" s="280"/>
      <c r="BF158" s="280"/>
      <c r="BG158" s="280"/>
    </row>
    <row r="159" spans="1:59" ht="45" customHeight="1">
      <c r="A159" s="271">
        <f t="shared" si="2"/>
        <v>158</v>
      </c>
      <c r="B159" s="284" t="s">
        <v>3604</v>
      </c>
      <c r="C159" s="270" t="s">
        <v>3605</v>
      </c>
      <c r="D159" s="270" t="s">
        <v>8</v>
      </c>
      <c r="E159" s="270" t="s">
        <v>9</v>
      </c>
      <c r="F159" s="270" t="s">
        <v>1765</v>
      </c>
      <c r="G159" s="302">
        <v>45017</v>
      </c>
      <c r="L159" s="270" t="s">
        <v>2479</v>
      </c>
      <c r="M159" s="270" t="s">
        <v>2479</v>
      </c>
      <c r="N159" s="272" t="s">
        <v>122</v>
      </c>
      <c r="O159" s="270" t="s">
        <v>2479</v>
      </c>
      <c r="P159" s="270" t="s">
        <v>1554</v>
      </c>
      <c r="Q159" s="270" t="s">
        <v>2198</v>
      </c>
      <c r="R159" s="306" t="s">
        <v>3606</v>
      </c>
      <c r="S159" s="285">
        <v>2023</v>
      </c>
      <c r="T159" s="270" t="s">
        <v>2001</v>
      </c>
      <c r="U159" s="270" t="s">
        <v>678</v>
      </c>
      <c r="V159" s="270" t="s">
        <v>679</v>
      </c>
      <c r="W159" s="270" t="s">
        <v>145</v>
      </c>
      <c r="X159" s="270" t="s">
        <v>309</v>
      </c>
      <c r="Y159" s="273">
        <v>45078</v>
      </c>
      <c r="Z159" s="288" t="s">
        <v>1875</v>
      </c>
      <c r="AA159" s="288" t="s">
        <v>2479</v>
      </c>
      <c r="AB159" s="288" t="s">
        <v>139</v>
      </c>
      <c r="AC159" s="288" t="s">
        <v>1875</v>
      </c>
      <c r="AD159" s="288" t="s">
        <v>1805</v>
      </c>
      <c r="AE159" s="288" t="s">
        <v>1805</v>
      </c>
      <c r="AF159" s="288" t="s">
        <v>2479</v>
      </c>
      <c r="AG159" s="288" t="s">
        <v>2479</v>
      </c>
      <c r="AH159" s="288" t="s">
        <v>2479</v>
      </c>
      <c r="AI159" s="288" t="s">
        <v>2479</v>
      </c>
      <c r="AJ159" s="303" t="s">
        <v>2191</v>
      </c>
      <c r="AK159" s="288" t="s">
        <v>2479</v>
      </c>
      <c r="AL159" s="303" t="s">
        <v>2190</v>
      </c>
      <c r="AM159" s="288" t="s">
        <v>1975</v>
      </c>
      <c r="AN159" s="207" t="b">
        <v>0</v>
      </c>
      <c r="AY159" s="288" t="s">
        <v>2479</v>
      </c>
      <c r="AZ159" s="288" t="s">
        <v>2479</v>
      </c>
      <c r="BA159" s="288" t="s">
        <v>373</v>
      </c>
      <c r="BB159" s="288" t="s">
        <v>1610</v>
      </c>
      <c r="BC159" s="288" t="s">
        <v>2192</v>
      </c>
      <c r="BD159" s="280"/>
      <c r="BE159" s="280"/>
      <c r="BF159" s="280"/>
      <c r="BG159" s="280"/>
    </row>
    <row r="160" spans="1:59" ht="45" customHeight="1">
      <c r="A160" s="271">
        <f t="shared" si="2"/>
        <v>159</v>
      </c>
      <c r="B160" s="284" t="s">
        <v>3607</v>
      </c>
      <c r="C160" s="270" t="s">
        <v>3608</v>
      </c>
      <c r="D160" s="270" t="s">
        <v>8</v>
      </c>
      <c r="E160" s="270" t="s">
        <v>9</v>
      </c>
      <c r="F160" s="270" t="s">
        <v>1765</v>
      </c>
      <c r="G160" s="302">
        <v>45017</v>
      </c>
      <c r="L160" s="270" t="s">
        <v>2479</v>
      </c>
      <c r="M160" s="270" t="s">
        <v>2479</v>
      </c>
      <c r="N160" s="272" t="s">
        <v>122</v>
      </c>
      <c r="O160" s="270" t="s">
        <v>2479</v>
      </c>
      <c r="P160" s="270" t="s">
        <v>1554</v>
      </c>
      <c r="Q160" s="270" t="s">
        <v>2198</v>
      </c>
      <c r="R160" s="306" t="s">
        <v>3609</v>
      </c>
      <c r="S160" s="285">
        <v>2023</v>
      </c>
      <c r="T160" s="270" t="s">
        <v>2001</v>
      </c>
      <c r="U160" s="270" t="s">
        <v>678</v>
      </c>
      <c r="V160" s="270" t="s">
        <v>679</v>
      </c>
      <c r="W160" s="270" t="s">
        <v>145</v>
      </c>
      <c r="X160" s="270" t="s">
        <v>309</v>
      </c>
      <c r="Y160" s="273">
        <v>45078</v>
      </c>
      <c r="Z160" s="288" t="s">
        <v>1875</v>
      </c>
      <c r="AA160" s="288" t="s">
        <v>2479</v>
      </c>
      <c r="AB160" s="288" t="s">
        <v>139</v>
      </c>
      <c r="AC160" s="288" t="s">
        <v>1875</v>
      </c>
      <c r="AD160" s="288" t="s">
        <v>1805</v>
      </c>
      <c r="AE160" s="288" t="s">
        <v>1805</v>
      </c>
      <c r="AF160" s="288" t="s">
        <v>2479</v>
      </c>
      <c r="AG160" s="288" t="s">
        <v>2479</v>
      </c>
      <c r="AH160" s="288" t="s">
        <v>2479</v>
      </c>
      <c r="AI160" s="288" t="s">
        <v>2479</v>
      </c>
      <c r="AJ160" s="303" t="s">
        <v>2191</v>
      </c>
      <c r="AK160" s="288" t="s">
        <v>2479</v>
      </c>
      <c r="AL160" s="303" t="s">
        <v>2190</v>
      </c>
      <c r="AM160" s="288" t="s">
        <v>1975</v>
      </c>
      <c r="AN160" s="207" t="b">
        <v>0</v>
      </c>
      <c r="AY160" s="288" t="s">
        <v>2479</v>
      </c>
      <c r="AZ160" s="288" t="s">
        <v>2479</v>
      </c>
      <c r="BA160" s="288" t="s">
        <v>373</v>
      </c>
      <c r="BB160" s="288" t="s">
        <v>1610</v>
      </c>
      <c r="BC160" s="288" t="s">
        <v>2192</v>
      </c>
      <c r="BD160" s="280"/>
      <c r="BE160" s="280"/>
      <c r="BF160" s="280"/>
      <c r="BG160" s="280"/>
    </row>
    <row r="161" spans="1:59" ht="45" customHeight="1">
      <c r="A161" s="271">
        <f t="shared" si="2"/>
        <v>160</v>
      </c>
      <c r="B161" s="284" t="s">
        <v>3610</v>
      </c>
      <c r="C161" s="270" t="s">
        <v>3611</v>
      </c>
      <c r="D161" s="270" t="s">
        <v>8</v>
      </c>
      <c r="E161" s="270" t="s">
        <v>9</v>
      </c>
      <c r="F161" s="270" t="s">
        <v>1765</v>
      </c>
      <c r="G161" s="302">
        <v>45017</v>
      </c>
      <c r="L161" s="270" t="s">
        <v>2479</v>
      </c>
      <c r="M161" s="270" t="s">
        <v>2479</v>
      </c>
      <c r="N161" s="272" t="s">
        <v>122</v>
      </c>
      <c r="O161" s="270" t="s">
        <v>2479</v>
      </c>
      <c r="P161" s="270" t="s">
        <v>1554</v>
      </c>
      <c r="Q161" s="270" t="s">
        <v>2198</v>
      </c>
      <c r="R161" s="306" t="s">
        <v>3612</v>
      </c>
      <c r="S161" s="285">
        <v>2023</v>
      </c>
      <c r="T161" s="270" t="s">
        <v>2001</v>
      </c>
      <c r="U161" s="270" t="s">
        <v>678</v>
      </c>
      <c r="V161" s="270" t="s">
        <v>679</v>
      </c>
      <c r="W161" s="270" t="s">
        <v>145</v>
      </c>
      <c r="X161" s="270" t="s">
        <v>309</v>
      </c>
      <c r="Y161" s="273">
        <v>45078</v>
      </c>
      <c r="Z161" s="288" t="s">
        <v>1875</v>
      </c>
      <c r="AA161" s="288" t="s">
        <v>2479</v>
      </c>
      <c r="AB161" s="288" t="s">
        <v>139</v>
      </c>
      <c r="AC161" s="288" t="s">
        <v>1875</v>
      </c>
      <c r="AD161" s="288" t="s">
        <v>1805</v>
      </c>
      <c r="AE161" s="288" t="s">
        <v>1805</v>
      </c>
      <c r="AF161" s="288" t="s">
        <v>2479</v>
      </c>
      <c r="AG161" s="288" t="s">
        <v>2479</v>
      </c>
      <c r="AH161" s="288" t="s">
        <v>2479</v>
      </c>
      <c r="AI161" s="288" t="s">
        <v>2479</v>
      </c>
      <c r="AJ161" s="303" t="s">
        <v>2191</v>
      </c>
      <c r="AK161" s="288" t="s">
        <v>2479</v>
      </c>
      <c r="AL161" s="303" t="s">
        <v>2190</v>
      </c>
      <c r="AM161" s="288" t="s">
        <v>1975</v>
      </c>
      <c r="AN161" s="207" t="b">
        <v>0</v>
      </c>
      <c r="AY161" s="288" t="s">
        <v>2479</v>
      </c>
      <c r="AZ161" s="288" t="s">
        <v>2479</v>
      </c>
      <c r="BA161" s="288" t="s">
        <v>373</v>
      </c>
      <c r="BB161" s="288" t="s">
        <v>1610</v>
      </c>
      <c r="BC161" s="288" t="s">
        <v>2192</v>
      </c>
      <c r="BD161" s="280"/>
      <c r="BE161" s="280"/>
      <c r="BF161" s="280"/>
      <c r="BG161" s="280"/>
    </row>
    <row r="162" spans="1:59" ht="45" customHeight="1">
      <c r="A162" s="271">
        <f>ROW()-1</f>
        <v>161</v>
      </c>
      <c r="B162" s="284" t="s">
        <v>3613</v>
      </c>
      <c r="C162" s="270" t="s">
        <v>3614</v>
      </c>
      <c r="D162" s="270" t="s">
        <v>8</v>
      </c>
      <c r="E162" s="270" t="s">
        <v>9</v>
      </c>
      <c r="F162" s="270" t="s">
        <v>1765</v>
      </c>
      <c r="G162" s="302">
        <v>45017</v>
      </c>
      <c r="L162" s="270" t="s">
        <v>2479</v>
      </c>
      <c r="M162" s="270" t="s">
        <v>2479</v>
      </c>
      <c r="N162" s="272" t="s">
        <v>122</v>
      </c>
      <c r="O162" s="270" t="s">
        <v>2479</v>
      </c>
      <c r="P162" s="270" t="s">
        <v>1554</v>
      </c>
      <c r="Q162" s="270" t="s">
        <v>2198</v>
      </c>
      <c r="R162" s="306" t="s">
        <v>3615</v>
      </c>
      <c r="S162" s="285">
        <v>2023</v>
      </c>
      <c r="T162" s="270" t="s">
        <v>2001</v>
      </c>
      <c r="U162" s="270" t="s">
        <v>678</v>
      </c>
      <c r="V162" s="270" t="s">
        <v>679</v>
      </c>
      <c r="W162" s="270" t="s">
        <v>145</v>
      </c>
      <c r="X162" s="270" t="s">
        <v>309</v>
      </c>
      <c r="Y162" s="273">
        <v>45078</v>
      </c>
      <c r="Z162" s="288" t="s">
        <v>1875</v>
      </c>
      <c r="AA162" s="288" t="s">
        <v>2479</v>
      </c>
      <c r="AB162" s="288" t="s">
        <v>139</v>
      </c>
      <c r="AC162" s="288" t="s">
        <v>1875</v>
      </c>
      <c r="AD162" s="288" t="s">
        <v>1805</v>
      </c>
      <c r="AE162" s="288" t="s">
        <v>1805</v>
      </c>
      <c r="AF162" s="288" t="s">
        <v>2479</v>
      </c>
      <c r="AG162" s="288" t="s">
        <v>2479</v>
      </c>
      <c r="AH162" s="288" t="s">
        <v>2479</v>
      </c>
      <c r="AI162" s="288" t="s">
        <v>2479</v>
      </c>
      <c r="AJ162" s="303" t="s">
        <v>2191</v>
      </c>
      <c r="AK162" s="288" t="s">
        <v>2479</v>
      </c>
      <c r="AL162" s="303" t="s">
        <v>2190</v>
      </c>
      <c r="AM162" s="288" t="s">
        <v>1975</v>
      </c>
      <c r="AN162" s="207" t="b">
        <v>0</v>
      </c>
      <c r="AY162" s="288" t="s">
        <v>2479</v>
      </c>
      <c r="AZ162" s="288" t="s">
        <v>2479</v>
      </c>
      <c r="BA162" s="288" t="s">
        <v>373</v>
      </c>
      <c r="BB162" s="288" t="s">
        <v>1610</v>
      </c>
      <c r="BC162" s="288" t="s">
        <v>2192</v>
      </c>
      <c r="BD162" s="280"/>
      <c r="BE162" s="280"/>
      <c r="BF162" s="280"/>
      <c r="BG162" s="280"/>
    </row>
    <row r="163" spans="1:59" ht="45" customHeight="1">
      <c r="A163" s="271">
        <f>ROW()-1</f>
        <v>162</v>
      </c>
      <c r="B163" s="284" t="s">
        <v>3616</v>
      </c>
      <c r="C163" s="270" t="s">
        <v>3617</v>
      </c>
      <c r="D163" s="270" t="s">
        <v>8</v>
      </c>
      <c r="E163" s="270" t="s">
        <v>9</v>
      </c>
      <c r="F163" s="270" t="s">
        <v>1765</v>
      </c>
      <c r="G163" s="302">
        <v>45017</v>
      </c>
      <c r="K163" s="306">
        <v>45104</v>
      </c>
      <c r="L163" s="270" t="s">
        <v>2193</v>
      </c>
      <c r="M163" s="270" t="s">
        <v>115</v>
      </c>
      <c r="N163" s="272" t="s">
        <v>2479</v>
      </c>
      <c r="O163" s="270" t="s">
        <v>2479</v>
      </c>
      <c r="P163" s="270" t="s">
        <v>1554</v>
      </c>
      <c r="Q163" s="270" t="s">
        <v>2198</v>
      </c>
      <c r="R163" s="306">
        <v>44992.622013888889</v>
      </c>
      <c r="S163" s="285">
        <v>2023</v>
      </c>
      <c r="T163" s="270" t="s">
        <v>2194</v>
      </c>
      <c r="U163" s="270" t="s">
        <v>678</v>
      </c>
      <c r="V163" s="270" t="s">
        <v>679</v>
      </c>
      <c r="W163" s="270" t="s">
        <v>145</v>
      </c>
      <c r="X163" s="270" t="s">
        <v>309</v>
      </c>
      <c r="Y163" s="273">
        <v>45078</v>
      </c>
      <c r="Z163" s="288" t="s">
        <v>1875</v>
      </c>
      <c r="AA163" s="288" t="s">
        <v>2479</v>
      </c>
      <c r="AB163" s="288" t="s">
        <v>139</v>
      </c>
      <c r="AC163" s="288" t="s">
        <v>1875</v>
      </c>
      <c r="AD163" s="288" t="s">
        <v>1805</v>
      </c>
      <c r="AE163" s="288" t="s">
        <v>1805</v>
      </c>
      <c r="AF163" s="288" t="s">
        <v>2479</v>
      </c>
      <c r="AG163" s="288" t="s">
        <v>2479</v>
      </c>
      <c r="AH163" s="288" t="s">
        <v>2479</v>
      </c>
      <c r="AI163" s="288" t="s">
        <v>2479</v>
      </c>
      <c r="AJ163" s="303" t="s">
        <v>2191</v>
      </c>
      <c r="AK163" s="288" t="s">
        <v>2479</v>
      </c>
      <c r="AL163" s="303" t="s">
        <v>2190</v>
      </c>
      <c r="AM163" s="288" t="s">
        <v>1975</v>
      </c>
      <c r="AN163" s="207" t="b">
        <v>0</v>
      </c>
      <c r="AY163" s="288" t="s">
        <v>2479</v>
      </c>
      <c r="AZ163" s="288" t="s">
        <v>2479</v>
      </c>
      <c r="BA163" s="288" t="s">
        <v>373</v>
      </c>
      <c r="BB163" s="288" t="s">
        <v>139</v>
      </c>
      <c r="BC163" s="288" t="s">
        <v>2192</v>
      </c>
      <c r="BD163" s="280"/>
      <c r="BE163" s="280"/>
      <c r="BF163" s="280"/>
      <c r="BG163" s="280"/>
    </row>
    <row r="164" spans="1:59" ht="45" customHeight="1">
      <c r="A164" s="271">
        <f t="shared" si="2"/>
        <v>163</v>
      </c>
      <c r="B164" s="284" t="s">
        <v>3618</v>
      </c>
      <c r="C164" s="270" t="s">
        <v>3619</v>
      </c>
      <c r="D164" s="270" t="s">
        <v>8</v>
      </c>
      <c r="E164" s="270" t="s">
        <v>9</v>
      </c>
      <c r="F164" s="270" t="s">
        <v>1765</v>
      </c>
      <c r="G164" s="302">
        <v>45017</v>
      </c>
      <c r="L164" s="270" t="s">
        <v>2479</v>
      </c>
      <c r="M164" s="270" t="s">
        <v>2479</v>
      </c>
      <c r="N164" s="272" t="s">
        <v>122</v>
      </c>
      <c r="O164" s="270" t="s">
        <v>2479</v>
      </c>
      <c r="P164" s="270" t="s">
        <v>1554</v>
      </c>
      <c r="Q164" s="270" t="s">
        <v>2198</v>
      </c>
      <c r="R164" s="306" t="s">
        <v>3620</v>
      </c>
      <c r="S164" s="285">
        <v>2023</v>
      </c>
      <c r="T164" s="270" t="s">
        <v>2001</v>
      </c>
      <c r="U164" s="270" t="s">
        <v>678</v>
      </c>
      <c r="V164" s="270" t="s">
        <v>679</v>
      </c>
      <c r="W164" s="270" t="s">
        <v>145</v>
      </c>
      <c r="X164" s="270" t="s">
        <v>309</v>
      </c>
      <c r="Y164" s="273">
        <v>45078</v>
      </c>
      <c r="Z164" s="288" t="s">
        <v>1875</v>
      </c>
      <c r="AA164" s="288" t="s">
        <v>2479</v>
      </c>
      <c r="AB164" s="288" t="s">
        <v>139</v>
      </c>
      <c r="AC164" s="288" t="s">
        <v>1875</v>
      </c>
      <c r="AD164" s="288" t="s">
        <v>1805</v>
      </c>
      <c r="AE164" s="288" t="s">
        <v>1805</v>
      </c>
      <c r="AF164" s="288" t="s">
        <v>2479</v>
      </c>
      <c r="AG164" s="288" t="s">
        <v>2479</v>
      </c>
      <c r="AH164" s="288" t="s">
        <v>2479</v>
      </c>
      <c r="AI164" s="288" t="s">
        <v>2479</v>
      </c>
      <c r="AJ164" s="303" t="s">
        <v>2191</v>
      </c>
      <c r="AK164" s="288" t="s">
        <v>2479</v>
      </c>
      <c r="AL164" s="303" t="s">
        <v>2190</v>
      </c>
      <c r="AM164" s="288" t="s">
        <v>1975</v>
      </c>
      <c r="AN164" s="207" t="b">
        <v>0</v>
      </c>
      <c r="AY164" s="288" t="s">
        <v>2479</v>
      </c>
      <c r="AZ164" s="288" t="s">
        <v>2479</v>
      </c>
      <c r="BA164" s="288" t="s">
        <v>373</v>
      </c>
      <c r="BB164" s="288" t="s">
        <v>1610</v>
      </c>
      <c r="BC164" s="288" t="s">
        <v>2192</v>
      </c>
      <c r="BD164" s="280"/>
      <c r="BE164" s="280"/>
      <c r="BF164" s="280"/>
      <c r="BG164" s="280"/>
    </row>
    <row r="165" spans="1:59" ht="45" customHeight="1">
      <c r="A165" s="271">
        <f t="shared" si="2"/>
        <v>164</v>
      </c>
      <c r="B165" s="284" t="s">
        <v>3621</v>
      </c>
      <c r="C165" s="270" t="s">
        <v>3622</v>
      </c>
      <c r="D165" s="270" t="s">
        <v>8</v>
      </c>
      <c r="E165" s="270" t="s">
        <v>9</v>
      </c>
      <c r="F165" s="270" t="s">
        <v>1765</v>
      </c>
      <c r="G165" s="302">
        <v>45017</v>
      </c>
      <c r="L165" s="270" t="s">
        <v>2479</v>
      </c>
      <c r="M165" s="270" t="s">
        <v>2479</v>
      </c>
      <c r="N165" s="272" t="s">
        <v>122</v>
      </c>
      <c r="O165" s="270" t="s">
        <v>2479</v>
      </c>
      <c r="P165" s="270" t="s">
        <v>1554</v>
      </c>
      <c r="Q165" s="270" t="s">
        <v>2198</v>
      </c>
      <c r="R165" s="306" t="s">
        <v>3623</v>
      </c>
      <c r="S165" s="285">
        <v>2023</v>
      </c>
      <c r="T165" s="270" t="s">
        <v>2001</v>
      </c>
      <c r="U165" s="270" t="s">
        <v>678</v>
      </c>
      <c r="V165" s="270" t="s">
        <v>679</v>
      </c>
      <c r="W165" s="270" t="s">
        <v>145</v>
      </c>
      <c r="X165" s="270" t="s">
        <v>309</v>
      </c>
      <c r="Y165" s="273">
        <v>45078</v>
      </c>
      <c r="Z165" s="288" t="s">
        <v>1875</v>
      </c>
      <c r="AA165" s="288" t="s">
        <v>2479</v>
      </c>
      <c r="AB165" s="288" t="s">
        <v>139</v>
      </c>
      <c r="AC165" s="288" t="s">
        <v>1875</v>
      </c>
      <c r="AD165" s="288" t="s">
        <v>1805</v>
      </c>
      <c r="AE165" s="288" t="s">
        <v>1805</v>
      </c>
      <c r="AF165" s="288" t="s">
        <v>2479</v>
      </c>
      <c r="AG165" s="288" t="s">
        <v>2479</v>
      </c>
      <c r="AH165" s="288" t="s">
        <v>2479</v>
      </c>
      <c r="AI165" s="288" t="s">
        <v>2479</v>
      </c>
      <c r="AJ165" s="303" t="s">
        <v>2191</v>
      </c>
      <c r="AK165" s="288" t="s">
        <v>2479</v>
      </c>
      <c r="AL165" s="303" t="s">
        <v>2190</v>
      </c>
      <c r="AM165" s="288" t="s">
        <v>1975</v>
      </c>
      <c r="AN165" s="207" t="b">
        <v>0</v>
      </c>
      <c r="AY165" s="288" t="s">
        <v>2479</v>
      </c>
      <c r="AZ165" s="288" t="s">
        <v>2479</v>
      </c>
      <c r="BA165" s="288" t="s">
        <v>373</v>
      </c>
      <c r="BB165" s="288" t="s">
        <v>1610</v>
      </c>
      <c r="BC165" s="288" t="s">
        <v>2192</v>
      </c>
      <c r="BD165" s="280"/>
      <c r="BE165" s="280"/>
      <c r="BF165" s="280"/>
      <c r="BG165" s="280"/>
    </row>
    <row r="166" spans="1:59" ht="45" customHeight="1">
      <c r="A166" s="271">
        <f t="shared" si="2"/>
        <v>165</v>
      </c>
      <c r="B166" s="284" t="s">
        <v>3624</v>
      </c>
      <c r="C166" s="270" t="s">
        <v>3625</v>
      </c>
      <c r="D166" s="270" t="s">
        <v>8</v>
      </c>
      <c r="E166" s="270" t="s">
        <v>9</v>
      </c>
      <c r="F166" s="270" t="s">
        <v>1765</v>
      </c>
      <c r="G166" s="302">
        <v>45017</v>
      </c>
      <c r="L166" s="270" t="s">
        <v>2479</v>
      </c>
      <c r="M166" s="270" t="s">
        <v>2479</v>
      </c>
      <c r="N166" s="272" t="s">
        <v>122</v>
      </c>
      <c r="O166" s="270" t="s">
        <v>2479</v>
      </c>
      <c r="P166" s="270" t="s">
        <v>1554</v>
      </c>
      <c r="Q166" s="270" t="s">
        <v>2198</v>
      </c>
      <c r="R166" s="306" t="s">
        <v>3626</v>
      </c>
      <c r="S166" s="285">
        <v>2023</v>
      </c>
      <c r="T166" s="270" t="s">
        <v>2001</v>
      </c>
      <c r="U166" s="270" t="s">
        <v>678</v>
      </c>
      <c r="V166" s="270" t="s">
        <v>679</v>
      </c>
      <c r="W166" s="270" t="s">
        <v>145</v>
      </c>
      <c r="X166" s="270" t="s">
        <v>309</v>
      </c>
      <c r="Y166" s="273">
        <v>45078</v>
      </c>
      <c r="Z166" s="288" t="s">
        <v>1875</v>
      </c>
      <c r="AA166" s="288" t="s">
        <v>2479</v>
      </c>
      <c r="AB166" s="288" t="s">
        <v>139</v>
      </c>
      <c r="AC166" s="288" t="s">
        <v>1875</v>
      </c>
      <c r="AD166" s="288" t="s">
        <v>1805</v>
      </c>
      <c r="AE166" s="288" t="s">
        <v>1805</v>
      </c>
      <c r="AF166" s="288" t="s">
        <v>2479</v>
      </c>
      <c r="AG166" s="288" t="s">
        <v>2479</v>
      </c>
      <c r="AH166" s="288" t="s">
        <v>2479</v>
      </c>
      <c r="AI166" s="288" t="s">
        <v>2479</v>
      </c>
      <c r="AJ166" s="303" t="s">
        <v>2191</v>
      </c>
      <c r="AK166" s="288" t="s">
        <v>2479</v>
      </c>
      <c r="AL166" s="303" t="s">
        <v>2190</v>
      </c>
      <c r="AM166" s="288" t="s">
        <v>1975</v>
      </c>
      <c r="AN166" s="207" t="b">
        <v>0</v>
      </c>
      <c r="AY166" s="288" t="s">
        <v>2479</v>
      </c>
      <c r="AZ166" s="288" t="s">
        <v>2479</v>
      </c>
      <c r="BA166" s="288" t="s">
        <v>373</v>
      </c>
      <c r="BB166" s="288" t="s">
        <v>1610</v>
      </c>
      <c r="BC166" s="288" t="s">
        <v>2192</v>
      </c>
      <c r="BD166" s="280"/>
      <c r="BE166" s="280"/>
      <c r="BF166" s="280"/>
      <c r="BG166" s="280"/>
    </row>
    <row r="167" spans="1:59" ht="45" customHeight="1">
      <c r="A167" s="271">
        <f t="shared" si="2"/>
        <v>166</v>
      </c>
      <c r="B167" s="284" t="s">
        <v>3627</v>
      </c>
      <c r="C167" s="270" t="s">
        <v>3628</v>
      </c>
      <c r="D167" s="270" t="s">
        <v>8</v>
      </c>
      <c r="E167" s="270" t="s">
        <v>9</v>
      </c>
      <c r="F167" s="270" t="s">
        <v>1765</v>
      </c>
      <c r="G167" s="302">
        <v>45017</v>
      </c>
      <c r="L167" s="270" t="s">
        <v>2479</v>
      </c>
      <c r="M167" s="270" t="s">
        <v>2479</v>
      </c>
      <c r="N167" s="272" t="s">
        <v>122</v>
      </c>
      <c r="O167" s="270" t="s">
        <v>2479</v>
      </c>
      <c r="P167" s="270" t="s">
        <v>1554</v>
      </c>
      <c r="Q167" s="270" t="s">
        <v>2198</v>
      </c>
      <c r="R167" s="306" t="s">
        <v>3629</v>
      </c>
      <c r="S167" s="285">
        <v>2023</v>
      </c>
      <c r="T167" s="270" t="s">
        <v>2001</v>
      </c>
      <c r="U167" s="270" t="s">
        <v>678</v>
      </c>
      <c r="V167" s="270" t="s">
        <v>679</v>
      </c>
      <c r="W167" s="270" t="s">
        <v>145</v>
      </c>
      <c r="X167" s="270" t="s">
        <v>309</v>
      </c>
      <c r="Y167" s="273">
        <v>45078</v>
      </c>
      <c r="Z167" s="288" t="s">
        <v>1875</v>
      </c>
      <c r="AA167" s="288" t="s">
        <v>2479</v>
      </c>
      <c r="AB167" s="288" t="s">
        <v>139</v>
      </c>
      <c r="AC167" s="288" t="s">
        <v>1875</v>
      </c>
      <c r="AD167" s="288" t="s">
        <v>1805</v>
      </c>
      <c r="AE167" s="288" t="s">
        <v>1805</v>
      </c>
      <c r="AF167" s="288" t="s">
        <v>2479</v>
      </c>
      <c r="AG167" s="288" t="s">
        <v>2479</v>
      </c>
      <c r="AH167" s="288" t="s">
        <v>2479</v>
      </c>
      <c r="AI167" s="288" t="s">
        <v>2479</v>
      </c>
      <c r="AJ167" s="303" t="s">
        <v>2191</v>
      </c>
      <c r="AK167" s="288" t="s">
        <v>2479</v>
      </c>
      <c r="AL167" s="303" t="s">
        <v>2190</v>
      </c>
      <c r="AM167" s="288" t="s">
        <v>1975</v>
      </c>
      <c r="AN167" s="207" t="b">
        <v>0</v>
      </c>
      <c r="AY167" s="288" t="s">
        <v>2479</v>
      </c>
      <c r="AZ167" s="288" t="s">
        <v>2479</v>
      </c>
      <c r="BA167" s="288" t="s">
        <v>373</v>
      </c>
      <c r="BB167" s="288" t="s">
        <v>1610</v>
      </c>
      <c r="BC167" s="288" t="s">
        <v>2192</v>
      </c>
      <c r="BD167" s="280"/>
      <c r="BE167" s="280"/>
      <c r="BF167" s="280"/>
      <c r="BG167" s="280"/>
    </row>
    <row r="168" spans="1:59" ht="45" customHeight="1">
      <c r="A168" s="271">
        <f t="shared" si="2"/>
        <v>167</v>
      </c>
      <c r="B168" s="284" t="s">
        <v>3630</v>
      </c>
      <c r="C168" s="270" t="s">
        <v>3631</v>
      </c>
      <c r="D168" s="270" t="s">
        <v>8</v>
      </c>
      <c r="E168" s="270" t="s">
        <v>9</v>
      </c>
      <c r="F168" s="270" t="s">
        <v>1765</v>
      </c>
      <c r="G168" s="302">
        <v>45017</v>
      </c>
      <c r="L168" s="270" t="s">
        <v>2479</v>
      </c>
      <c r="M168" s="270" t="s">
        <v>2479</v>
      </c>
      <c r="N168" s="272" t="s">
        <v>122</v>
      </c>
      <c r="O168" s="270" t="s">
        <v>2479</v>
      </c>
      <c r="P168" s="270" t="s">
        <v>1554</v>
      </c>
      <c r="Q168" s="270" t="s">
        <v>2198</v>
      </c>
      <c r="R168" s="306" t="s">
        <v>3632</v>
      </c>
      <c r="S168" s="285">
        <v>2023</v>
      </c>
      <c r="T168" s="270" t="s">
        <v>2001</v>
      </c>
      <c r="U168" s="270" t="s">
        <v>678</v>
      </c>
      <c r="V168" s="270" t="s">
        <v>679</v>
      </c>
      <c r="W168" s="270" t="s">
        <v>145</v>
      </c>
      <c r="X168" s="270" t="s">
        <v>309</v>
      </c>
      <c r="Y168" s="273">
        <v>45078</v>
      </c>
      <c r="Z168" s="288" t="s">
        <v>1875</v>
      </c>
      <c r="AA168" s="288" t="s">
        <v>2479</v>
      </c>
      <c r="AB168" s="288" t="s">
        <v>139</v>
      </c>
      <c r="AC168" s="288" t="s">
        <v>1875</v>
      </c>
      <c r="AD168" s="288" t="s">
        <v>1805</v>
      </c>
      <c r="AE168" s="288" t="s">
        <v>1805</v>
      </c>
      <c r="AF168" s="288" t="s">
        <v>2479</v>
      </c>
      <c r="AG168" s="288" t="s">
        <v>2479</v>
      </c>
      <c r="AH168" s="288" t="s">
        <v>2479</v>
      </c>
      <c r="AI168" s="288" t="s">
        <v>2479</v>
      </c>
      <c r="AJ168" s="303" t="s">
        <v>2191</v>
      </c>
      <c r="AK168" s="288" t="s">
        <v>2479</v>
      </c>
      <c r="AL168" s="303" t="s">
        <v>2190</v>
      </c>
      <c r="AM168" s="288" t="s">
        <v>1975</v>
      </c>
      <c r="AN168" s="207" t="b">
        <v>0</v>
      </c>
      <c r="AY168" s="288" t="s">
        <v>2479</v>
      </c>
      <c r="AZ168" s="288" t="s">
        <v>2479</v>
      </c>
      <c r="BA168" s="288" t="s">
        <v>373</v>
      </c>
      <c r="BB168" s="288" t="s">
        <v>1610</v>
      </c>
      <c r="BC168" s="288" t="s">
        <v>2192</v>
      </c>
      <c r="BD168" s="280"/>
      <c r="BE168" s="280"/>
      <c r="BF168" s="280"/>
      <c r="BG168" s="280"/>
    </row>
    <row r="169" spans="1:59" ht="45" customHeight="1">
      <c r="A169" s="271">
        <f t="shared" si="2"/>
        <v>168</v>
      </c>
      <c r="B169" s="284" t="s">
        <v>3633</v>
      </c>
      <c r="C169" s="270" t="s">
        <v>3634</v>
      </c>
      <c r="D169" s="270" t="s">
        <v>8</v>
      </c>
      <c r="E169" s="270" t="s">
        <v>9</v>
      </c>
      <c r="F169" s="270" t="s">
        <v>1765</v>
      </c>
      <c r="G169" s="302">
        <v>45017</v>
      </c>
      <c r="L169" s="270" t="s">
        <v>2479</v>
      </c>
      <c r="M169" s="270" t="s">
        <v>2479</v>
      </c>
      <c r="N169" s="272" t="s">
        <v>122</v>
      </c>
      <c r="O169" s="270" t="s">
        <v>2479</v>
      </c>
      <c r="P169" s="270" t="s">
        <v>1554</v>
      </c>
      <c r="Q169" s="270" t="s">
        <v>2198</v>
      </c>
      <c r="R169" s="306" t="s">
        <v>3635</v>
      </c>
      <c r="S169" s="285">
        <v>2023</v>
      </c>
      <c r="T169" s="270" t="s">
        <v>2001</v>
      </c>
      <c r="U169" s="270" t="s">
        <v>678</v>
      </c>
      <c r="V169" s="270" t="s">
        <v>679</v>
      </c>
      <c r="W169" s="270" t="s">
        <v>145</v>
      </c>
      <c r="X169" s="270" t="s">
        <v>309</v>
      </c>
      <c r="Y169" s="273">
        <v>45078</v>
      </c>
      <c r="Z169" s="288" t="s">
        <v>1875</v>
      </c>
      <c r="AA169" s="288" t="s">
        <v>2479</v>
      </c>
      <c r="AB169" s="288" t="s">
        <v>139</v>
      </c>
      <c r="AC169" s="288" t="s">
        <v>1875</v>
      </c>
      <c r="AD169" s="288" t="s">
        <v>1805</v>
      </c>
      <c r="AE169" s="288" t="s">
        <v>1805</v>
      </c>
      <c r="AF169" s="288" t="s">
        <v>2479</v>
      </c>
      <c r="AG169" s="288" t="s">
        <v>2479</v>
      </c>
      <c r="AH169" s="288" t="s">
        <v>2479</v>
      </c>
      <c r="AI169" s="288" t="s">
        <v>2479</v>
      </c>
      <c r="AJ169" s="303" t="s">
        <v>2191</v>
      </c>
      <c r="AK169" s="288" t="s">
        <v>2479</v>
      </c>
      <c r="AL169" s="303" t="s">
        <v>2190</v>
      </c>
      <c r="AM169" s="288" t="s">
        <v>1975</v>
      </c>
      <c r="AN169" s="207" t="b">
        <v>0</v>
      </c>
      <c r="AY169" s="288" t="s">
        <v>2479</v>
      </c>
      <c r="AZ169" s="288" t="s">
        <v>2479</v>
      </c>
      <c r="BA169" s="288" t="s">
        <v>373</v>
      </c>
      <c r="BB169" s="288" t="s">
        <v>1610</v>
      </c>
      <c r="BC169" s="288" t="s">
        <v>2192</v>
      </c>
      <c r="BD169" s="280"/>
      <c r="BE169" s="280"/>
      <c r="BF169" s="280"/>
      <c r="BG169" s="280"/>
    </row>
    <row r="170" spans="1:59" ht="45" customHeight="1">
      <c r="A170" s="271">
        <f t="shared" si="2"/>
        <v>169</v>
      </c>
      <c r="B170" s="284" t="s">
        <v>3636</v>
      </c>
      <c r="C170" s="270" t="s">
        <v>3637</v>
      </c>
      <c r="D170" s="270" t="s">
        <v>8</v>
      </c>
      <c r="E170" s="270" t="s">
        <v>9</v>
      </c>
      <c r="F170" s="270" t="s">
        <v>1765</v>
      </c>
      <c r="G170" s="302">
        <v>45017</v>
      </c>
      <c r="L170" s="270" t="s">
        <v>2479</v>
      </c>
      <c r="M170" s="270" t="s">
        <v>2479</v>
      </c>
      <c r="N170" s="272" t="s">
        <v>122</v>
      </c>
      <c r="O170" s="270" t="s">
        <v>2479</v>
      </c>
      <c r="P170" s="270" t="s">
        <v>1554</v>
      </c>
      <c r="Q170" s="270" t="s">
        <v>2198</v>
      </c>
      <c r="R170" s="306" t="s">
        <v>3638</v>
      </c>
      <c r="S170" s="285">
        <v>2023</v>
      </c>
      <c r="T170" s="270" t="s">
        <v>2001</v>
      </c>
      <c r="U170" s="270" t="s">
        <v>678</v>
      </c>
      <c r="V170" s="270" t="s">
        <v>679</v>
      </c>
      <c r="W170" s="270" t="s">
        <v>145</v>
      </c>
      <c r="X170" s="270" t="s">
        <v>309</v>
      </c>
      <c r="Y170" s="273">
        <v>45078</v>
      </c>
      <c r="Z170" s="288" t="s">
        <v>1875</v>
      </c>
      <c r="AA170" s="288" t="s">
        <v>2479</v>
      </c>
      <c r="AB170" s="288" t="s">
        <v>139</v>
      </c>
      <c r="AC170" s="288" t="s">
        <v>1875</v>
      </c>
      <c r="AD170" s="288" t="s">
        <v>1805</v>
      </c>
      <c r="AE170" s="288" t="s">
        <v>1805</v>
      </c>
      <c r="AF170" s="288" t="s">
        <v>2479</v>
      </c>
      <c r="AG170" s="288" t="s">
        <v>2479</v>
      </c>
      <c r="AH170" s="288" t="s">
        <v>2479</v>
      </c>
      <c r="AI170" s="288" t="s">
        <v>2479</v>
      </c>
      <c r="AJ170" s="303" t="s">
        <v>2191</v>
      </c>
      <c r="AK170" s="288" t="s">
        <v>2479</v>
      </c>
      <c r="AL170" s="303" t="s">
        <v>2190</v>
      </c>
      <c r="AM170" s="288" t="s">
        <v>1975</v>
      </c>
      <c r="AN170" s="207" t="b">
        <v>0</v>
      </c>
      <c r="AY170" s="288" t="s">
        <v>2479</v>
      </c>
      <c r="AZ170" s="288" t="s">
        <v>2479</v>
      </c>
      <c r="BA170" s="288" t="s">
        <v>373</v>
      </c>
      <c r="BB170" s="288" t="s">
        <v>1610</v>
      </c>
      <c r="BC170" s="288" t="s">
        <v>2192</v>
      </c>
      <c r="BD170" s="280"/>
      <c r="BE170" s="280"/>
      <c r="BF170" s="280"/>
      <c r="BG170" s="280"/>
    </row>
    <row r="171" spans="1:59" ht="45" customHeight="1">
      <c r="A171" s="271">
        <f t="shared" si="2"/>
        <v>170</v>
      </c>
      <c r="B171" s="284" t="s">
        <v>3639</v>
      </c>
      <c r="C171" s="270" t="s">
        <v>3640</v>
      </c>
      <c r="D171" s="270" t="s">
        <v>8</v>
      </c>
      <c r="E171" s="270" t="s">
        <v>9</v>
      </c>
      <c r="F171" s="270" t="s">
        <v>1765</v>
      </c>
      <c r="G171" s="302">
        <v>45017</v>
      </c>
      <c r="L171" s="270" t="s">
        <v>2479</v>
      </c>
      <c r="M171" s="270" t="s">
        <v>2479</v>
      </c>
      <c r="N171" s="272" t="s">
        <v>122</v>
      </c>
      <c r="O171" s="270" t="s">
        <v>2479</v>
      </c>
      <c r="P171" s="270" t="s">
        <v>1554</v>
      </c>
      <c r="Q171" s="270" t="s">
        <v>2198</v>
      </c>
      <c r="R171" s="306" t="s">
        <v>3641</v>
      </c>
      <c r="S171" s="285">
        <v>2023</v>
      </c>
      <c r="T171" s="270" t="s">
        <v>2001</v>
      </c>
      <c r="U171" s="270" t="s">
        <v>678</v>
      </c>
      <c r="V171" s="270" t="s">
        <v>679</v>
      </c>
      <c r="W171" s="270" t="s">
        <v>145</v>
      </c>
      <c r="X171" s="270" t="s">
        <v>309</v>
      </c>
      <c r="Y171" s="273">
        <v>45078</v>
      </c>
      <c r="Z171" s="288" t="s">
        <v>1875</v>
      </c>
      <c r="AA171" s="288" t="s">
        <v>2479</v>
      </c>
      <c r="AB171" s="288" t="s">
        <v>139</v>
      </c>
      <c r="AC171" s="288" t="s">
        <v>1875</v>
      </c>
      <c r="AD171" s="288" t="s">
        <v>1805</v>
      </c>
      <c r="AE171" s="288" t="s">
        <v>1805</v>
      </c>
      <c r="AF171" s="288" t="s">
        <v>2479</v>
      </c>
      <c r="AG171" s="288" t="s">
        <v>2479</v>
      </c>
      <c r="AH171" s="288" t="s">
        <v>2479</v>
      </c>
      <c r="AI171" s="288" t="s">
        <v>2479</v>
      </c>
      <c r="AJ171" s="303" t="s">
        <v>2191</v>
      </c>
      <c r="AK171" s="288" t="s">
        <v>2479</v>
      </c>
      <c r="AL171" s="303" t="s">
        <v>2190</v>
      </c>
      <c r="AM171" s="288" t="s">
        <v>1975</v>
      </c>
      <c r="AN171" s="207" t="b">
        <v>0</v>
      </c>
      <c r="AY171" s="288" t="s">
        <v>2479</v>
      </c>
      <c r="AZ171" s="288" t="s">
        <v>2479</v>
      </c>
      <c r="BA171" s="288" t="s">
        <v>373</v>
      </c>
      <c r="BB171" s="288" t="s">
        <v>1610</v>
      </c>
      <c r="BC171" s="288" t="s">
        <v>2192</v>
      </c>
      <c r="BD171" s="280"/>
      <c r="BE171" s="280"/>
      <c r="BF171" s="280"/>
      <c r="BG171" s="280"/>
    </row>
    <row r="172" spans="1:59" ht="45" customHeight="1">
      <c r="A172" s="271">
        <f t="shared" si="2"/>
        <v>171</v>
      </c>
      <c r="B172" s="284" t="s">
        <v>3587</v>
      </c>
      <c r="C172" s="270" t="s">
        <v>3588</v>
      </c>
      <c r="D172" s="270" t="s">
        <v>8</v>
      </c>
      <c r="E172" s="270" t="s">
        <v>9</v>
      </c>
      <c r="F172" s="270" t="s">
        <v>1765</v>
      </c>
      <c r="G172" s="302">
        <v>45017</v>
      </c>
      <c r="L172" s="270" t="s">
        <v>2479</v>
      </c>
      <c r="M172" s="270" t="s">
        <v>2479</v>
      </c>
      <c r="N172" s="272" t="s">
        <v>122</v>
      </c>
      <c r="O172" s="270" t="s">
        <v>2479</v>
      </c>
      <c r="P172" s="270" t="s">
        <v>1554</v>
      </c>
      <c r="Q172" s="270" t="s">
        <v>2198</v>
      </c>
      <c r="R172" s="306" t="s">
        <v>3589</v>
      </c>
      <c r="S172" s="285">
        <v>2023</v>
      </c>
      <c r="T172" s="270" t="s">
        <v>2001</v>
      </c>
      <c r="U172" s="270" t="s">
        <v>678</v>
      </c>
      <c r="V172" s="270" t="s">
        <v>679</v>
      </c>
      <c r="W172" s="270" t="s">
        <v>145</v>
      </c>
      <c r="X172" s="270" t="s">
        <v>309</v>
      </c>
      <c r="Y172" s="273">
        <v>45078</v>
      </c>
      <c r="Z172" s="288" t="s">
        <v>1875</v>
      </c>
      <c r="AA172" s="288" t="s">
        <v>2479</v>
      </c>
      <c r="AB172" s="288" t="s">
        <v>139</v>
      </c>
      <c r="AC172" s="288" t="s">
        <v>1875</v>
      </c>
      <c r="AD172" s="288" t="s">
        <v>1805</v>
      </c>
      <c r="AE172" s="288" t="s">
        <v>1805</v>
      </c>
      <c r="AF172" s="288" t="s">
        <v>2479</v>
      </c>
      <c r="AG172" s="288" t="s">
        <v>2479</v>
      </c>
      <c r="AH172" s="288" t="s">
        <v>2479</v>
      </c>
      <c r="AI172" s="288" t="s">
        <v>2479</v>
      </c>
      <c r="AJ172" s="303" t="s">
        <v>2191</v>
      </c>
      <c r="AK172" s="288" t="s">
        <v>2479</v>
      </c>
      <c r="AL172" s="303" t="s">
        <v>2190</v>
      </c>
      <c r="AM172" s="288" t="s">
        <v>1975</v>
      </c>
      <c r="AN172" s="207" t="b">
        <v>0</v>
      </c>
      <c r="AY172" s="288" t="s">
        <v>2479</v>
      </c>
      <c r="AZ172" s="288" t="s">
        <v>2479</v>
      </c>
      <c r="BA172" s="288" t="s">
        <v>373</v>
      </c>
      <c r="BB172" s="288" t="s">
        <v>1610</v>
      </c>
      <c r="BC172" s="288" t="s">
        <v>2192</v>
      </c>
      <c r="BD172" s="280"/>
      <c r="BE172" s="280"/>
      <c r="BF172" s="280"/>
      <c r="BG172" s="280"/>
    </row>
    <row r="173" spans="1:59" ht="45" customHeight="1">
      <c r="A173" s="271">
        <f>ROW()-1</f>
        <v>172</v>
      </c>
      <c r="B173" s="284" t="s">
        <v>3590</v>
      </c>
      <c r="C173" s="270" t="s">
        <v>3591</v>
      </c>
      <c r="D173" s="270" t="s">
        <v>8</v>
      </c>
      <c r="E173" s="270" t="s">
        <v>9</v>
      </c>
      <c r="F173" s="270" t="s">
        <v>1765</v>
      </c>
      <c r="G173" s="302">
        <v>45017</v>
      </c>
      <c r="K173" s="306">
        <v>45104</v>
      </c>
      <c r="L173" s="270" t="s">
        <v>2193</v>
      </c>
      <c r="M173" s="270" t="s">
        <v>115</v>
      </c>
      <c r="N173" s="272" t="s">
        <v>2479</v>
      </c>
      <c r="O173" s="270" t="s">
        <v>2479</v>
      </c>
      <c r="P173" s="270" t="s">
        <v>1554</v>
      </c>
      <c r="Q173" s="270" t="s">
        <v>2198</v>
      </c>
      <c r="R173" s="306">
        <v>44992.628055555557</v>
      </c>
      <c r="S173" s="285">
        <v>2023</v>
      </c>
      <c r="T173" s="270" t="s">
        <v>2194</v>
      </c>
      <c r="U173" s="270" t="s">
        <v>678</v>
      </c>
      <c r="V173" s="270" t="s">
        <v>679</v>
      </c>
      <c r="W173" s="270" t="s">
        <v>145</v>
      </c>
      <c r="X173" s="270" t="s">
        <v>309</v>
      </c>
      <c r="Y173" s="273">
        <v>45078</v>
      </c>
      <c r="Z173" s="288" t="s">
        <v>1875</v>
      </c>
      <c r="AA173" s="288" t="s">
        <v>2479</v>
      </c>
      <c r="AB173" s="288" t="s">
        <v>139</v>
      </c>
      <c r="AC173" s="288" t="s">
        <v>1875</v>
      </c>
      <c r="AD173" s="288" t="s">
        <v>1805</v>
      </c>
      <c r="AE173" s="288" t="s">
        <v>1805</v>
      </c>
      <c r="AF173" s="288" t="s">
        <v>2479</v>
      </c>
      <c r="AG173" s="288" t="s">
        <v>2479</v>
      </c>
      <c r="AH173" s="288" t="s">
        <v>2479</v>
      </c>
      <c r="AI173" s="288" t="s">
        <v>2479</v>
      </c>
      <c r="AJ173" s="303" t="s">
        <v>2191</v>
      </c>
      <c r="AK173" s="288" t="s">
        <v>2479</v>
      </c>
      <c r="AL173" s="303" t="s">
        <v>2190</v>
      </c>
      <c r="AM173" s="288" t="s">
        <v>1975</v>
      </c>
      <c r="AN173" s="207" t="b">
        <v>0</v>
      </c>
      <c r="AY173" s="288" t="s">
        <v>2479</v>
      </c>
      <c r="AZ173" s="288" t="s">
        <v>2479</v>
      </c>
      <c r="BA173" s="288" t="s">
        <v>373</v>
      </c>
      <c r="BB173" s="288" t="s">
        <v>139</v>
      </c>
      <c r="BC173" s="288" t="s">
        <v>2192</v>
      </c>
      <c r="BD173" s="280"/>
      <c r="BE173" s="280"/>
      <c r="BF173" s="280"/>
      <c r="BG173" s="280"/>
    </row>
    <row r="174" spans="1:59" ht="45" customHeight="1">
      <c r="A174" s="271">
        <f>ROW()-1</f>
        <v>173</v>
      </c>
      <c r="B174" s="284" t="s">
        <v>3642</v>
      </c>
      <c r="C174" s="270" t="s">
        <v>3643</v>
      </c>
      <c r="D174" s="270" t="s">
        <v>8</v>
      </c>
      <c r="E174" s="270" t="s">
        <v>9</v>
      </c>
      <c r="F174" s="270" t="s">
        <v>1765</v>
      </c>
      <c r="G174" s="302">
        <v>45030</v>
      </c>
      <c r="K174" s="306">
        <v>45096</v>
      </c>
      <c r="L174" s="270" t="s">
        <v>2193</v>
      </c>
      <c r="M174" s="270" t="s">
        <v>115</v>
      </c>
      <c r="N174" s="272" t="s">
        <v>2479</v>
      </c>
      <c r="O174" s="270" t="s">
        <v>2479</v>
      </c>
      <c r="P174" s="270" t="s">
        <v>1554</v>
      </c>
      <c r="Q174" s="270" t="s">
        <v>2198</v>
      </c>
      <c r="R174" s="306">
        <v>44992.621076388888</v>
      </c>
      <c r="S174" s="285">
        <v>2023</v>
      </c>
      <c r="T174" s="270" t="s">
        <v>2194</v>
      </c>
      <c r="U174" s="270" t="s">
        <v>678</v>
      </c>
      <c r="V174" s="270" t="s">
        <v>679</v>
      </c>
      <c r="W174" s="270" t="s">
        <v>145</v>
      </c>
      <c r="X174" s="270" t="s">
        <v>309</v>
      </c>
      <c r="Y174" s="273">
        <v>45078</v>
      </c>
      <c r="Z174" s="288" t="s">
        <v>1875</v>
      </c>
      <c r="AA174" s="288" t="s">
        <v>2479</v>
      </c>
      <c r="AB174" s="288" t="s">
        <v>139</v>
      </c>
      <c r="AC174" s="288" t="s">
        <v>1875</v>
      </c>
      <c r="AD174" s="288" t="s">
        <v>1805</v>
      </c>
      <c r="AE174" s="288" t="s">
        <v>1805</v>
      </c>
      <c r="AF174" s="288" t="s">
        <v>2479</v>
      </c>
      <c r="AG174" s="288" t="s">
        <v>2479</v>
      </c>
      <c r="AH174" s="288" t="s">
        <v>2479</v>
      </c>
      <c r="AI174" s="288" t="s">
        <v>2479</v>
      </c>
      <c r="AJ174" s="303" t="s">
        <v>2191</v>
      </c>
      <c r="AK174" s="288" t="s">
        <v>2479</v>
      </c>
      <c r="AL174" s="303" t="s">
        <v>2190</v>
      </c>
      <c r="AM174" s="288" t="s">
        <v>1975</v>
      </c>
      <c r="AN174" s="207" t="b">
        <v>0</v>
      </c>
      <c r="AY174" s="288" t="s">
        <v>2479</v>
      </c>
      <c r="AZ174" s="288" t="s">
        <v>2479</v>
      </c>
      <c r="BA174" s="288" t="s">
        <v>373</v>
      </c>
      <c r="BB174" s="288" t="s">
        <v>139</v>
      </c>
      <c r="BC174" s="288" t="s">
        <v>2192</v>
      </c>
      <c r="BD174" s="280"/>
      <c r="BE174" s="280"/>
      <c r="BF174" s="280"/>
      <c r="BG174" s="280"/>
    </row>
    <row r="175" spans="1:59" ht="45" customHeight="1">
      <c r="A175" s="271">
        <f t="shared" si="2"/>
        <v>174</v>
      </c>
      <c r="B175" s="284" t="s">
        <v>3679</v>
      </c>
      <c r="C175" s="270" t="s">
        <v>3680</v>
      </c>
      <c r="D175" s="270" t="s">
        <v>8</v>
      </c>
      <c r="E175" s="270" t="s">
        <v>9</v>
      </c>
      <c r="F175" s="270" t="s">
        <v>1765</v>
      </c>
      <c r="G175" s="302">
        <v>45034</v>
      </c>
      <c r="L175" s="270" t="s">
        <v>2479</v>
      </c>
      <c r="M175" s="270" t="s">
        <v>2479</v>
      </c>
      <c r="N175" s="272" t="s">
        <v>122</v>
      </c>
      <c r="O175" s="270" t="s">
        <v>2479</v>
      </c>
      <c r="P175" s="270" t="s">
        <v>1554</v>
      </c>
      <c r="Q175" s="270" t="s">
        <v>2198</v>
      </c>
      <c r="R175" s="306" t="s">
        <v>3681</v>
      </c>
      <c r="S175" s="285">
        <v>2023</v>
      </c>
      <c r="T175" s="270" t="s">
        <v>2001</v>
      </c>
      <c r="U175" s="270" t="s">
        <v>678</v>
      </c>
      <c r="V175" s="270" t="s">
        <v>679</v>
      </c>
      <c r="W175" s="270" t="s">
        <v>145</v>
      </c>
      <c r="X175" s="270" t="s">
        <v>309</v>
      </c>
      <c r="Y175" s="273">
        <v>45078</v>
      </c>
      <c r="Z175" s="288" t="s">
        <v>1875</v>
      </c>
      <c r="AA175" s="288" t="s">
        <v>2479</v>
      </c>
      <c r="AB175" s="288" t="s">
        <v>139</v>
      </c>
      <c r="AC175" s="288" t="s">
        <v>1875</v>
      </c>
      <c r="AD175" s="288" t="s">
        <v>1805</v>
      </c>
      <c r="AE175" s="288" t="s">
        <v>1805</v>
      </c>
      <c r="AF175" s="288" t="s">
        <v>2479</v>
      </c>
      <c r="AG175" s="288" t="s">
        <v>2479</v>
      </c>
      <c r="AH175" s="288" t="s">
        <v>2479</v>
      </c>
      <c r="AI175" s="288" t="s">
        <v>2479</v>
      </c>
      <c r="AJ175" s="303" t="s">
        <v>2191</v>
      </c>
      <c r="AK175" s="288" t="s">
        <v>2479</v>
      </c>
      <c r="AL175" s="303" t="s">
        <v>2190</v>
      </c>
      <c r="AM175" s="288" t="s">
        <v>1975</v>
      </c>
      <c r="AN175" s="207" t="b">
        <v>0</v>
      </c>
      <c r="AY175" s="288" t="s">
        <v>2479</v>
      </c>
      <c r="AZ175" s="288" t="s">
        <v>2479</v>
      </c>
      <c r="BA175" s="288" t="s">
        <v>373</v>
      </c>
      <c r="BB175" s="288" t="s">
        <v>1610</v>
      </c>
      <c r="BC175" s="288" t="s">
        <v>2192</v>
      </c>
      <c r="BD175" s="280"/>
      <c r="BE175" s="280"/>
      <c r="BF175" s="280"/>
      <c r="BG175" s="280"/>
    </row>
    <row r="176" spans="1:59" ht="45" customHeight="1">
      <c r="A176" s="271">
        <f t="shared" si="2"/>
        <v>175</v>
      </c>
      <c r="B176" s="284" t="s">
        <v>3723</v>
      </c>
      <c r="C176" s="270" t="s">
        <v>3724</v>
      </c>
      <c r="D176" s="270" t="s">
        <v>8</v>
      </c>
      <c r="E176" s="270" t="s">
        <v>9</v>
      </c>
      <c r="F176" s="270" t="s">
        <v>1765</v>
      </c>
      <c r="G176" s="302">
        <v>45048</v>
      </c>
      <c r="L176" s="270" t="s">
        <v>2479</v>
      </c>
      <c r="M176" s="270" t="s">
        <v>2479</v>
      </c>
      <c r="N176" s="272" t="s">
        <v>122</v>
      </c>
      <c r="O176" s="270" t="s">
        <v>2479</v>
      </c>
      <c r="P176" s="270" t="s">
        <v>1554</v>
      </c>
      <c r="Q176" s="270" t="s">
        <v>2198</v>
      </c>
      <c r="R176" s="306">
        <v>44932.447048611109</v>
      </c>
      <c r="S176" s="285">
        <v>2023</v>
      </c>
      <c r="T176" s="270" t="s">
        <v>2001</v>
      </c>
      <c r="U176" s="270" t="s">
        <v>678</v>
      </c>
      <c r="V176" s="270" t="s">
        <v>679</v>
      </c>
      <c r="W176" s="270" t="s">
        <v>145</v>
      </c>
      <c r="X176" s="270" t="s">
        <v>309</v>
      </c>
      <c r="Y176" s="273">
        <v>45078</v>
      </c>
      <c r="Z176" s="288" t="s">
        <v>1875</v>
      </c>
      <c r="AA176" s="288" t="s">
        <v>2479</v>
      </c>
      <c r="AB176" s="288" t="s">
        <v>139</v>
      </c>
      <c r="AC176" s="288" t="s">
        <v>1875</v>
      </c>
      <c r="AD176" s="288" t="s">
        <v>1805</v>
      </c>
      <c r="AE176" s="288" t="s">
        <v>1805</v>
      </c>
      <c r="AF176" s="288" t="s">
        <v>2479</v>
      </c>
      <c r="AG176" s="288" t="s">
        <v>2479</v>
      </c>
      <c r="AH176" s="288" t="s">
        <v>2479</v>
      </c>
      <c r="AI176" s="288" t="s">
        <v>2479</v>
      </c>
      <c r="AJ176" s="303" t="s">
        <v>2191</v>
      </c>
      <c r="AK176" s="288" t="s">
        <v>2479</v>
      </c>
      <c r="AL176" s="303" t="s">
        <v>2190</v>
      </c>
      <c r="AM176" s="288" t="s">
        <v>1975</v>
      </c>
      <c r="AN176" s="207" t="b">
        <v>0</v>
      </c>
      <c r="AY176" s="288" t="s">
        <v>2479</v>
      </c>
      <c r="AZ176" s="288" t="s">
        <v>2479</v>
      </c>
      <c r="BA176" s="288" t="s">
        <v>373</v>
      </c>
      <c r="BB176" s="288" t="s">
        <v>1610</v>
      </c>
      <c r="BC176" s="288" t="s">
        <v>2192</v>
      </c>
      <c r="BD176" s="280"/>
      <c r="BE176" s="280"/>
      <c r="BF176" s="280"/>
      <c r="BG176" s="280"/>
    </row>
    <row r="177" spans="1:59" ht="45" customHeight="1">
      <c r="A177" s="271">
        <f>ROW()-1</f>
        <v>176</v>
      </c>
      <c r="B177" s="284" t="s">
        <v>3725</v>
      </c>
      <c r="C177" s="270" t="s">
        <v>3726</v>
      </c>
      <c r="D177" s="270" t="s">
        <v>8</v>
      </c>
      <c r="E177" s="270" t="s">
        <v>9</v>
      </c>
      <c r="F177" s="270" t="s">
        <v>1765</v>
      </c>
      <c r="G177" s="302">
        <v>45048</v>
      </c>
      <c r="K177" s="306">
        <v>45104</v>
      </c>
      <c r="L177" s="270" t="s">
        <v>2193</v>
      </c>
      <c r="M177" s="270" t="s">
        <v>115</v>
      </c>
      <c r="N177" s="272" t="s">
        <v>2479</v>
      </c>
      <c r="O177" s="270" t="s">
        <v>2479</v>
      </c>
      <c r="P177" s="270" t="s">
        <v>1554</v>
      </c>
      <c r="Q177" s="270" t="s">
        <v>2198</v>
      </c>
      <c r="R177" s="306">
        <v>44992.626157407409</v>
      </c>
      <c r="S177" s="285">
        <v>2023</v>
      </c>
      <c r="T177" s="270" t="s">
        <v>2194</v>
      </c>
      <c r="U177" s="270" t="s">
        <v>678</v>
      </c>
      <c r="V177" s="270" t="s">
        <v>679</v>
      </c>
      <c r="W177" s="270" t="s">
        <v>145</v>
      </c>
      <c r="X177" s="270" t="s">
        <v>309</v>
      </c>
      <c r="Y177" s="273">
        <v>45078</v>
      </c>
      <c r="Z177" s="288" t="s">
        <v>1875</v>
      </c>
      <c r="AA177" s="288" t="s">
        <v>2479</v>
      </c>
      <c r="AB177" s="288" t="s">
        <v>139</v>
      </c>
      <c r="AC177" s="288" t="s">
        <v>1875</v>
      </c>
      <c r="AD177" s="288" t="s">
        <v>1805</v>
      </c>
      <c r="AE177" s="288" t="s">
        <v>1805</v>
      </c>
      <c r="AF177" s="288" t="s">
        <v>2479</v>
      </c>
      <c r="AG177" s="288" t="s">
        <v>2479</v>
      </c>
      <c r="AH177" s="288" t="s">
        <v>2479</v>
      </c>
      <c r="AI177" s="288" t="s">
        <v>2479</v>
      </c>
      <c r="AJ177" s="303" t="s">
        <v>2191</v>
      </c>
      <c r="AK177" s="288" t="s">
        <v>2479</v>
      </c>
      <c r="AL177" s="303" t="s">
        <v>2190</v>
      </c>
      <c r="AM177" s="288" t="s">
        <v>1975</v>
      </c>
      <c r="AN177" s="207" t="b">
        <v>0</v>
      </c>
      <c r="AY177" s="288" t="s">
        <v>2479</v>
      </c>
      <c r="AZ177" s="288" t="s">
        <v>2479</v>
      </c>
      <c r="BA177" s="288" t="s">
        <v>373</v>
      </c>
      <c r="BB177" s="288" t="s">
        <v>139</v>
      </c>
      <c r="BC177" s="288" t="s">
        <v>2192</v>
      </c>
      <c r="BD177" s="280"/>
      <c r="BE177" s="280"/>
      <c r="BF177" s="280"/>
      <c r="BG177" s="280"/>
    </row>
    <row r="178" spans="1:59" ht="45" customHeight="1">
      <c r="A178" s="271">
        <f>ROW()-1</f>
        <v>177</v>
      </c>
      <c r="B178" s="284" t="s">
        <v>3727</v>
      </c>
      <c r="C178" s="270" t="s">
        <v>3728</v>
      </c>
      <c r="D178" s="270" t="s">
        <v>8</v>
      </c>
      <c r="E178" s="270" t="s">
        <v>9</v>
      </c>
      <c r="F178" s="270" t="s">
        <v>1765</v>
      </c>
      <c r="G178" s="302">
        <v>45048</v>
      </c>
      <c r="K178" s="306">
        <v>45104</v>
      </c>
      <c r="L178" s="270" t="s">
        <v>2193</v>
      </c>
      <c r="M178" s="270" t="s">
        <v>115</v>
      </c>
      <c r="N178" s="272" t="s">
        <v>2479</v>
      </c>
      <c r="O178" s="270" t="s">
        <v>2479</v>
      </c>
      <c r="P178" s="270" t="s">
        <v>1554</v>
      </c>
      <c r="Q178" s="270" t="s">
        <v>2198</v>
      </c>
      <c r="R178" s="306">
        <v>44992.626458333332</v>
      </c>
      <c r="S178" s="285">
        <v>2023</v>
      </c>
      <c r="T178" s="270" t="s">
        <v>2194</v>
      </c>
      <c r="U178" s="270" t="s">
        <v>678</v>
      </c>
      <c r="V178" s="270" t="s">
        <v>679</v>
      </c>
      <c r="W178" s="270" t="s">
        <v>145</v>
      </c>
      <c r="X178" s="270" t="s">
        <v>309</v>
      </c>
      <c r="Y178" s="273">
        <v>45078</v>
      </c>
      <c r="Z178" s="288" t="s">
        <v>1875</v>
      </c>
      <c r="AA178" s="288" t="s">
        <v>2479</v>
      </c>
      <c r="AB178" s="288" t="s">
        <v>139</v>
      </c>
      <c r="AC178" s="288" t="s">
        <v>1875</v>
      </c>
      <c r="AD178" s="288" t="s">
        <v>1805</v>
      </c>
      <c r="AE178" s="288" t="s">
        <v>1805</v>
      </c>
      <c r="AF178" s="288" t="s">
        <v>2479</v>
      </c>
      <c r="AG178" s="288" t="s">
        <v>2479</v>
      </c>
      <c r="AH178" s="288" t="s">
        <v>2479</v>
      </c>
      <c r="AI178" s="288" t="s">
        <v>2479</v>
      </c>
      <c r="AJ178" s="303" t="s">
        <v>2191</v>
      </c>
      <c r="AK178" s="288" t="s">
        <v>2479</v>
      </c>
      <c r="AL178" s="303" t="s">
        <v>2190</v>
      </c>
      <c r="AM178" s="288" t="s">
        <v>1975</v>
      </c>
      <c r="AN178" s="207" t="b">
        <v>0</v>
      </c>
      <c r="AY178" s="288" t="s">
        <v>2479</v>
      </c>
      <c r="AZ178" s="288" t="s">
        <v>2479</v>
      </c>
      <c r="BA178" s="288" t="s">
        <v>373</v>
      </c>
      <c r="BB178" s="288" t="s">
        <v>139</v>
      </c>
      <c r="BC178" s="288" t="s">
        <v>2192</v>
      </c>
      <c r="BD178" s="280"/>
      <c r="BE178" s="280"/>
      <c r="BF178" s="280"/>
      <c r="BG178" s="280"/>
    </row>
    <row r="179" spans="1:59" ht="45" customHeight="1">
      <c r="A179" s="271">
        <f>ROW()-1</f>
        <v>178</v>
      </c>
      <c r="B179" s="284" t="s">
        <v>3729</v>
      </c>
      <c r="C179" s="270" t="s">
        <v>3730</v>
      </c>
      <c r="D179" s="270" t="s">
        <v>8</v>
      </c>
      <c r="E179" s="270" t="s">
        <v>9</v>
      </c>
      <c r="F179" s="270" t="s">
        <v>1765</v>
      </c>
      <c r="G179" s="302">
        <v>45048</v>
      </c>
      <c r="K179" s="306">
        <v>45104</v>
      </c>
      <c r="L179" s="270" t="s">
        <v>2193</v>
      </c>
      <c r="M179" s="270" t="s">
        <v>115</v>
      </c>
      <c r="N179" s="272" t="s">
        <v>2479</v>
      </c>
      <c r="O179" s="270" t="s">
        <v>2479</v>
      </c>
      <c r="P179" s="270" t="s">
        <v>1554</v>
      </c>
      <c r="Q179" s="270" t="s">
        <v>2198</v>
      </c>
      <c r="R179" s="306">
        <v>44992.626736111109</v>
      </c>
      <c r="S179" s="285">
        <v>2023</v>
      </c>
      <c r="T179" s="270" t="s">
        <v>2194</v>
      </c>
      <c r="U179" s="270" t="s">
        <v>678</v>
      </c>
      <c r="V179" s="270" t="s">
        <v>679</v>
      </c>
      <c r="W179" s="270" t="s">
        <v>145</v>
      </c>
      <c r="X179" s="270" t="s">
        <v>309</v>
      </c>
      <c r="Y179" s="273">
        <v>45078</v>
      </c>
      <c r="Z179" s="288" t="s">
        <v>1875</v>
      </c>
      <c r="AA179" s="288" t="s">
        <v>2479</v>
      </c>
      <c r="AB179" s="288" t="s">
        <v>139</v>
      </c>
      <c r="AC179" s="288" t="s">
        <v>1875</v>
      </c>
      <c r="AD179" s="288" t="s">
        <v>1805</v>
      </c>
      <c r="AE179" s="288" t="s">
        <v>1805</v>
      </c>
      <c r="AF179" s="288" t="s">
        <v>2479</v>
      </c>
      <c r="AG179" s="288" t="s">
        <v>2479</v>
      </c>
      <c r="AH179" s="288" t="s">
        <v>2479</v>
      </c>
      <c r="AI179" s="288" t="s">
        <v>2479</v>
      </c>
      <c r="AJ179" s="303" t="s">
        <v>2191</v>
      </c>
      <c r="AK179" s="288" t="s">
        <v>2479</v>
      </c>
      <c r="AL179" s="303" t="s">
        <v>2190</v>
      </c>
      <c r="AM179" s="288" t="s">
        <v>1975</v>
      </c>
      <c r="AN179" s="207" t="b">
        <v>0</v>
      </c>
      <c r="AY179" s="288" t="s">
        <v>2479</v>
      </c>
      <c r="AZ179" s="288" t="s">
        <v>2479</v>
      </c>
      <c r="BA179" s="288" t="s">
        <v>373</v>
      </c>
      <c r="BB179" s="288" t="s">
        <v>139</v>
      </c>
      <c r="BC179" s="288" t="s">
        <v>2192</v>
      </c>
      <c r="BD179" s="280"/>
      <c r="BE179" s="280"/>
      <c r="BF179" s="280"/>
      <c r="BG179" s="280"/>
    </row>
    <row r="180" spans="1:59" ht="45" customHeight="1">
      <c r="A180" s="271">
        <f t="shared" si="2"/>
        <v>179</v>
      </c>
      <c r="B180" s="284" t="s">
        <v>3482</v>
      </c>
      <c r="C180" s="270" t="s">
        <v>3731</v>
      </c>
      <c r="D180" s="270" t="s">
        <v>8</v>
      </c>
      <c r="E180" s="270" t="s">
        <v>9</v>
      </c>
      <c r="F180" s="270" t="s">
        <v>1765</v>
      </c>
      <c r="G180" s="302">
        <v>45049</v>
      </c>
      <c r="L180" s="270" t="s">
        <v>2479</v>
      </c>
      <c r="M180" s="270" t="s">
        <v>2479</v>
      </c>
      <c r="N180" s="272" t="s">
        <v>122</v>
      </c>
      <c r="O180" s="270" t="s">
        <v>2479</v>
      </c>
      <c r="P180" s="270" t="s">
        <v>1554</v>
      </c>
      <c r="Q180" s="270" t="s">
        <v>2198</v>
      </c>
      <c r="R180" s="306">
        <v>44932.448854166665</v>
      </c>
      <c r="S180" s="285">
        <v>2023</v>
      </c>
      <c r="T180" s="270" t="s">
        <v>2001</v>
      </c>
      <c r="U180" s="270" t="s">
        <v>678</v>
      </c>
      <c r="V180" s="270" t="s">
        <v>679</v>
      </c>
      <c r="W180" s="270" t="s">
        <v>145</v>
      </c>
      <c r="X180" s="270" t="s">
        <v>309</v>
      </c>
      <c r="Y180" s="273">
        <v>45078</v>
      </c>
      <c r="Z180" s="288" t="s">
        <v>1875</v>
      </c>
      <c r="AA180" s="288" t="s">
        <v>2479</v>
      </c>
      <c r="AB180" s="288" t="s">
        <v>139</v>
      </c>
      <c r="AC180" s="288" t="s">
        <v>1875</v>
      </c>
      <c r="AD180" s="288" t="s">
        <v>1805</v>
      </c>
      <c r="AE180" s="288" t="s">
        <v>1805</v>
      </c>
      <c r="AF180" s="288" t="s">
        <v>2479</v>
      </c>
      <c r="AG180" s="288" t="s">
        <v>2479</v>
      </c>
      <c r="AH180" s="288" t="s">
        <v>2479</v>
      </c>
      <c r="AI180" s="288" t="s">
        <v>2479</v>
      </c>
      <c r="AJ180" s="303" t="s">
        <v>2191</v>
      </c>
      <c r="AK180" s="288" t="s">
        <v>2479</v>
      </c>
      <c r="AL180" s="303" t="s">
        <v>2190</v>
      </c>
      <c r="AM180" s="288" t="s">
        <v>1975</v>
      </c>
      <c r="AN180" s="207" t="b">
        <v>0</v>
      </c>
      <c r="AY180" s="288" t="s">
        <v>2479</v>
      </c>
      <c r="AZ180" s="288" t="s">
        <v>2479</v>
      </c>
      <c r="BA180" s="288" t="s">
        <v>373</v>
      </c>
      <c r="BB180" s="288" t="s">
        <v>1610</v>
      </c>
      <c r="BC180" s="288" t="s">
        <v>2192</v>
      </c>
      <c r="BD180" s="280"/>
      <c r="BE180" s="280"/>
      <c r="BF180" s="280"/>
      <c r="BG180" s="280"/>
    </row>
    <row r="181" spans="1:59" ht="45" customHeight="1">
      <c r="A181" s="271">
        <f>ROW()-1</f>
        <v>180</v>
      </c>
      <c r="B181" s="284" t="s">
        <v>3732</v>
      </c>
      <c r="C181" s="270" t="s">
        <v>2225</v>
      </c>
      <c r="D181" s="270" t="s">
        <v>8</v>
      </c>
      <c r="E181" s="270" t="s">
        <v>9</v>
      </c>
      <c r="F181" s="270" t="s">
        <v>1765</v>
      </c>
      <c r="G181" s="302">
        <v>45049</v>
      </c>
      <c r="L181" s="270" t="s">
        <v>2479</v>
      </c>
      <c r="M181" s="270" t="s">
        <v>2479</v>
      </c>
      <c r="N181" s="272" t="s">
        <v>122</v>
      </c>
      <c r="O181" s="270" t="s">
        <v>2479</v>
      </c>
      <c r="P181" s="270" t="s">
        <v>1554</v>
      </c>
      <c r="Q181" s="270" t="s">
        <v>2198</v>
      </c>
      <c r="R181" s="306">
        <v>44932.449374999997</v>
      </c>
      <c r="S181" s="285">
        <v>2023</v>
      </c>
      <c r="T181" s="270" t="s">
        <v>2001</v>
      </c>
      <c r="U181" s="270" t="s">
        <v>678</v>
      </c>
      <c r="V181" s="270" t="s">
        <v>679</v>
      </c>
      <c r="W181" s="270" t="s">
        <v>145</v>
      </c>
      <c r="X181" s="270" t="s">
        <v>309</v>
      </c>
      <c r="Y181" s="273">
        <v>45078</v>
      </c>
      <c r="Z181" s="288" t="s">
        <v>1875</v>
      </c>
      <c r="AA181" s="288" t="s">
        <v>2479</v>
      </c>
      <c r="AB181" s="288" t="s">
        <v>139</v>
      </c>
      <c r="AC181" s="288" t="s">
        <v>1875</v>
      </c>
      <c r="AD181" s="288" t="s">
        <v>1805</v>
      </c>
      <c r="AE181" s="288" t="s">
        <v>1805</v>
      </c>
      <c r="AF181" s="288" t="s">
        <v>2479</v>
      </c>
      <c r="AG181" s="288" t="s">
        <v>2479</v>
      </c>
      <c r="AH181" s="288" t="s">
        <v>2479</v>
      </c>
      <c r="AI181" s="288" t="s">
        <v>2479</v>
      </c>
      <c r="AJ181" s="303" t="s">
        <v>2191</v>
      </c>
      <c r="AK181" s="288" t="s">
        <v>2479</v>
      </c>
      <c r="AL181" s="303" t="s">
        <v>2190</v>
      </c>
      <c r="AM181" s="288" t="s">
        <v>1975</v>
      </c>
      <c r="AN181" s="207" t="b">
        <v>0</v>
      </c>
      <c r="AY181" s="288" t="s">
        <v>2479</v>
      </c>
      <c r="AZ181" s="288" t="s">
        <v>2479</v>
      </c>
      <c r="BA181" s="288" t="s">
        <v>373</v>
      </c>
      <c r="BB181" s="288" t="s">
        <v>1610</v>
      </c>
      <c r="BC181" s="288" t="s">
        <v>2192</v>
      </c>
      <c r="BD181" s="280"/>
      <c r="BE181" s="280"/>
      <c r="BF181" s="280"/>
      <c r="BG181" s="280"/>
    </row>
    <row r="182" spans="1:59" ht="45" customHeight="1">
      <c r="A182" s="271">
        <f t="shared" si="2"/>
        <v>181</v>
      </c>
      <c r="B182" s="284" t="s">
        <v>3733</v>
      </c>
      <c r="C182" s="270" t="s">
        <v>3734</v>
      </c>
      <c r="D182" s="270" t="s">
        <v>8</v>
      </c>
      <c r="E182" s="270" t="s">
        <v>9</v>
      </c>
      <c r="F182" s="270" t="s">
        <v>1765</v>
      </c>
      <c r="G182" s="302">
        <v>45063</v>
      </c>
      <c r="L182" s="270" t="s">
        <v>2479</v>
      </c>
      <c r="M182" s="270" t="s">
        <v>2479</v>
      </c>
      <c r="N182" s="272" t="s">
        <v>122</v>
      </c>
      <c r="O182" s="270" t="s">
        <v>2479</v>
      </c>
      <c r="P182" s="270" t="s">
        <v>1554</v>
      </c>
      <c r="Q182" s="270" t="s">
        <v>2198</v>
      </c>
      <c r="R182" s="306">
        <v>44932.449745370373</v>
      </c>
      <c r="S182" s="285">
        <v>2023</v>
      </c>
      <c r="T182" s="270" t="s">
        <v>2001</v>
      </c>
      <c r="U182" s="270" t="s">
        <v>678</v>
      </c>
      <c r="V182" s="270" t="s">
        <v>679</v>
      </c>
      <c r="W182" s="270" t="s">
        <v>145</v>
      </c>
      <c r="X182" s="270" t="s">
        <v>309</v>
      </c>
      <c r="Y182" s="273">
        <v>45078</v>
      </c>
      <c r="Z182" s="288" t="s">
        <v>1875</v>
      </c>
      <c r="AA182" s="288" t="s">
        <v>2479</v>
      </c>
      <c r="AB182" s="288" t="s">
        <v>139</v>
      </c>
      <c r="AC182" s="288" t="s">
        <v>1875</v>
      </c>
      <c r="AD182" s="288" t="s">
        <v>1805</v>
      </c>
      <c r="AE182" s="288" t="s">
        <v>1805</v>
      </c>
      <c r="AF182" s="288" t="s">
        <v>2479</v>
      </c>
      <c r="AG182" s="288" t="s">
        <v>2479</v>
      </c>
      <c r="AH182" s="288" t="s">
        <v>2479</v>
      </c>
      <c r="AI182" s="288" t="s">
        <v>2479</v>
      </c>
      <c r="AJ182" s="303" t="s">
        <v>2191</v>
      </c>
      <c r="AK182" s="288" t="s">
        <v>2479</v>
      </c>
      <c r="AL182" s="303" t="s">
        <v>2190</v>
      </c>
      <c r="AM182" s="288" t="s">
        <v>1975</v>
      </c>
      <c r="AN182" s="207" t="b">
        <v>0</v>
      </c>
      <c r="AY182" s="288" t="s">
        <v>2479</v>
      </c>
      <c r="AZ182" s="288" t="s">
        <v>2479</v>
      </c>
      <c r="BA182" s="288" t="s">
        <v>373</v>
      </c>
      <c r="BB182" s="288" t="s">
        <v>1610</v>
      </c>
      <c r="BC182" s="288" t="s">
        <v>2192</v>
      </c>
      <c r="BD182" s="280"/>
      <c r="BE182" s="280"/>
      <c r="BF182" s="280"/>
      <c r="BG182" s="280"/>
    </row>
    <row r="183" spans="1:59" ht="45" customHeight="1">
      <c r="A183" s="271">
        <f t="shared" si="2"/>
        <v>182</v>
      </c>
      <c r="B183" s="284" t="s">
        <v>3735</v>
      </c>
      <c r="C183" s="270" t="s">
        <v>3736</v>
      </c>
      <c r="D183" s="270" t="s">
        <v>8</v>
      </c>
      <c r="E183" s="270" t="s">
        <v>9</v>
      </c>
      <c r="F183" s="270" t="s">
        <v>1765</v>
      </c>
      <c r="G183" s="302">
        <v>45063</v>
      </c>
      <c r="L183" s="270" t="s">
        <v>2479</v>
      </c>
      <c r="M183" s="270" t="s">
        <v>2479</v>
      </c>
      <c r="N183" s="272" t="s">
        <v>122</v>
      </c>
      <c r="O183" s="270" t="s">
        <v>2479</v>
      </c>
      <c r="P183" s="270" t="s">
        <v>1554</v>
      </c>
      <c r="Q183" s="270" t="s">
        <v>2198</v>
      </c>
      <c r="R183" s="306">
        <v>44932.450150462966</v>
      </c>
      <c r="S183" s="285">
        <v>2023</v>
      </c>
      <c r="T183" s="270" t="s">
        <v>2001</v>
      </c>
      <c r="U183" s="270" t="s">
        <v>678</v>
      </c>
      <c r="V183" s="270" t="s">
        <v>679</v>
      </c>
      <c r="W183" s="270" t="s">
        <v>145</v>
      </c>
      <c r="X183" s="270" t="s">
        <v>309</v>
      </c>
      <c r="Y183" s="273">
        <v>45078</v>
      </c>
      <c r="Z183" s="288" t="s">
        <v>1875</v>
      </c>
      <c r="AA183" s="288" t="s">
        <v>2479</v>
      </c>
      <c r="AB183" s="288" t="s">
        <v>139</v>
      </c>
      <c r="AC183" s="288" t="s">
        <v>1875</v>
      </c>
      <c r="AD183" s="288" t="s">
        <v>1805</v>
      </c>
      <c r="AE183" s="288" t="s">
        <v>1805</v>
      </c>
      <c r="AF183" s="288" t="s">
        <v>2479</v>
      </c>
      <c r="AG183" s="288" t="s">
        <v>2479</v>
      </c>
      <c r="AH183" s="288" t="s">
        <v>2479</v>
      </c>
      <c r="AI183" s="288" t="s">
        <v>2479</v>
      </c>
      <c r="AJ183" s="303" t="s">
        <v>2191</v>
      </c>
      <c r="AK183" s="288" t="s">
        <v>2479</v>
      </c>
      <c r="AL183" s="303" t="s">
        <v>2190</v>
      </c>
      <c r="AM183" s="288" t="s">
        <v>1975</v>
      </c>
      <c r="AN183" s="207" t="b">
        <v>0</v>
      </c>
      <c r="AY183" s="288" t="s">
        <v>2479</v>
      </c>
      <c r="AZ183" s="288" t="s">
        <v>2479</v>
      </c>
      <c r="BA183" s="288" t="s">
        <v>373</v>
      </c>
      <c r="BB183" s="288" t="s">
        <v>1610</v>
      </c>
      <c r="BC183" s="288" t="s">
        <v>2192</v>
      </c>
      <c r="BD183" s="280"/>
      <c r="BE183" s="280"/>
      <c r="BF183" s="280"/>
      <c r="BG183" s="280"/>
    </row>
    <row r="184" spans="1:59" ht="45" customHeight="1">
      <c r="A184" s="271">
        <f t="shared" si="2"/>
        <v>183</v>
      </c>
      <c r="B184" s="284" t="s">
        <v>3737</v>
      </c>
      <c r="C184" s="270" t="s">
        <v>3734</v>
      </c>
      <c r="D184" s="270" t="s">
        <v>8</v>
      </c>
      <c r="E184" s="270" t="s">
        <v>9</v>
      </c>
      <c r="F184" s="270" t="s">
        <v>1765</v>
      </c>
      <c r="G184" s="302">
        <v>45063</v>
      </c>
      <c r="L184" s="270" t="s">
        <v>2479</v>
      </c>
      <c r="M184" s="270" t="s">
        <v>2479</v>
      </c>
      <c r="N184" s="272" t="s">
        <v>122</v>
      </c>
      <c r="O184" s="270" t="s">
        <v>2479</v>
      </c>
      <c r="P184" s="270" t="s">
        <v>1554</v>
      </c>
      <c r="Q184" s="270" t="s">
        <v>2198</v>
      </c>
      <c r="R184" s="306">
        <v>44932.450555555559</v>
      </c>
      <c r="S184" s="285">
        <v>2023</v>
      </c>
      <c r="T184" s="270" t="s">
        <v>2001</v>
      </c>
      <c r="U184" s="270" t="s">
        <v>678</v>
      </c>
      <c r="V184" s="270" t="s">
        <v>679</v>
      </c>
      <c r="W184" s="270" t="s">
        <v>145</v>
      </c>
      <c r="X184" s="270" t="s">
        <v>309</v>
      </c>
      <c r="Y184" s="273">
        <v>45078</v>
      </c>
      <c r="Z184" s="288" t="s">
        <v>1875</v>
      </c>
      <c r="AA184" s="288" t="s">
        <v>2479</v>
      </c>
      <c r="AB184" s="288" t="s">
        <v>139</v>
      </c>
      <c r="AC184" s="288" t="s">
        <v>1875</v>
      </c>
      <c r="AD184" s="288" t="s">
        <v>1805</v>
      </c>
      <c r="AE184" s="288" t="s">
        <v>1805</v>
      </c>
      <c r="AF184" s="288" t="s">
        <v>2479</v>
      </c>
      <c r="AG184" s="288" t="s">
        <v>2479</v>
      </c>
      <c r="AH184" s="288" t="s">
        <v>2479</v>
      </c>
      <c r="AI184" s="288" t="s">
        <v>2479</v>
      </c>
      <c r="AJ184" s="303" t="s">
        <v>2191</v>
      </c>
      <c r="AK184" s="288" t="s">
        <v>2479</v>
      </c>
      <c r="AL184" s="303" t="s">
        <v>2190</v>
      </c>
      <c r="AM184" s="288" t="s">
        <v>1975</v>
      </c>
      <c r="AN184" s="207" t="b">
        <v>0</v>
      </c>
      <c r="AY184" s="288" t="s">
        <v>2479</v>
      </c>
      <c r="AZ184" s="288" t="s">
        <v>2479</v>
      </c>
      <c r="BA184" s="288" t="s">
        <v>373</v>
      </c>
      <c r="BB184" s="288" t="s">
        <v>1610</v>
      </c>
      <c r="BC184" s="288" t="s">
        <v>2192</v>
      </c>
      <c r="BD184" s="280"/>
      <c r="BE184" s="280"/>
      <c r="BF184" s="280"/>
      <c r="BG184" s="280"/>
    </row>
    <row r="185" spans="1:59" ht="45" customHeight="1">
      <c r="A185" s="271">
        <f t="shared" si="2"/>
        <v>184</v>
      </c>
      <c r="B185" s="284" t="s">
        <v>3738</v>
      </c>
      <c r="C185" s="270" t="s">
        <v>3734</v>
      </c>
      <c r="D185" s="270" t="s">
        <v>8</v>
      </c>
      <c r="E185" s="270" t="s">
        <v>9</v>
      </c>
      <c r="F185" s="270" t="s">
        <v>1765</v>
      </c>
      <c r="G185" s="302">
        <v>45064</v>
      </c>
      <c r="L185" s="270" t="s">
        <v>2479</v>
      </c>
      <c r="M185" s="270" t="s">
        <v>2479</v>
      </c>
      <c r="N185" s="272" t="s">
        <v>122</v>
      </c>
      <c r="O185" s="270" t="s">
        <v>2479</v>
      </c>
      <c r="P185" s="270" t="s">
        <v>1554</v>
      </c>
      <c r="Q185" s="270" t="s">
        <v>2198</v>
      </c>
      <c r="R185" s="306">
        <v>44932.450949074075</v>
      </c>
      <c r="S185" s="285">
        <v>2023</v>
      </c>
      <c r="T185" s="270" t="s">
        <v>2001</v>
      </c>
      <c r="U185" s="270" t="s">
        <v>678</v>
      </c>
      <c r="V185" s="270" t="s">
        <v>679</v>
      </c>
      <c r="W185" s="270" t="s">
        <v>145</v>
      </c>
      <c r="X185" s="270" t="s">
        <v>309</v>
      </c>
      <c r="Y185" s="273">
        <v>45078</v>
      </c>
      <c r="Z185" s="288" t="s">
        <v>1875</v>
      </c>
      <c r="AA185" s="288" t="s">
        <v>2479</v>
      </c>
      <c r="AB185" s="288" t="s">
        <v>139</v>
      </c>
      <c r="AC185" s="288" t="s">
        <v>1875</v>
      </c>
      <c r="AD185" s="288" t="s">
        <v>1805</v>
      </c>
      <c r="AE185" s="288" t="s">
        <v>1805</v>
      </c>
      <c r="AF185" s="288" t="s">
        <v>2479</v>
      </c>
      <c r="AG185" s="288" t="s">
        <v>2479</v>
      </c>
      <c r="AH185" s="288" t="s">
        <v>2479</v>
      </c>
      <c r="AI185" s="288" t="s">
        <v>2479</v>
      </c>
      <c r="AJ185" s="303" t="s">
        <v>2191</v>
      </c>
      <c r="AK185" s="288" t="s">
        <v>2479</v>
      </c>
      <c r="AL185" s="303" t="s">
        <v>2190</v>
      </c>
      <c r="AM185" s="288" t="s">
        <v>1975</v>
      </c>
      <c r="AN185" s="207" t="b">
        <v>0</v>
      </c>
      <c r="AY185" s="288" t="s">
        <v>2479</v>
      </c>
      <c r="AZ185" s="288" t="s">
        <v>2479</v>
      </c>
      <c r="BA185" s="288" t="s">
        <v>373</v>
      </c>
      <c r="BB185" s="288" t="s">
        <v>1610</v>
      </c>
      <c r="BC185" s="288" t="s">
        <v>2192</v>
      </c>
      <c r="BD185" s="280"/>
      <c r="BE185" s="280"/>
      <c r="BF185" s="280"/>
      <c r="BG185" s="280"/>
    </row>
    <row r="186" spans="1:59" ht="45" customHeight="1">
      <c r="A186" s="271">
        <f t="shared" si="2"/>
        <v>185</v>
      </c>
      <c r="B186" s="284" t="s">
        <v>3739</v>
      </c>
      <c r="C186" s="270" t="s">
        <v>3740</v>
      </c>
      <c r="D186" s="270" t="s">
        <v>8</v>
      </c>
      <c r="E186" s="270" t="s">
        <v>9</v>
      </c>
      <c r="F186" s="270" t="s">
        <v>1765</v>
      </c>
      <c r="G186" s="302">
        <v>45064</v>
      </c>
      <c r="L186" s="270" t="s">
        <v>2479</v>
      </c>
      <c r="M186" s="270" t="s">
        <v>2479</v>
      </c>
      <c r="N186" s="272" t="s">
        <v>122</v>
      </c>
      <c r="O186" s="270" t="s">
        <v>2479</v>
      </c>
      <c r="P186" s="270" t="s">
        <v>1554</v>
      </c>
      <c r="Q186" s="270" t="s">
        <v>2198</v>
      </c>
      <c r="R186" s="306">
        <v>44932.451319444444</v>
      </c>
      <c r="S186" s="285">
        <v>2023</v>
      </c>
      <c r="T186" s="270" t="s">
        <v>2001</v>
      </c>
      <c r="U186" s="270" t="s">
        <v>678</v>
      </c>
      <c r="V186" s="270" t="s">
        <v>679</v>
      </c>
      <c r="W186" s="270" t="s">
        <v>145</v>
      </c>
      <c r="X186" s="270" t="s">
        <v>309</v>
      </c>
      <c r="Y186" s="273">
        <v>45078</v>
      </c>
      <c r="Z186" s="288" t="s">
        <v>1875</v>
      </c>
      <c r="AA186" s="288" t="s">
        <v>2479</v>
      </c>
      <c r="AB186" s="288" t="s">
        <v>139</v>
      </c>
      <c r="AC186" s="288" t="s">
        <v>1875</v>
      </c>
      <c r="AD186" s="288" t="s">
        <v>1805</v>
      </c>
      <c r="AE186" s="288" t="s">
        <v>1805</v>
      </c>
      <c r="AF186" s="288" t="s">
        <v>2479</v>
      </c>
      <c r="AG186" s="288" t="s">
        <v>2479</v>
      </c>
      <c r="AH186" s="288" t="s">
        <v>2479</v>
      </c>
      <c r="AI186" s="288" t="s">
        <v>2479</v>
      </c>
      <c r="AJ186" s="303" t="s">
        <v>2191</v>
      </c>
      <c r="AK186" s="288" t="s">
        <v>2479</v>
      </c>
      <c r="AL186" s="303" t="s">
        <v>2190</v>
      </c>
      <c r="AM186" s="288" t="s">
        <v>1975</v>
      </c>
      <c r="AN186" s="207" t="b">
        <v>0</v>
      </c>
      <c r="AY186" s="288" t="s">
        <v>2479</v>
      </c>
      <c r="AZ186" s="288" t="s">
        <v>2479</v>
      </c>
      <c r="BA186" s="288" t="s">
        <v>373</v>
      </c>
      <c r="BB186" s="288" t="s">
        <v>1610</v>
      </c>
      <c r="BC186" s="288" t="s">
        <v>2192</v>
      </c>
      <c r="BD186" s="280"/>
      <c r="BE186" s="280"/>
      <c r="BF186" s="280"/>
      <c r="BG186" s="280"/>
    </row>
    <row r="187" spans="1:59" ht="45" customHeight="1">
      <c r="A187" s="271">
        <f t="shared" si="2"/>
        <v>186</v>
      </c>
      <c r="B187" s="284" t="s">
        <v>3807</v>
      </c>
      <c r="C187" s="270" t="s">
        <v>3808</v>
      </c>
      <c r="D187" s="270" t="s">
        <v>8</v>
      </c>
      <c r="E187" s="270" t="s">
        <v>9</v>
      </c>
      <c r="F187" s="270" t="s">
        <v>1765</v>
      </c>
      <c r="G187" s="302">
        <v>45084</v>
      </c>
      <c r="L187" s="270" t="s">
        <v>2479</v>
      </c>
      <c r="M187" s="270" t="s">
        <v>2479</v>
      </c>
      <c r="N187" s="272" t="s">
        <v>122</v>
      </c>
      <c r="O187" s="270" t="s">
        <v>2479</v>
      </c>
      <c r="P187" s="270" t="s">
        <v>1555</v>
      </c>
      <c r="Q187" s="270" t="s">
        <v>2198</v>
      </c>
      <c r="R187" s="306">
        <v>44992.38013888889</v>
      </c>
      <c r="S187" s="285">
        <v>2023</v>
      </c>
      <c r="T187" s="270" t="s">
        <v>2001</v>
      </c>
      <c r="U187" s="270" t="s">
        <v>678</v>
      </c>
      <c r="V187" s="270" t="s">
        <v>679</v>
      </c>
      <c r="W187" s="270" t="s">
        <v>145</v>
      </c>
      <c r="X187" s="270" t="s">
        <v>309</v>
      </c>
      <c r="Y187" s="273">
        <v>45078</v>
      </c>
      <c r="Z187" s="288" t="s">
        <v>1875</v>
      </c>
      <c r="AA187" s="288" t="s">
        <v>2479</v>
      </c>
      <c r="AB187" s="288" t="s">
        <v>139</v>
      </c>
      <c r="AC187" s="288" t="s">
        <v>1875</v>
      </c>
      <c r="AD187" s="288" t="s">
        <v>1805</v>
      </c>
      <c r="AE187" s="288" t="s">
        <v>1805</v>
      </c>
      <c r="AF187" s="288" t="s">
        <v>2479</v>
      </c>
      <c r="AG187" s="288" t="s">
        <v>2479</v>
      </c>
      <c r="AH187" s="288" t="s">
        <v>2479</v>
      </c>
      <c r="AI187" s="288" t="s">
        <v>2479</v>
      </c>
      <c r="AJ187" s="303" t="s">
        <v>2191</v>
      </c>
      <c r="AK187" s="288" t="s">
        <v>2479</v>
      </c>
      <c r="AL187" s="303" t="s">
        <v>2190</v>
      </c>
      <c r="AM187" s="288" t="s">
        <v>1975</v>
      </c>
      <c r="AN187" s="207" t="b">
        <v>0</v>
      </c>
      <c r="AY187" s="288" t="s">
        <v>2479</v>
      </c>
      <c r="AZ187" s="288" t="s">
        <v>2479</v>
      </c>
      <c r="BA187" s="288" t="s">
        <v>373</v>
      </c>
      <c r="BB187" s="288" t="s">
        <v>139</v>
      </c>
      <c r="BC187" s="288" t="s">
        <v>2192</v>
      </c>
      <c r="BD187" s="280"/>
      <c r="BE187" s="280"/>
      <c r="BF187" s="280"/>
      <c r="BG187" s="280"/>
    </row>
    <row r="188" spans="1:59" ht="45" customHeight="1">
      <c r="A188" s="271">
        <f t="shared" si="2"/>
        <v>187</v>
      </c>
      <c r="B188" s="284" t="s">
        <v>3809</v>
      </c>
      <c r="C188" s="270" t="s">
        <v>3810</v>
      </c>
      <c r="D188" s="270" t="s">
        <v>8</v>
      </c>
      <c r="E188" s="270" t="s">
        <v>9</v>
      </c>
      <c r="F188" s="270" t="s">
        <v>1765</v>
      </c>
      <c r="G188" s="302">
        <v>45084</v>
      </c>
      <c r="L188" s="270" t="s">
        <v>2479</v>
      </c>
      <c r="M188" s="270" t="s">
        <v>2479</v>
      </c>
      <c r="N188" s="272" t="s">
        <v>122</v>
      </c>
      <c r="O188" s="270" t="s">
        <v>2479</v>
      </c>
      <c r="P188" s="270" t="s">
        <v>1555</v>
      </c>
      <c r="Q188" s="270" t="s">
        <v>2198</v>
      </c>
      <c r="R188" s="306">
        <v>44992.380578703705</v>
      </c>
      <c r="S188" s="285">
        <v>2023</v>
      </c>
      <c r="T188" s="270" t="s">
        <v>2001</v>
      </c>
      <c r="U188" s="270" t="s">
        <v>678</v>
      </c>
      <c r="V188" s="270" t="s">
        <v>679</v>
      </c>
      <c r="W188" s="270" t="s">
        <v>145</v>
      </c>
      <c r="X188" s="270" t="s">
        <v>309</v>
      </c>
      <c r="Y188" s="273">
        <v>45078</v>
      </c>
      <c r="Z188" s="288" t="s">
        <v>1875</v>
      </c>
      <c r="AA188" s="288" t="s">
        <v>2479</v>
      </c>
      <c r="AB188" s="288" t="s">
        <v>139</v>
      </c>
      <c r="AC188" s="288" t="s">
        <v>1875</v>
      </c>
      <c r="AD188" s="288" t="s">
        <v>1805</v>
      </c>
      <c r="AE188" s="288" t="s">
        <v>1805</v>
      </c>
      <c r="AF188" s="288" t="s">
        <v>2479</v>
      </c>
      <c r="AG188" s="288" t="s">
        <v>2479</v>
      </c>
      <c r="AH188" s="288" t="s">
        <v>2479</v>
      </c>
      <c r="AI188" s="288" t="s">
        <v>2479</v>
      </c>
      <c r="AJ188" s="303" t="s">
        <v>2191</v>
      </c>
      <c r="AK188" s="288" t="s">
        <v>2479</v>
      </c>
      <c r="AL188" s="303" t="s">
        <v>2190</v>
      </c>
      <c r="AM188" s="288" t="s">
        <v>1975</v>
      </c>
      <c r="AN188" s="207" t="b">
        <v>0</v>
      </c>
      <c r="AY188" s="288" t="s">
        <v>2479</v>
      </c>
      <c r="AZ188" s="288" t="s">
        <v>2479</v>
      </c>
      <c r="BA188" s="288" t="s">
        <v>373</v>
      </c>
      <c r="BB188" s="288" t="s">
        <v>139</v>
      </c>
      <c r="BC188" s="288" t="s">
        <v>2192</v>
      </c>
      <c r="BD188" s="280"/>
      <c r="BE188" s="280"/>
      <c r="BF188" s="280"/>
      <c r="BG188" s="280"/>
    </row>
    <row r="189" spans="1:59" ht="45" customHeight="1">
      <c r="A189" s="271">
        <f>ROW()-1</f>
        <v>188</v>
      </c>
      <c r="B189" s="284" t="s">
        <v>3935</v>
      </c>
      <c r="C189" s="270" t="s">
        <v>3510</v>
      </c>
      <c r="D189" s="270" t="s">
        <v>8</v>
      </c>
      <c r="E189" s="270" t="s">
        <v>9</v>
      </c>
      <c r="F189" s="270" t="s">
        <v>1765</v>
      </c>
      <c r="G189" s="302">
        <v>44162</v>
      </c>
      <c r="I189" s="306">
        <v>45082</v>
      </c>
      <c r="J189" s="270" t="s">
        <v>2904</v>
      </c>
      <c r="K189" s="306">
        <v>45104</v>
      </c>
      <c r="L189" s="270" t="s">
        <v>2193</v>
      </c>
      <c r="M189" s="270" t="s">
        <v>115</v>
      </c>
      <c r="N189" s="272" t="s">
        <v>2479</v>
      </c>
      <c r="O189" s="270" t="s">
        <v>2479</v>
      </c>
      <c r="P189" s="270" t="s">
        <v>1556</v>
      </c>
      <c r="Q189" s="270" t="s">
        <v>2198</v>
      </c>
      <c r="R189" s="306">
        <v>44992.623576388891</v>
      </c>
      <c r="S189" s="285">
        <v>2020</v>
      </c>
      <c r="T189" s="270" t="s">
        <v>2194</v>
      </c>
      <c r="U189" s="270" t="s">
        <v>678</v>
      </c>
      <c r="V189" s="270" t="s">
        <v>679</v>
      </c>
      <c r="W189" s="270" t="s">
        <v>145</v>
      </c>
      <c r="X189" s="270" t="s">
        <v>309</v>
      </c>
      <c r="Y189" s="273">
        <v>45078</v>
      </c>
      <c r="Z189" s="288" t="s">
        <v>1875</v>
      </c>
      <c r="AA189" s="288" t="s">
        <v>2479</v>
      </c>
      <c r="AB189" s="288" t="s">
        <v>139</v>
      </c>
      <c r="AC189" s="288" t="s">
        <v>1875</v>
      </c>
      <c r="AD189" s="288" t="s">
        <v>1805</v>
      </c>
      <c r="AE189" s="288" t="s">
        <v>1805</v>
      </c>
      <c r="AF189" s="288" t="s">
        <v>2479</v>
      </c>
      <c r="AG189" s="288" t="s">
        <v>2479</v>
      </c>
      <c r="AH189" s="288" t="s">
        <v>2479</v>
      </c>
      <c r="AI189" s="288" t="s">
        <v>2479</v>
      </c>
      <c r="AJ189" s="303" t="s">
        <v>2191</v>
      </c>
      <c r="AK189" s="288" t="s">
        <v>2479</v>
      </c>
      <c r="AL189" s="303" t="s">
        <v>2190</v>
      </c>
      <c r="AM189" s="288" t="s">
        <v>1975</v>
      </c>
      <c r="AN189" s="207" t="b">
        <v>0</v>
      </c>
      <c r="AY189" s="288" t="s">
        <v>2479</v>
      </c>
      <c r="AZ189" s="288" t="s">
        <v>2479</v>
      </c>
      <c r="BA189" s="288" t="s">
        <v>373</v>
      </c>
      <c r="BB189" s="288" t="s">
        <v>139</v>
      </c>
      <c r="BC189" s="288" t="s">
        <v>2192</v>
      </c>
      <c r="BD189" s="280"/>
      <c r="BE189" s="280"/>
      <c r="BF189" s="280"/>
      <c r="BG189" s="280"/>
    </row>
    <row r="190" spans="1:59" ht="45" customHeight="1">
      <c r="A190" s="271">
        <f t="shared" si="2"/>
        <v>189</v>
      </c>
      <c r="B190" s="284" t="s">
        <v>3936</v>
      </c>
      <c r="C190" s="270" t="s">
        <v>3937</v>
      </c>
      <c r="D190" s="270" t="s">
        <v>8</v>
      </c>
      <c r="E190" s="270" t="s">
        <v>9</v>
      </c>
      <c r="F190" s="270" t="s">
        <v>1765</v>
      </c>
      <c r="G190" s="302">
        <v>44272</v>
      </c>
      <c r="I190" s="306">
        <v>45082</v>
      </c>
      <c r="J190" s="270" t="s">
        <v>2904</v>
      </c>
      <c r="L190" s="270" t="s">
        <v>2479</v>
      </c>
      <c r="M190" s="270" t="s">
        <v>2479</v>
      </c>
      <c r="N190" s="272" t="s">
        <v>122</v>
      </c>
      <c r="O190" s="270" t="s">
        <v>2479</v>
      </c>
      <c r="P190" s="270" t="s">
        <v>1556</v>
      </c>
      <c r="Q190" s="270" t="s">
        <v>2198</v>
      </c>
      <c r="R190" s="306">
        <v>44992.489120370374</v>
      </c>
      <c r="S190" s="285">
        <v>2021</v>
      </c>
      <c r="T190" s="270" t="s">
        <v>2001</v>
      </c>
      <c r="U190" s="270" t="s">
        <v>678</v>
      </c>
      <c r="V190" s="270" t="s">
        <v>679</v>
      </c>
      <c r="W190" s="270" t="s">
        <v>145</v>
      </c>
      <c r="X190" s="270" t="s">
        <v>309</v>
      </c>
      <c r="Y190" s="273">
        <v>45078</v>
      </c>
      <c r="Z190" s="288" t="s">
        <v>1875</v>
      </c>
      <c r="AA190" s="288" t="s">
        <v>2479</v>
      </c>
      <c r="AB190" s="288" t="s">
        <v>139</v>
      </c>
      <c r="AC190" s="288" t="s">
        <v>1875</v>
      </c>
      <c r="AD190" s="288" t="s">
        <v>1805</v>
      </c>
      <c r="AE190" s="288" t="s">
        <v>1805</v>
      </c>
      <c r="AF190" s="288" t="s">
        <v>2479</v>
      </c>
      <c r="AG190" s="288" t="s">
        <v>2479</v>
      </c>
      <c r="AH190" s="288" t="s">
        <v>2479</v>
      </c>
      <c r="AI190" s="288" t="s">
        <v>2479</v>
      </c>
      <c r="AJ190" s="303" t="s">
        <v>2191</v>
      </c>
      <c r="AK190" s="288" t="s">
        <v>2479</v>
      </c>
      <c r="AL190" s="303" t="s">
        <v>2190</v>
      </c>
      <c r="AM190" s="288" t="s">
        <v>1975</v>
      </c>
      <c r="AN190" s="207" t="b">
        <v>0</v>
      </c>
      <c r="AY190" s="288" t="s">
        <v>2479</v>
      </c>
      <c r="AZ190" s="288" t="s">
        <v>2479</v>
      </c>
      <c r="BA190" s="288" t="s">
        <v>373</v>
      </c>
      <c r="BB190" s="288" t="s">
        <v>139</v>
      </c>
      <c r="BC190" s="288" t="s">
        <v>2192</v>
      </c>
      <c r="BD190" s="280"/>
      <c r="BE190" s="280"/>
      <c r="BF190" s="280"/>
      <c r="BG190" s="280"/>
    </row>
    <row r="191" spans="1:59" ht="45" customHeight="1">
      <c r="A191" s="271">
        <f t="shared" si="2"/>
        <v>190</v>
      </c>
      <c r="B191" s="284" t="s">
        <v>3940</v>
      </c>
      <c r="C191" s="270" t="s">
        <v>3941</v>
      </c>
      <c r="D191" s="270" t="s">
        <v>8</v>
      </c>
      <c r="E191" s="270" t="s">
        <v>9</v>
      </c>
      <c r="F191" s="270" t="s">
        <v>1765</v>
      </c>
      <c r="G191" s="302">
        <v>44599</v>
      </c>
      <c r="I191" s="306">
        <v>45078</v>
      </c>
      <c r="J191" s="270" t="s">
        <v>2904</v>
      </c>
      <c r="L191" s="270" t="s">
        <v>2479</v>
      </c>
      <c r="M191" s="270" t="s">
        <v>2479</v>
      </c>
      <c r="N191" s="272" t="s">
        <v>122</v>
      </c>
      <c r="O191" s="270" t="s">
        <v>2479</v>
      </c>
      <c r="P191" s="270" t="s">
        <v>1556</v>
      </c>
      <c r="Q191" s="270" t="s">
        <v>2198</v>
      </c>
      <c r="R191" s="306">
        <v>44992.491238425922</v>
      </c>
      <c r="S191" s="285">
        <v>2022</v>
      </c>
      <c r="T191" s="270" t="s">
        <v>2001</v>
      </c>
      <c r="U191" s="270" t="s">
        <v>678</v>
      </c>
      <c r="V191" s="270" t="s">
        <v>679</v>
      </c>
      <c r="W191" s="270" t="s">
        <v>145</v>
      </c>
      <c r="X191" s="270" t="s">
        <v>309</v>
      </c>
      <c r="Y191" s="273">
        <v>45078</v>
      </c>
      <c r="Z191" s="288" t="s">
        <v>1875</v>
      </c>
      <c r="AA191" s="288" t="s">
        <v>2479</v>
      </c>
      <c r="AB191" s="288" t="s">
        <v>139</v>
      </c>
      <c r="AC191" s="288" t="s">
        <v>1875</v>
      </c>
      <c r="AD191" s="288" t="s">
        <v>1805</v>
      </c>
      <c r="AE191" s="288" t="s">
        <v>1805</v>
      </c>
      <c r="AF191" s="288" t="s">
        <v>2479</v>
      </c>
      <c r="AG191" s="288" t="s">
        <v>2479</v>
      </c>
      <c r="AH191" s="288" t="s">
        <v>2479</v>
      </c>
      <c r="AI191" s="288" t="s">
        <v>2479</v>
      </c>
      <c r="AJ191" s="303" t="s">
        <v>2191</v>
      </c>
      <c r="AK191" s="288" t="s">
        <v>2479</v>
      </c>
      <c r="AL191" s="303" t="s">
        <v>2190</v>
      </c>
      <c r="AM191" s="288" t="s">
        <v>1975</v>
      </c>
      <c r="AN191" s="207" t="b">
        <v>0</v>
      </c>
      <c r="AY191" s="288" t="s">
        <v>2479</v>
      </c>
      <c r="AZ191" s="288" t="s">
        <v>2479</v>
      </c>
      <c r="BA191" s="288" t="s">
        <v>373</v>
      </c>
      <c r="BB191" s="288" t="s">
        <v>139</v>
      </c>
      <c r="BC191" s="288" t="s">
        <v>2192</v>
      </c>
      <c r="BD191" s="280"/>
      <c r="BE191" s="280"/>
      <c r="BF191" s="280"/>
      <c r="BG191" s="280"/>
    </row>
    <row r="192" spans="1:59" ht="45" customHeight="1">
      <c r="A192" s="271">
        <f t="shared" si="2"/>
        <v>191</v>
      </c>
      <c r="B192" s="284" t="s">
        <v>3483</v>
      </c>
      <c r="C192" s="270" t="s">
        <v>3862</v>
      </c>
      <c r="D192" s="270" t="s">
        <v>8</v>
      </c>
      <c r="E192" s="270" t="s">
        <v>9</v>
      </c>
      <c r="F192" s="270" t="s">
        <v>1765</v>
      </c>
      <c r="G192" s="302">
        <v>44376</v>
      </c>
      <c r="I192" s="306">
        <v>45100</v>
      </c>
      <c r="J192" s="270" t="s">
        <v>2904</v>
      </c>
      <c r="L192" s="270" t="s">
        <v>2479</v>
      </c>
      <c r="M192" s="270" t="s">
        <v>2479</v>
      </c>
      <c r="N192" s="272" t="s">
        <v>122</v>
      </c>
      <c r="O192" s="270" t="s">
        <v>2479</v>
      </c>
      <c r="P192" s="270" t="s">
        <v>1556</v>
      </c>
      <c r="Q192" s="270" t="s">
        <v>2198</v>
      </c>
      <c r="R192" s="306">
        <v>44992.497060185182</v>
      </c>
      <c r="S192" s="285">
        <v>2021</v>
      </c>
      <c r="T192" s="270" t="s">
        <v>2001</v>
      </c>
      <c r="U192" s="270" t="s">
        <v>678</v>
      </c>
      <c r="V192" s="270" t="s">
        <v>679</v>
      </c>
      <c r="W192" s="270" t="s">
        <v>145</v>
      </c>
      <c r="X192" s="270" t="s">
        <v>309</v>
      </c>
      <c r="Y192" s="273">
        <v>45078</v>
      </c>
      <c r="Z192" s="288" t="s">
        <v>1875</v>
      </c>
      <c r="AA192" s="288" t="s">
        <v>2479</v>
      </c>
      <c r="AB192" s="288" t="s">
        <v>139</v>
      </c>
      <c r="AC192" s="288" t="s">
        <v>1875</v>
      </c>
      <c r="AD192" s="288" t="s">
        <v>1805</v>
      </c>
      <c r="AE192" s="288" t="s">
        <v>1805</v>
      </c>
      <c r="AF192" s="288" t="s">
        <v>2479</v>
      </c>
      <c r="AG192" s="288" t="s">
        <v>2479</v>
      </c>
      <c r="AH192" s="288" t="s">
        <v>2479</v>
      </c>
      <c r="AI192" s="288" t="s">
        <v>2479</v>
      </c>
      <c r="AJ192" s="303" t="s">
        <v>2191</v>
      </c>
      <c r="AK192" s="288" t="s">
        <v>2479</v>
      </c>
      <c r="AL192" s="303" t="s">
        <v>2190</v>
      </c>
      <c r="AM192" s="288" t="s">
        <v>1975</v>
      </c>
      <c r="AN192" s="207" t="b">
        <v>0</v>
      </c>
      <c r="AY192" s="288" t="s">
        <v>2479</v>
      </c>
      <c r="AZ192" s="288" t="s">
        <v>2479</v>
      </c>
      <c r="BA192" s="288" t="s">
        <v>373</v>
      </c>
      <c r="BB192" s="288" t="s">
        <v>139</v>
      </c>
      <c r="BC192" s="288" t="s">
        <v>2192</v>
      </c>
      <c r="BD192" s="280"/>
      <c r="BE192" s="280"/>
      <c r="BF192" s="280"/>
      <c r="BG192" s="280"/>
    </row>
    <row r="193" spans="1:59" ht="45" customHeight="1">
      <c r="A193" s="271">
        <f t="shared" si="2"/>
        <v>192</v>
      </c>
      <c r="B193" s="284" t="s">
        <v>3947</v>
      </c>
      <c r="C193" s="270" t="s">
        <v>3948</v>
      </c>
      <c r="D193" s="270" t="s">
        <v>8</v>
      </c>
      <c r="E193" s="270" t="s">
        <v>9</v>
      </c>
      <c r="F193" s="270" t="s">
        <v>1765</v>
      </c>
      <c r="G193" s="302">
        <v>44286</v>
      </c>
      <c r="I193" s="306">
        <v>45100</v>
      </c>
      <c r="J193" s="270" t="s">
        <v>2904</v>
      </c>
      <c r="L193" s="270" t="s">
        <v>2479</v>
      </c>
      <c r="M193" s="270" t="s">
        <v>2479</v>
      </c>
      <c r="N193" s="272" t="s">
        <v>122</v>
      </c>
      <c r="O193" s="270" t="s">
        <v>2479</v>
      </c>
      <c r="P193" s="270" t="s">
        <v>1556</v>
      </c>
      <c r="Q193" s="270" t="s">
        <v>2198</v>
      </c>
      <c r="R193" s="306">
        <v>44992.498402777775</v>
      </c>
      <c r="S193" s="285">
        <v>2021</v>
      </c>
      <c r="T193" s="270" t="s">
        <v>2001</v>
      </c>
      <c r="U193" s="270" t="s">
        <v>678</v>
      </c>
      <c r="V193" s="270" t="s">
        <v>679</v>
      </c>
      <c r="W193" s="270" t="s">
        <v>145</v>
      </c>
      <c r="X193" s="270" t="s">
        <v>309</v>
      </c>
      <c r="Y193" s="273">
        <v>45078</v>
      </c>
      <c r="Z193" s="288" t="s">
        <v>1875</v>
      </c>
      <c r="AA193" s="288" t="s">
        <v>2479</v>
      </c>
      <c r="AB193" s="288" t="s">
        <v>139</v>
      </c>
      <c r="AC193" s="288" t="s">
        <v>1875</v>
      </c>
      <c r="AD193" s="288" t="s">
        <v>1805</v>
      </c>
      <c r="AE193" s="288" t="s">
        <v>1805</v>
      </c>
      <c r="AF193" s="288" t="s">
        <v>2479</v>
      </c>
      <c r="AG193" s="288" t="s">
        <v>2479</v>
      </c>
      <c r="AH193" s="288" t="s">
        <v>2479</v>
      </c>
      <c r="AI193" s="288" t="s">
        <v>2479</v>
      </c>
      <c r="AJ193" s="303" t="s">
        <v>2191</v>
      </c>
      <c r="AK193" s="288" t="s">
        <v>2479</v>
      </c>
      <c r="AL193" s="303" t="s">
        <v>2190</v>
      </c>
      <c r="AM193" s="288" t="s">
        <v>1975</v>
      </c>
      <c r="AN193" s="207" t="b">
        <v>0</v>
      </c>
      <c r="AY193" s="288" t="s">
        <v>2479</v>
      </c>
      <c r="AZ193" s="288" t="s">
        <v>2479</v>
      </c>
      <c r="BA193" s="288" t="s">
        <v>373</v>
      </c>
      <c r="BB193" s="288" t="s">
        <v>139</v>
      </c>
      <c r="BC193" s="288" t="s">
        <v>2192</v>
      </c>
      <c r="BD193" s="280"/>
      <c r="BE193" s="280"/>
      <c r="BF193" s="280"/>
      <c r="BG193" s="280"/>
    </row>
    <row r="194" spans="1:59" ht="45" customHeight="1">
      <c r="A194" s="271">
        <f t="shared" si="2"/>
        <v>193</v>
      </c>
      <c r="B194" s="284" t="s">
        <v>2563</v>
      </c>
      <c r="C194" s="270" t="s">
        <v>3326</v>
      </c>
      <c r="D194" s="270" t="s">
        <v>8</v>
      </c>
      <c r="E194" s="270" t="s">
        <v>9</v>
      </c>
      <c r="F194" s="270" t="s">
        <v>1767</v>
      </c>
      <c r="G194" s="302">
        <v>44929</v>
      </c>
      <c r="K194" s="306">
        <v>45092</v>
      </c>
      <c r="L194" s="270" t="s">
        <v>2193</v>
      </c>
      <c r="M194" s="270" t="s">
        <v>114</v>
      </c>
      <c r="N194" s="272" t="s">
        <v>2479</v>
      </c>
      <c r="O194" s="270" t="s">
        <v>2479</v>
      </c>
      <c r="P194" s="270" t="s">
        <v>1554</v>
      </c>
      <c r="Q194" s="270" t="s">
        <v>2198</v>
      </c>
      <c r="R194" s="306">
        <v>44992.542222222219</v>
      </c>
      <c r="S194" s="285">
        <v>2023</v>
      </c>
      <c r="T194" s="270" t="s">
        <v>2194</v>
      </c>
      <c r="U194" s="270" t="s">
        <v>678</v>
      </c>
      <c r="V194" s="270" t="s">
        <v>679</v>
      </c>
      <c r="W194" s="270" t="s">
        <v>145</v>
      </c>
      <c r="X194" s="270" t="s">
        <v>309</v>
      </c>
      <c r="Y194" s="273">
        <v>45078</v>
      </c>
      <c r="Z194" s="288" t="s">
        <v>1875</v>
      </c>
      <c r="AA194" s="288" t="s">
        <v>2479</v>
      </c>
      <c r="AB194" s="288" t="s">
        <v>139</v>
      </c>
      <c r="AC194" s="288" t="s">
        <v>1875</v>
      </c>
      <c r="AD194" s="288" t="s">
        <v>1805</v>
      </c>
      <c r="AE194" s="288" t="s">
        <v>1805</v>
      </c>
      <c r="AF194" s="288" t="s">
        <v>2479</v>
      </c>
      <c r="AG194" s="288" t="s">
        <v>2479</v>
      </c>
      <c r="AH194" s="288" t="s">
        <v>2479</v>
      </c>
      <c r="AI194" s="288" t="s">
        <v>2479</v>
      </c>
      <c r="AJ194" s="303" t="s">
        <v>2191</v>
      </c>
      <c r="AK194" s="288" t="s">
        <v>2479</v>
      </c>
      <c r="AL194" s="303" t="s">
        <v>2190</v>
      </c>
      <c r="AM194" s="288" t="s">
        <v>1975</v>
      </c>
      <c r="AN194" s="207" t="b">
        <v>0</v>
      </c>
      <c r="AY194" s="288" t="s">
        <v>2479</v>
      </c>
      <c r="AZ194" s="288" t="s">
        <v>2479</v>
      </c>
      <c r="BA194" s="288" t="s">
        <v>373</v>
      </c>
      <c r="BB194" s="288" t="s">
        <v>139</v>
      </c>
      <c r="BC194" s="288" t="s">
        <v>2192</v>
      </c>
      <c r="BD194" s="280"/>
      <c r="BE194" s="280"/>
      <c r="BF194" s="280"/>
      <c r="BG194" s="280"/>
    </row>
    <row r="195" spans="1:59" ht="45" customHeight="1">
      <c r="A195" s="271">
        <f t="shared" ref="A195:A258" si="3">ROW()-1</f>
        <v>194</v>
      </c>
      <c r="B195" s="284" t="s">
        <v>3327</v>
      </c>
      <c r="C195" s="270" t="s">
        <v>3328</v>
      </c>
      <c r="D195" s="270" t="s">
        <v>8</v>
      </c>
      <c r="E195" s="270" t="s">
        <v>9</v>
      </c>
      <c r="F195" s="270" t="s">
        <v>1767</v>
      </c>
      <c r="G195" s="302">
        <v>44937</v>
      </c>
      <c r="L195" s="270" t="s">
        <v>2479</v>
      </c>
      <c r="M195" s="270" t="s">
        <v>2479</v>
      </c>
      <c r="N195" s="272" t="s">
        <v>122</v>
      </c>
      <c r="O195" s="270" t="s">
        <v>2479</v>
      </c>
      <c r="P195" s="270" t="s">
        <v>1554</v>
      </c>
      <c r="Q195" s="270" t="s">
        <v>2198</v>
      </c>
      <c r="R195" s="306" t="s">
        <v>3329</v>
      </c>
      <c r="S195" s="285">
        <v>2023</v>
      </c>
      <c r="T195" s="270" t="s">
        <v>2001</v>
      </c>
      <c r="U195" s="270" t="s">
        <v>678</v>
      </c>
      <c r="V195" s="270" t="s">
        <v>679</v>
      </c>
      <c r="W195" s="270" t="s">
        <v>145</v>
      </c>
      <c r="X195" s="270" t="s">
        <v>309</v>
      </c>
      <c r="Y195" s="273">
        <v>45078</v>
      </c>
      <c r="Z195" s="288" t="s">
        <v>1875</v>
      </c>
      <c r="AA195" s="288" t="s">
        <v>2479</v>
      </c>
      <c r="AB195" s="288" t="s">
        <v>139</v>
      </c>
      <c r="AC195" s="288" t="s">
        <v>1875</v>
      </c>
      <c r="AD195" s="288" t="s">
        <v>1805</v>
      </c>
      <c r="AE195" s="288" t="s">
        <v>1805</v>
      </c>
      <c r="AF195" s="288" t="s">
        <v>2479</v>
      </c>
      <c r="AG195" s="288" t="s">
        <v>2479</v>
      </c>
      <c r="AH195" s="288" t="s">
        <v>2479</v>
      </c>
      <c r="AI195" s="288" t="s">
        <v>2479</v>
      </c>
      <c r="AJ195" s="303" t="s">
        <v>2191</v>
      </c>
      <c r="AK195" s="288" t="s">
        <v>2479</v>
      </c>
      <c r="AL195" s="303" t="s">
        <v>2190</v>
      </c>
      <c r="AM195" s="288" t="s">
        <v>1975</v>
      </c>
      <c r="AN195" s="207" t="b">
        <v>0</v>
      </c>
      <c r="AY195" s="288" t="s">
        <v>2479</v>
      </c>
      <c r="AZ195" s="288" t="s">
        <v>2479</v>
      </c>
      <c r="BA195" s="288" t="s">
        <v>373</v>
      </c>
      <c r="BB195" s="288" t="s">
        <v>1610</v>
      </c>
      <c r="BC195" s="288" t="s">
        <v>2192</v>
      </c>
      <c r="BD195" s="280"/>
      <c r="BE195" s="280"/>
      <c r="BF195" s="280"/>
      <c r="BG195" s="280"/>
    </row>
    <row r="196" spans="1:59" ht="45" customHeight="1">
      <c r="A196" s="271">
        <f t="shared" si="3"/>
        <v>195</v>
      </c>
      <c r="B196" s="284" t="s">
        <v>3330</v>
      </c>
      <c r="C196" s="270" t="s">
        <v>3331</v>
      </c>
      <c r="D196" s="270" t="s">
        <v>8</v>
      </c>
      <c r="E196" s="270" t="s">
        <v>9</v>
      </c>
      <c r="F196" s="270" t="s">
        <v>1767</v>
      </c>
      <c r="G196" s="302">
        <v>44949</v>
      </c>
      <c r="L196" s="270" t="s">
        <v>2479</v>
      </c>
      <c r="M196" s="270" t="s">
        <v>2479</v>
      </c>
      <c r="N196" s="272" t="s">
        <v>122</v>
      </c>
      <c r="O196" s="270" t="s">
        <v>2479</v>
      </c>
      <c r="P196" s="270" t="s">
        <v>1554</v>
      </c>
      <c r="Q196" s="270" t="s">
        <v>2198</v>
      </c>
      <c r="R196" s="306" t="s">
        <v>3332</v>
      </c>
      <c r="S196" s="285">
        <v>2023</v>
      </c>
      <c r="T196" s="270" t="s">
        <v>2001</v>
      </c>
      <c r="U196" s="270" t="s">
        <v>678</v>
      </c>
      <c r="V196" s="270" t="s">
        <v>679</v>
      </c>
      <c r="W196" s="270" t="s">
        <v>145</v>
      </c>
      <c r="X196" s="270" t="s">
        <v>309</v>
      </c>
      <c r="Y196" s="273">
        <v>45078</v>
      </c>
      <c r="Z196" s="288" t="s">
        <v>1875</v>
      </c>
      <c r="AA196" s="288" t="s">
        <v>2479</v>
      </c>
      <c r="AB196" s="288" t="s">
        <v>139</v>
      </c>
      <c r="AC196" s="288" t="s">
        <v>1875</v>
      </c>
      <c r="AD196" s="288" t="s">
        <v>1805</v>
      </c>
      <c r="AE196" s="288" t="s">
        <v>1805</v>
      </c>
      <c r="AF196" s="288" t="s">
        <v>2479</v>
      </c>
      <c r="AG196" s="288" t="s">
        <v>2479</v>
      </c>
      <c r="AH196" s="288" t="s">
        <v>2479</v>
      </c>
      <c r="AI196" s="288" t="s">
        <v>2479</v>
      </c>
      <c r="AJ196" s="303" t="s">
        <v>2191</v>
      </c>
      <c r="AK196" s="288" t="s">
        <v>2479</v>
      </c>
      <c r="AL196" s="303" t="s">
        <v>2190</v>
      </c>
      <c r="AM196" s="288" t="s">
        <v>1975</v>
      </c>
      <c r="AN196" s="207" t="b">
        <v>0</v>
      </c>
      <c r="AY196" s="288" t="s">
        <v>2479</v>
      </c>
      <c r="AZ196" s="288" t="s">
        <v>2479</v>
      </c>
      <c r="BA196" s="288" t="s">
        <v>373</v>
      </c>
      <c r="BB196" s="288" t="s">
        <v>1610</v>
      </c>
      <c r="BC196" s="288" t="s">
        <v>2192</v>
      </c>
      <c r="BD196" s="280"/>
      <c r="BE196" s="280"/>
      <c r="BF196" s="280"/>
      <c r="BG196" s="280"/>
    </row>
    <row r="197" spans="1:59" ht="45" customHeight="1">
      <c r="A197" s="271">
        <f t="shared" si="3"/>
        <v>196</v>
      </c>
      <c r="B197" s="284" t="s">
        <v>3454</v>
      </c>
      <c r="C197" s="270" t="s">
        <v>3455</v>
      </c>
      <c r="D197" s="270" t="s">
        <v>8</v>
      </c>
      <c r="E197" s="270" t="s">
        <v>9</v>
      </c>
      <c r="F197" s="270" t="s">
        <v>1767</v>
      </c>
      <c r="G197" s="302">
        <v>44971</v>
      </c>
      <c r="L197" s="270" t="s">
        <v>2479</v>
      </c>
      <c r="M197" s="270" t="s">
        <v>2479</v>
      </c>
      <c r="N197" s="272" t="s">
        <v>122</v>
      </c>
      <c r="O197" s="270" t="s">
        <v>2479</v>
      </c>
      <c r="P197" s="270" t="s">
        <v>1554</v>
      </c>
      <c r="Q197" s="270" t="s">
        <v>2198</v>
      </c>
      <c r="R197" s="306" t="s">
        <v>3456</v>
      </c>
      <c r="S197" s="285">
        <v>2023</v>
      </c>
      <c r="T197" s="270" t="s">
        <v>2001</v>
      </c>
      <c r="U197" s="270" t="s">
        <v>678</v>
      </c>
      <c r="V197" s="270" t="s">
        <v>679</v>
      </c>
      <c r="W197" s="270" t="s">
        <v>145</v>
      </c>
      <c r="X197" s="270" t="s">
        <v>309</v>
      </c>
      <c r="Y197" s="273">
        <v>45078</v>
      </c>
      <c r="Z197" s="288" t="s">
        <v>1875</v>
      </c>
      <c r="AA197" s="288" t="s">
        <v>2479</v>
      </c>
      <c r="AB197" s="288" t="s">
        <v>139</v>
      </c>
      <c r="AC197" s="288" t="s">
        <v>1875</v>
      </c>
      <c r="AD197" s="288" t="s">
        <v>1805</v>
      </c>
      <c r="AE197" s="288" t="s">
        <v>1805</v>
      </c>
      <c r="AF197" s="288" t="s">
        <v>2479</v>
      </c>
      <c r="AG197" s="288" t="s">
        <v>2479</v>
      </c>
      <c r="AH197" s="288" t="s">
        <v>2479</v>
      </c>
      <c r="AI197" s="288" t="s">
        <v>2479</v>
      </c>
      <c r="AJ197" s="303" t="s">
        <v>2191</v>
      </c>
      <c r="AK197" s="288" t="s">
        <v>2479</v>
      </c>
      <c r="AL197" s="303" t="s">
        <v>2190</v>
      </c>
      <c r="AM197" s="288" t="s">
        <v>1975</v>
      </c>
      <c r="AN197" s="207" t="b">
        <v>0</v>
      </c>
      <c r="AY197" s="288" t="s">
        <v>2479</v>
      </c>
      <c r="AZ197" s="288" t="s">
        <v>2479</v>
      </c>
      <c r="BA197" s="288" t="s">
        <v>373</v>
      </c>
      <c r="BB197" s="288" t="s">
        <v>1610</v>
      </c>
      <c r="BC197" s="288" t="s">
        <v>2192</v>
      </c>
      <c r="BD197" s="280"/>
      <c r="BE197" s="280"/>
      <c r="BF197" s="280"/>
      <c r="BG197" s="280"/>
    </row>
    <row r="198" spans="1:59" ht="45" customHeight="1">
      <c r="A198" s="271">
        <f t="shared" si="3"/>
        <v>197</v>
      </c>
      <c r="B198" s="284" t="s">
        <v>3785</v>
      </c>
      <c r="C198" s="270" t="s">
        <v>3786</v>
      </c>
      <c r="D198" s="270" t="s">
        <v>8</v>
      </c>
      <c r="E198" s="270" t="s">
        <v>9</v>
      </c>
      <c r="F198" s="270" t="s">
        <v>1767</v>
      </c>
      <c r="G198" s="302">
        <v>45048</v>
      </c>
      <c r="K198" s="306">
        <v>45098</v>
      </c>
      <c r="L198" s="270" t="s">
        <v>2193</v>
      </c>
      <c r="M198" s="270" t="s">
        <v>115</v>
      </c>
      <c r="N198" s="272" t="s">
        <v>2479</v>
      </c>
      <c r="O198" s="270" t="s">
        <v>2479</v>
      </c>
      <c r="P198" s="270" t="s">
        <v>1554</v>
      </c>
      <c r="Q198" s="270" t="s">
        <v>2198</v>
      </c>
      <c r="R198" s="306">
        <v>44992.544652777775</v>
      </c>
      <c r="S198" s="285">
        <v>2023</v>
      </c>
      <c r="T198" s="270" t="s">
        <v>2194</v>
      </c>
      <c r="U198" s="270" t="s">
        <v>678</v>
      </c>
      <c r="V198" s="270" t="s">
        <v>679</v>
      </c>
      <c r="W198" s="270" t="s">
        <v>145</v>
      </c>
      <c r="X198" s="270" t="s">
        <v>309</v>
      </c>
      <c r="Y198" s="273">
        <v>45078</v>
      </c>
      <c r="Z198" s="288" t="s">
        <v>1875</v>
      </c>
      <c r="AA198" s="288" t="s">
        <v>2479</v>
      </c>
      <c r="AB198" s="288" t="s">
        <v>139</v>
      </c>
      <c r="AC198" s="288" t="s">
        <v>1875</v>
      </c>
      <c r="AD198" s="288" t="s">
        <v>1805</v>
      </c>
      <c r="AE198" s="288" t="s">
        <v>1805</v>
      </c>
      <c r="AF198" s="288" t="s">
        <v>2479</v>
      </c>
      <c r="AG198" s="288" t="s">
        <v>2479</v>
      </c>
      <c r="AH198" s="288" t="s">
        <v>2479</v>
      </c>
      <c r="AI198" s="288" t="s">
        <v>2479</v>
      </c>
      <c r="AJ198" s="303" t="s">
        <v>2191</v>
      </c>
      <c r="AK198" s="288" t="s">
        <v>2479</v>
      </c>
      <c r="AL198" s="303" t="s">
        <v>2190</v>
      </c>
      <c r="AM198" s="288" t="s">
        <v>1975</v>
      </c>
      <c r="AN198" s="207" t="b">
        <v>0</v>
      </c>
      <c r="AY198" s="288" t="s">
        <v>2479</v>
      </c>
      <c r="AZ198" s="288" t="s">
        <v>2479</v>
      </c>
      <c r="BA198" s="288" t="s">
        <v>373</v>
      </c>
      <c r="BB198" s="288" t="s">
        <v>139</v>
      </c>
      <c r="BC198" s="288" t="s">
        <v>2192</v>
      </c>
      <c r="BD198" s="280"/>
      <c r="BE198" s="280"/>
      <c r="BF198" s="280"/>
      <c r="BG198" s="280"/>
    </row>
    <row r="199" spans="1:59" ht="45" customHeight="1">
      <c r="A199" s="271">
        <f t="shared" si="3"/>
        <v>198</v>
      </c>
      <c r="B199" s="284" t="s">
        <v>3787</v>
      </c>
      <c r="C199" s="270" t="s">
        <v>3788</v>
      </c>
      <c r="D199" s="270" t="s">
        <v>8</v>
      </c>
      <c r="E199" s="270" t="s">
        <v>9</v>
      </c>
      <c r="F199" s="270" t="s">
        <v>1767</v>
      </c>
      <c r="G199" s="302">
        <v>45048</v>
      </c>
      <c r="L199" s="270" t="s">
        <v>2479</v>
      </c>
      <c r="M199" s="270" t="s">
        <v>2479</v>
      </c>
      <c r="N199" s="272" t="s">
        <v>122</v>
      </c>
      <c r="O199" s="270" t="s">
        <v>2479</v>
      </c>
      <c r="P199" s="270" t="s">
        <v>1554</v>
      </c>
      <c r="Q199" s="270" t="s">
        <v>2198</v>
      </c>
      <c r="R199" s="306">
        <v>44932.48028935185</v>
      </c>
      <c r="S199" s="285">
        <v>2023</v>
      </c>
      <c r="T199" s="270" t="s">
        <v>2001</v>
      </c>
      <c r="U199" s="270" t="s">
        <v>678</v>
      </c>
      <c r="V199" s="270" t="s">
        <v>679</v>
      </c>
      <c r="W199" s="270" t="s">
        <v>145</v>
      </c>
      <c r="X199" s="270" t="s">
        <v>309</v>
      </c>
      <c r="Y199" s="273">
        <v>45078</v>
      </c>
      <c r="Z199" s="288" t="s">
        <v>1875</v>
      </c>
      <c r="AA199" s="288" t="s">
        <v>2479</v>
      </c>
      <c r="AB199" s="288" t="s">
        <v>139</v>
      </c>
      <c r="AC199" s="288" t="s">
        <v>1875</v>
      </c>
      <c r="AD199" s="288" t="s">
        <v>1805</v>
      </c>
      <c r="AE199" s="288" t="s">
        <v>1805</v>
      </c>
      <c r="AF199" s="288" t="s">
        <v>2479</v>
      </c>
      <c r="AG199" s="288" t="s">
        <v>2479</v>
      </c>
      <c r="AH199" s="288" t="s">
        <v>2479</v>
      </c>
      <c r="AI199" s="288" t="s">
        <v>2479</v>
      </c>
      <c r="AJ199" s="303" t="s">
        <v>2191</v>
      </c>
      <c r="AK199" s="288" t="s">
        <v>2479</v>
      </c>
      <c r="AL199" s="303" t="s">
        <v>2190</v>
      </c>
      <c r="AM199" s="288" t="s">
        <v>1975</v>
      </c>
      <c r="AN199" s="207" t="b">
        <v>0</v>
      </c>
      <c r="AY199" s="288" t="s">
        <v>2479</v>
      </c>
      <c r="AZ199" s="288" t="s">
        <v>2479</v>
      </c>
      <c r="BA199" s="288" t="s">
        <v>373</v>
      </c>
      <c r="BB199" s="288" t="s">
        <v>1610</v>
      </c>
      <c r="BC199" s="288" t="s">
        <v>2192</v>
      </c>
      <c r="BD199" s="280"/>
      <c r="BE199" s="280"/>
      <c r="BF199" s="280"/>
      <c r="BG199" s="280"/>
    </row>
    <row r="200" spans="1:59" ht="45" customHeight="1">
      <c r="A200" s="271">
        <f t="shared" si="3"/>
        <v>199</v>
      </c>
      <c r="B200" s="284" t="s">
        <v>3792</v>
      </c>
      <c r="C200" s="270" t="s">
        <v>3793</v>
      </c>
      <c r="D200" s="270" t="s">
        <v>8</v>
      </c>
      <c r="E200" s="270" t="s">
        <v>9</v>
      </c>
      <c r="F200" s="270" t="s">
        <v>1767</v>
      </c>
      <c r="G200" s="302">
        <v>45063</v>
      </c>
      <c r="K200" s="306">
        <v>45083</v>
      </c>
      <c r="L200" s="270" t="s">
        <v>2193</v>
      </c>
      <c r="M200" s="270" t="s">
        <v>115</v>
      </c>
      <c r="N200" s="272" t="s">
        <v>2479</v>
      </c>
      <c r="O200" s="270" t="s">
        <v>2479</v>
      </c>
      <c r="P200" s="270" t="s">
        <v>1554</v>
      </c>
      <c r="Q200" s="270" t="s">
        <v>2198</v>
      </c>
      <c r="R200" s="306">
        <v>44992.527777777781</v>
      </c>
      <c r="S200" s="285">
        <v>2023</v>
      </c>
      <c r="T200" s="270" t="s">
        <v>2194</v>
      </c>
      <c r="U200" s="270" t="s">
        <v>678</v>
      </c>
      <c r="V200" s="270" t="s">
        <v>679</v>
      </c>
      <c r="W200" s="270" t="s">
        <v>145</v>
      </c>
      <c r="X200" s="270" t="s">
        <v>309</v>
      </c>
      <c r="Y200" s="273">
        <v>45078</v>
      </c>
      <c r="Z200" s="288" t="s">
        <v>1875</v>
      </c>
      <c r="AA200" s="288" t="s">
        <v>2479</v>
      </c>
      <c r="AB200" s="288" t="s">
        <v>139</v>
      </c>
      <c r="AC200" s="288" t="s">
        <v>1875</v>
      </c>
      <c r="AD200" s="288" t="s">
        <v>1805</v>
      </c>
      <c r="AE200" s="288" t="s">
        <v>1805</v>
      </c>
      <c r="AF200" s="288" t="s">
        <v>2479</v>
      </c>
      <c r="AG200" s="288" t="s">
        <v>2479</v>
      </c>
      <c r="AH200" s="288" t="s">
        <v>2479</v>
      </c>
      <c r="AI200" s="288" t="s">
        <v>2479</v>
      </c>
      <c r="AJ200" s="303" t="s">
        <v>2191</v>
      </c>
      <c r="AK200" s="288" t="s">
        <v>2479</v>
      </c>
      <c r="AL200" s="303" t="s">
        <v>2190</v>
      </c>
      <c r="AM200" s="288" t="s">
        <v>1975</v>
      </c>
      <c r="AN200" s="207" t="b">
        <v>0</v>
      </c>
      <c r="AY200" s="288" t="s">
        <v>2479</v>
      </c>
      <c r="AZ200" s="288" t="s">
        <v>2479</v>
      </c>
      <c r="BA200" s="288" t="s">
        <v>373</v>
      </c>
      <c r="BB200" s="288" t="s">
        <v>139</v>
      </c>
      <c r="BC200" s="288" t="s">
        <v>2192</v>
      </c>
      <c r="BD200" s="280"/>
      <c r="BE200" s="280"/>
      <c r="BF200" s="280"/>
      <c r="BG200" s="280"/>
    </row>
    <row r="201" spans="1:59" ht="45" customHeight="1">
      <c r="A201" s="271">
        <f t="shared" si="3"/>
        <v>200</v>
      </c>
      <c r="B201" s="284" t="s">
        <v>2432</v>
      </c>
      <c r="C201" s="270" t="s">
        <v>3789</v>
      </c>
      <c r="D201" s="270" t="s">
        <v>8</v>
      </c>
      <c r="E201" s="270" t="s">
        <v>9</v>
      </c>
      <c r="F201" s="270" t="s">
        <v>1767</v>
      </c>
      <c r="G201" s="302">
        <v>45066</v>
      </c>
      <c r="K201" s="306">
        <v>45086</v>
      </c>
      <c r="L201" s="270" t="s">
        <v>2193</v>
      </c>
      <c r="M201" s="270" t="s">
        <v>115</v>
      </c>
      <c r="N201" s="272" t="s">
        <v>2479</v>
      </c>
      <c r="O201" s="270" t="s">
        <v>2479</v>
      </c>
      <c r="P201" s="270" t="s">
        <v>1554</v>
      </c>
      <c r="Q201" s="270" t="s">
        <v>2198</v>
      </c>
      <c r="R201" s="306">
        <v>44992.528414351851</v>
      </c>
      <c r="S201" s="285">
        <v>2023</v>
      </c>
      <c r="T201" s="270" t="s">
        <v>2194</v>
      </c>
      <c r="U201" s="270" t="s">
        <v>678</v>
      </c>
      <c r="V201" s="270" t="s">
        <v>679</v>
      </c>
      <c r="W201" s="270" t="s">
        <v>145</v>
      </c>
      <c r="X201" s="270" t="s">
        <v>309</v>
      </c>
      <c r="Y201" s="273">
        <v>45078</v>
      </c>
      <c r="Z201" s="288" t="s">
        <v>1875</v>
      </c>
      <c r="AA201" s="288" t="s">
        <v>2479</v>
      </c>
      <c r="AB201" s="288" t="s">
        <v>139</v>
      </c>
      <c r="AC201" s="288" t="s">
        <v>1875</v>
      </c>
      <c r="AD201" s="288" t="s">
        <v>1805</v>
      </c>
      <c r="AE201" s="288" t="s">
        <v>1805</v>
      </c>
      <c r="AF201" s="288" t="s">
        <v>2479</v>
      </c>
      <c r="AG201" s="288" t="s">
        <v>2479</v>
      </c>
      <c r="AH201" s="288" t="s">
        <v>2479</v>
      </c>
      <c r="AI201" s="288" t="s">
        <v>2479</v>
      </c>
      <c r="AJ201" s="303" t="s">
        <v>2191</v>
      </c>
      <c r="AK201" s="288" t="s">
        <v>2479</v>
      </c>
      <c r="AL201" s="303" t="s">
        <v>2190</v>
      </c>
      <c r="AM201" s="288" t="s">
        <v>1975</v>
      </c>
      <c r="AN201" s="207" t="b">
        <v>0</v>
      </c>
      <c r="AY201" s="288" t="s">
        <v>2479</v>
      </c>
      <c r="AZ201" s="288" t="s">
        <v>2479</v>
      </c>
      <c r="BA201" s="288" t="s">
        <v>373</v>
      </c>
      <c r="BB201" s="288" t="s">
        <v>139</v>
      </c>
      <c r="BC201" s="288" t="s">
        <v>2192</v>
      </c>
      <c r="BD201" s="280"/>
      <c r="BE201" s="280"/>
      <c r="BF201" s="280"/>
      <c r="BG201" s="280"/>
    </row>
    <row r="202" spans="1:59" ht="45" customHeight="1">
      <c r="A202" s="271">
        <f t="shared" si="3"/>
        <v>201</v>
      </c>
      <c r="B202" s="284" t="s">
        <v>2434</v>
      </c>
      <c r="C202" s="270" t="s">
        <v>3790</v>
      </c>
      <c r="D202" s="270" t="s">
        <v>8</v>
      </c>
      <c r="E202" s="270" t="s">
        <v>9</v>
      </c>
      <c r="F202" s="270" t="s">
        <v>1767</v>
      </c>
      <c r="G202" s="302">
        <v>45069</v>
      </c>
      <c r="K202" s="306">
        <v>45092</v>
      </c>
      <c r="L202" s="270" t="s">
        <v>2193</v>
      </c>
      <c r="M202" s="270" t="s">
        <v>115</v>
      </c>
      <c r="N202" s="272" t="s">
        <v>2479</v>
      </c>
      <c r="O202" s="270" t="s">
        <v>2479</v>
      </c>
      <c r="P202" s="270" t="s">
        <v>1554</v>
      </c>
      <c r="Q202" s="270" t="s">
        <v>2198</v>
      </c>
      <c r="R202" s="306">
        <v>44992.537222222221</v>
      </c>
      <c r="S202" s="285">
        <v>2023</v>
      </c>
      <c r="T202" s="270" t="s">
        <v>2194</v>
      </c>
      <c r="U202" s="270" t="s">
        <v>678</v>
      </c>
      <c r="V202" s="270" t="s">
        <v>679</v>
      </c>
      <c r="W202" s="270" t="s">
        <v>145</v>
      </c>
      <c r="X202" s="270" t="s">
        <v>309</v>
      </c>
      <c r="Y202" s="273">
        <v>45078</v>
      </c>
      <c r="Z202" s="288" t="s">
        <v>1875</v>
      </c>
      <c r="AA202" s="288" t="s">
        <v>2479</v>
      </c>
      <c r="AB202" s="288" t="s">
        <v>139</v>
      </c>
      <c r="AC202" s="288" t="s">
        <v>1875</v>
      </c>
      <c r="AD202" s="288" t="s">
        <v>1805</v>
      </c>
      <c r="AE202" s="288" t="s">
        <v>1805</v>
      </c>
      <c r="AF202" s="288" t="s">
        <v>2479</v>
      </c>
      <c r="AG202" s="288" t="s">
        <v>2479</v>
      </c>
      <c r="AH202" s="288" t="s">
        <v>2479</v>
      </c>
      <c r="AI202" s="288" t="s">
        <v>2479</v>
      </c>
      <c r="AJ202" s="303" t="s">
        <v>2191</v>
      </c>
      <c r="AK202" s="288" t="s">
        <v>2479</v>
      </c>
      <c r="AL202" s="303" t="s">
        <v>2190</v>
      </c>
      <c r="AM202" s="288" t="s">
        <v>1975</v>
      </c>
      <c r="AN202" s="207" t="b">
        <v>0</v>
      </c>
      <c r="AY202" s="288" t="s">
        <v>2479</v>
      </c>
      <c r="AZ202" s="288" t="s">
        <v>2479</v>
      </c>
      <c r="BA202" s="288" t="s">
        <v>373</v>
      </c>
      <c r="BB202" s="288" t="s">
        <v>139</v>
      </c>
      <c r="BC202" s="288" t="s">
        <v>2192</v>
      </c>
      <c r="BD202" s="280"/>
      <c r="BE202" s="280"/>
      <c r="BF202" s="280"/>
      <c r="BG202" s="280"/>
    </row>
    <row r="203" spans="1:59" ht="45" customHeight="1">
      <c r="A203" s="271">
        <f t="shared" si="3"/>
        <v>202</v>
      </c>
      <c r="B203" s="284" t="s">
        <v>2442</v>
      </c>
      <c r="C203" s="270" t="s">
        <v>3791</v>
      </c>
      <c r="D203" s="270" t="s">
        <v>8</v>
      </c>
      <c r="E203" s="270" t="s">
        <v>9</v>
      </c>
      <c r="F203" s="270" t="s">
        <v>1767</v>
      </c>
      <c r="G203" s="302">
        <v>45070</v>
      </c>
      <c r="K203" s="306">
        <v>45100</v>
      </c>
      <c r="L203" s="270" t="s">
        <v>2193</v>
      </c>
      <c r="M203" s="270" t="s">
        <v>115</v>
      </c>
      <c r="N203" s="272" t="s">
        <v>2479</v>
      </c>
      <c r="O203" s="270" t="s">
        <v>2479</v>
      </c>
      <c r="P203" s="270" t="s">
        <v>1554</v>
      </c>
      <c r="Q203" s="270" t="s">
        <v>2198</v>
      </c>
      <c r="R203" s="306">
        <v>44992.546851851854</v>
      </c>
      <c r="S203" s="285">
        <v>2023</v>
      </c>
      <c r="T203" s="270" t="s">
        <v>2194</v>
      </c>
      <c r="U203" s="270" t="s">
        <v>678</v>
      </c>
      <c r="V203" s="270" t="s">
        <v>679</v>
      </c>
      <c r="W203" s="270" t="s">
        <v>145</v>
      </c>
      <c r="X203" s="270" t="s">
        <v>309</v>
      </c>
      <c r="Y203" s="273">
        <v>45078</v>
      </c>
      <c r="Z203" s="288" t="s">
        <v>1875</v>
      </c>
      <c r="AA203" s="288" t="s">
        <v>2479</v>
      </c>
      <c r="AB203" s="288" t="s">
        <v>139</v>
      </c>
      <c r="AC203" s="288" t="s">
        <v>1875</v>
      </c>
      <c r="AD203" s="288" t="s">
        <v>1805</v>
      </c>
      <c r="AE203" s="288" t="s">
        <v>1805</v>
      </c>
      <c r="AF203" s="288" t="s">
        <v>2479</v>
      </c>
      <c r="AG203" s="288" t="s">
        <v>2479</v>
      </c>
      <c r="AH203" s="288" t="s">
        <v>2479</v>
      </c>
      <c r="AI203" s="288" t="s">
        <v>2479</v>
      </c>
      <c r="AJ203" s="303" t="s">
        <v>2191</v>
      </c>
      <c r="AK203" s="288" t="s">
        <v>2479</v>
      </c>
      <c r="AL203" s="303" t="s">
        <v>2190</v>
      </c>
      <c r="AM203" s="288" t="s">
        <v>1975</v>
      </c>
      <c r="AN203" s="207" t="b">
        <v>0</v>
      </c>
      <c r="AY203" s="288" t="s">
        <v>2479</v>
      </c>
      <c r="AZ203" s="288" t="s">
        <v>2479</v>
      </c>
      <c r="BA203" s="288" t="s">
        <v>373</v>
      </c>
      <c r="BB203" s="288" t="s">
        <v>139</v>
      </c>
      <c r="BC203" s="288" t="s">
        <v>2192</v>
      </c>
      <c r="BD203" s="280"/>
      <c r="BE203" s="280"/>
      <c r="BF203" s="280"/>
      <c r="BG203" s="280"/>
    </row>
    <row r="204" spans="1:59" ht="45" customHeight="1">
      <c r="A204" s="271">
        <f t="shared" si="3"/>
        <v>203</v>
      </c>
      <c r="B204" s="284" t="s">
        <v>2946</v>
      </c>
      <c r="C204" s="270" t="s">
        <v>3794</v>
      </c>
      <c r="D204" s="270" t="s">
        <v>8</v>
      </c>
      <c r="E204" s="270" t="s">
        <v>9</v>
      </c>
      <c r="F204" s="270" t="s">
        <v>1767</v>
      </c>
      <c r="G204" s="302">
        <v>45075</v>
      </c>
      <c r="K204" s="306">
        <v>45101</v>
      </c>
      <c r="L204" s="270" t="s">
        <v>2193</v>
      </c>
      <c r="M204" s="270" t="s">
        <v>115</v>
      </c>
      <c r="N204" s="272" t="s">
        <v>2479</v>
      </c>
      <c r="O204" s="270" t="s">
        <v>2479</v>
      </c>
      <c r="P204" s="270" t="s">
        <v>1554</v>
      </c>
      <c r="Q204" s="270" t="s">
        <v>2198</v>
      </c>
      <c r="R204" s="306">
        <v>44992.547118055554</v>
      </c>
      <c r="S204" s="285">
        <v>2023</v>
      </c>
      <c r="T204" s="270" t="s">
        <v>2194</v>
      </c>
      <c r="U204" s="270" t="s">
        <v>678</v>
      </c>
      <c r="V204" s="270" t="s">
        <v>679</v>
      </c>
      <c r="W204" s="270" t="s">
        <v>145</v>
      </c>
      <c r="X204" s="270" t="s">
        <v>309</v>
      </c>
      <c r="Y204" s="273">
        <v>45078</v>
      </c>
      <c r="Z204" s="288" t="s">
        <v>1875</v>
      </c>
      <c r="AA204" s="288" t="s">
        <v>2479</v>
      </c>
      <c r="AB204" s="288" t="s">
        <v>139</v>
      </c>
      <c r="AC204" s="288" t="s">
        <v>1875</v>
      </c>
      <c r="AD204" s="288" t="s">
        <v>1805</v>
      </c>
      <c r="AE204" s="288" t="s">
        <v>1805</v>
      </c>
      <c r="AF204" s="288" t="s">
        <v>2479</v>
      </c>
      <c r="AG204" s="288" t="s">
        <v>2479</v>
      </c>
      <c r="AH204" s="288" t="s">
        <v>2479</v>
      </c>
      <c r="AI204" s="288" t="s">
        <v>2479</v>
      </c>
      <c r="AJ204" s="303" t="s">
        <v>2191</v>
      </c>
      <c r="AK204" s="288" t="s">
        <v>2479</v>
      </c>
      <c r="AL204" s="303" t="s">
        <v>2190</v>
      </c>
      <c r="AM204" s="288" t="s">
        <v>1975</v>
      </c>
      <c r="AN204" s="207" t="b">
        <v>0</v>
      </c>
      <c r="AY204" s="288" t="s">
        <v>2479</v>
      </c>
      <c r="AZ204" s="288" t="s">
        <v>2479</v>
      </c>
      <c r="BA204" s="288" t="s">
        <v>373</v>
      </c>
      <c r="BB204" s="288" t="s">
        <v>139</v>
      </c>
      <c r="BC204" s="288" t="s">
        <v>2192</v>
      </c>
      <c r="BD204" s="280"/>
      <c r="BE204" s="280"/>
      <c r="BF204" s="280"/>
      <c r="BG204" s="280"/>
    </row>
    <row r="205" spans="1:59" ht="45" customHeight="1">
      <c r="A205" s="271">
        <f t="shared" si="3"/>
        <v>204</v>
      </c>
      <c r="B205" s="284" t="s">
        <v>3837</v>
      </c>
      <c r="C205" s="270" t="s">
        <v>3838</v>
      </c>
      <c r="D205" s="270" t="s">
        <v>8</v>
      </c>
      <c r="E205" s="270" t="s">
        <v>9</v>
      </c>
      <c r="F205" s="270" t="s">
        <v>1767</v>
      </c>
      <c r="G205" s="302">
        <v>45082</v>
      </c>
      <c r="K205" s="306">
        <v>45092</v>
      </c>
      <c r="L205" s="270" t="s">
        <v>2193</v>
      </c>
      <c r="M205" s="270" t="s">
        <v>115</v>
      </c>
      <c r="N205" s="272" t="s">
        <v>2479</v>
      </c>
      <c r="O205" s="270" t="s">
        <v>2479</v>
      </c>
      <c r="P205" s="270" t="s">
        <v>1555</v>
      </c>
      <c r="Q205" s="270" t="s">
        <v>2198</v>
      </c>
      <c r="R205" s="306">
        <v>44992.53633101852</v>
      </c>
      <c r="S205" s="285">
        <v>2023</v>
      </c>
      <c r="T205" s="270" t="s">
        <v>2194</v>
      </c>
      <c r="U205" s="270" t="s">
        <v>678</v>
      </c>
      <c r="V205" s="270" t="s">
        <v>679</v>
      </c>
      <c r="W205" s="270" t="s">
        <v>145</v>
      </c>
      <c r="X205" s="270" t="s">
        <v>309</v>
      </c>
      <c r="Y205" s="273">
        <v>45078</v>
      </c>
      <c r="Z205" s="288" t="s">
        <v>1875</v>
      </c>
      <c r="AA205" s="288" t="s">
        <v>2479</v>
      </c>
      <c r="AB205" s="288" t="s">
        <v>139</v>
      </c>
      <c r="AC205" s="288" t="s">
        <v>1875</v>
      </c>
      <c r="AD205" s="288" t="s">
        <v>1805</v>
      </c>
      <c r="AE205" s="288" t="s">
        <v>1805</v>
      </c>
      <c r="AF205" s="288" t="s">
        <v>2479</v>
      </c>
      <c r="AG205" s="288" t="s">
        <v>2479</v>
      </c>
      <c r="AH205" s="288" t="s">
        <v>2479</v>
      </c>
      <c r="AI205" s="288" t="s">
        <v>2479</v>
      </c>
      <c r="AJ205" s="303" t="s">
        <v>2191</v>
      </c>
      <c r="AK205" s="288" t="s">
        <v>2479</v>
      </c>
      <c r="AL205" s="303" t="s">
        <v>2190</v>
      </c>
      <c r="AM205" s="288" t="s">
        <v>1975</v>
      </c>
      <c r="AN205" s="207" t="b">
        <v>0</v>
      </c>
      <c r="AY205" s="288" t="s">
        <v>2479</v>
      </c>
      <c r="AZ205" s="288" t="s">
        <v>2479</v>
      </c>
      <c r="BA205" s="288" t="s">
        <v>373</v>
      </c>
      <c r="BB205" s="288" t="s">
        <v>139</v>
      </c>
      <c r="BC205" s="288" t="s">
        <v>2192</v>
      </c>
      <c r="BD205" s="280"/>
      <c r="BE205" s="280"/>
      <c r="BF205" s="280"/>
      <c r="BG205" s="280"/>
    </row>
    <row r="206" spans="1:59" ht="45" customHeight="1">
      <c r="A206" s="271">
        <f t="shared" si="3"/>
        <v>205</v>
      </c>
      <c r="B206" s="284" t="s">
        <v>3839</v>
      </c>
      <c r="C206" s="270" t="s">
        <v>3840</v>
      </c>
      <c r="D206" s="270" t="s">
        <v>8</v>
      </c>
      <c r="E206" s="270" t="s">
        <v>9</v>
      </c>
      <c r="F206" s="270" t="s">
        <v>1767</v>
      </c>
      <c r="G206" s="302">
        <v>45082</v>
      </c>
      <c r="K206" s="306">
        <v>45091</v>
      </c>
      <c r="L206" s="270" t="s">
        <v>2193</v>
      </c>
      <c r="M206" s="270" t="s">
        <v>115</v>
      </c>
      <c r="N206" s="272" t="s">
        <v>2479</v>
      </c>
      <c r="O206" s="270" t="s">
        <v>2479</v>
      </c>
      <c r="P206" s="270" t="s">
        <v>1555</v>
      </c>
      <c r="Q206" s="270" t="s">
        <v>2198</v>
      </c>
      <c r="R206" s="306">
        <v>44992.533379629633</v>
      </c>
      <c r="S206" s="285">
        <v>2023</v>
      </c>
      <c r="T206" s="270" t="s">
        <v>2194</v>
      </c>
      <c r="U206" s="270" t="s">
        <v>678</v>
      </c>
      <c r="V206" s="270" t="s">
        <v>679</v>
      </c>
      <c r="W206" s="270" t="s">
        <v>145</v>
      </c>
      <c r="X206" s="270" t="s">
        <v>309</v>
      </c>
      <c r="Y206" s="273">
        <v>45078</v>
      </c>
      <c r="Z206" s="288" t="s">
        <v>1875</v>
      </c>
      <c r="AA206" s="288" t="s">
        <v>2479</v>
      </c>
      <c r="AB206" s="288" t="s">
        <v>139</v>
      </c>
      <c r="AC206" s="288" t="s">
        <v>1875</v>
      </c>
      <c r="AD206" s="288" t="s">
        <v>1805</v>
      </c>
      <c r="AE206" s="288" t="s">
        <v>1805</v>
      </c>
      <c r="AF206" s="288" t="s">
        <v>2479</v>
      </c>
      <c r="AG206" s="288" t="s">
        <v>2479</v>
      </c>
      <c r="AH206" s="288" t="s">
        <v>2479</v>
      </c>
      <c r="AI206" s="288" t="s">
        <v>2479</v>
      </c>
      <c r="AJ206" s="303" t="s">
        <v>2191</v>
      </c>
      <c r="AK206" s="288" t="s">
        <v>2479</v>
      </c>
      <c r="AL206" s="303" t="s">
        <v>2190</v>
      </c>
      <c r="AM206" s="288" t="s">
        <v>1975</v>
      </c>
      <c r="AN206" s="207" t="b">
        <v>0</v>
      </c>
      <c r="AY206" s="288" t="s">
        <v>2479</v>
      </c>
      <c r="AZ206" s="288" t="s">
        <v>2479</v>
      </c>
      <c r="BA206" s="288" t="s">
        <v>373</v>
      </c>
      <c r="BB206" s="288" t="s">
        <v>139</v>
      </c>
      <c r="BC206" s="288" t="s">
        <v>2192</v>
      </c>
      <c r="BD206" s="280"/>
      <c r="BE206" s="280"/>
      <c r="BF206" s="280"/>
      <c r="BG206" s="280"/>
    </row>
    <row r="207" spans="1:59" ht="45" customHeight="1">
      <c r="A207" s="271">
        <f t="shared" si="3"/>
        <v>206</v>
      </c>
      <c r="B207" s="284" t="s">
        <v>3841</v>
      </c>
      <c r="C207" s="270" t="s">
        <v>3842</v>
      </c>
      <c r="D207" s="270" t="s">
        <v>8</v>
      </c>
      <c r="E207" s="270" t="s">
        <v>9</v>
      </c>
      <c r="F207" s="270" t="s">
        <v>1767</v>
      </c>
      <c r="G207" s="302">
        <v>45082</v>
      </c>
      <c r="K207" s="306">
        <v>45092</v>
      </c>
      <c r="L207" s="270" t="s">
        <v>2193</v>
      </c>
      <c r="M207" s="270" t="s">
        <v>115</v>
      </c>
      <c r="N207" s="272" t="s">
        <v>2479</v>
      </c>
      <c r="O207" s="270" t="s">
        <v>2479</v>
      </c>
      <c r="P207" s="270" t="s">
        <v>1555</v>
      </c>
      <c r="Q207" s="270" t="s">
        <v>2198</v>
      </c>
      <c r="R207" s="306">
        <v>44992.537476851852</v>
      </c>
      <c r="S207" s="285">
        <v>2023</v>
      </c>
      <c r="T207" s="270" t="s">
        <v>2194</v>
      </c>
      <c r="U207" s="270" t="s">
        <v>678</v>
      </c>
      <c r="V207" s="270" t="s">
        <v>679</v>
      </c>
      <c r="W207" s="270" t="s">
        <v>145</v>
      </c>
      <c r="X207" s="270" t="s">
        <v>309</v>
      </c>
      <c r="Y207" s="273">
        <v>45078</v>
      </c>
      <c r="Z207" s="288" t="s">
        <v>1875</v>
      </c>
      <c r="AA207" s="288" t="s">
        <v>2479</v>
      </c>
      <c r="AB207" s="288" t="s">
        <v>139</v>
      </c>
      <c r="AC207" s="288" t="s">
        <v>1875</v>
      </c>
      <c r="AD207" s="288" t="s">
        <v>1805</v>
      </c>
      <c r="AE207" s="288" t="s">
        <v>1805</v>
      </c>
      <c r="AF207" s="288" t="s">
        <v>2479</v>
      </c>
      <c r="AG207" s="288" t="s">
        <v>2479</v>
      </c>
      <c r="AH207" s="288" t="s">
        <v>2479</v>
      </c>
      <c r="AI207" s="288" t="s">
        <v>2479</v>
      </c>
      <c r="AJ207" s="303" t="s">
        <v>2191</v>
      </c>
      <c r="AK207" s="288" t="s">
        <v>2479</v>
      </c>
      <c r="AL207" s="303" t="s">
        <v>2190</v>
      </c>
      <c r="AM207" s="288" t="s">
        <v>1975</v>
      </c>
      <c r="AN207" s="207" t="b">
        <v>0</v>
      </c>
      <c r="AY207" s="288" t="s">
        <v>2479</v>
      </c>
      <c r="AZ207" s="288" t="s">
        <v>2479</v>
      </c>
      <c r="BA207" s="288" t="s">
        <v>373</v>
      </c>
      <c r="BB207" s="288" t="s">
        <v>139</v>
      </c>
      <c r="BC207" s="288" t="s">
        <v>2192</v>
      </c>
      <c r="BD207" s="280"/>
      <c r="BE207" s="280"/>
      <c r="BF207" s="280"/>
      <c r="BG207" s="280"/>
    </row>
    <row r="208" spans="1:59" ht="45" customHeight="1">
      <c r="A208" s="271">
        <f t="shared" si="3"/>
        <v>207</v>
      </c>
      <c r="B208" s="284" t="s">
        <v>2949</v>
      </c>
      <c r="C208" s="270" t="s">
        <v>3843</v>
      </c>
      <c r="D208" s="270" t="s">
        <v>8</v>
      </c>
      <c r="E208" s="270" t="s">
        <v>9</v>
      </c>
      <c r="F208" s="270" t="s">
        <v>1767</v>
      </c>
      <c r="G208" s="302">
        <v>45082</v>
      </c>
      <c r="K208" s="306">
        <v>45092</v>
      </c>
      <c r="L208" s="270" t="s">
        <v>2193</v>
      </c>
      <c r="M208" s="270" t="s">
        <v>115</v>
      </c>
      <c r="N208" s="272" t="s">
        <v>2479</v>
      </c>
      <c r="O208" s="270" t="s">
        <v>2479</v>
      </c>
      <c r="P208" s="270" t="s">
        <v>1555</v>
      </c>
      <c r="Q208" s="270" t="s">
        <v>2198</v>
      </c>
      <c r="R208" s="306">
        <v>44992.537754629629</v>
      </c>
      <c r="S208" s="285">
        <v>2023</v>
      </c>
      <c r="T208" s="270" t="s">
        <v>2194</v>
      </c>
      <c r="U208" s="270" t="s">
        <v>678</v>
      </c>
      <c r="V208" s="270" t="s">
        <v>679</v>
      </c>
      <c r="W208" s="270" t="s">
        <v>145</v>
      </c>
      <c r="X208" s="270" t="s">
        <v>309</v>
      </c>
      <c r="Y208" s="273">
        <v>45078</v>
      </c>
      <c r="Z208" s="288" t="s">
        <v>1875</v>
      </c>
      <c r="AA208" s="288" t="s">
        <v>2479</v>
      </c>
      <c r="AB208" s="288" t="s">
        <v>139</v>
      </c>
      <c r="AC208" s="288" t="s">
        <v>1875</v>
      </c>
      <c r="AD208" s="288" t="s">
        <v>1805</v>
      </c>
      <c r="AE208" s="288" t="s">
        <v>1805</v>
      </c>
      <c r="AF208" s="288" t="s">
        <v>2479</v>
      </c>
      <c r="AG208" s="288" t="s">
        <v>2479</v>
      </c>
      <c r="AH208" s="288" t="s">
        <v>2479</v>
      </c>
      <c r="AI208" s="288" t="s">
        <v>2479</v>
      </c>
      <c r="AJ208" s="303" t="s">
        <v>2191</v>
      </c>
      <c r="AK208" s="288" t="s">
        <v>2479</v>
      </c>
      <c r="AL208" s="303" t="s">
        <v>2190</v>
      </c>
      <c r="AM208" s="288" t="s">
        <v>1975</v>
      </c>
      <c r="AN208" s="207" t="b">
        <v>0</v>
      </c>
      <c r="AY208" s="288" t="s">
        <v>2479</v>
      </c>
      <c r="AZ208" s="288" t="s">
        <v>2479</v>
      </c>
      <c r="BA208" s="288" t="s">
        <v>373</v>
      </c>
      <c r="BB208" s="288" t="s">
        <v>139</v>
      </c>
      <c r="BC208" s="288" t="s">
        <v>2192</v>
      </c>
      <c r="BD208" s="280"/>
      <c r="BE208" s="280"/>
      <c r="BF208" s="280"/>
      <c r="BG208" s="280"/>
    </row>
    <row r="209" spans="1:59" ht="45" customHeight="1">
      <c r="A209" s="271">
        <f>ROW()-1</f>
        <v>208</v>
      </c>
      <c r="B209" s="284" t="s">
        <v>3844</v>
      </c>
      <c r="C209" s="270" t="s">
        <v>3845</v>
      </c>
      <c r="D209" s="270" t="s">
        <v>8</v>
      </c>
      <c r="E209" s="270" t="s">
        <v>9</v>
      </c>
      <c r="F209" s="270" t="s">
        <v>1767</v>
      </c>
      <c r="G209" s="302">
        <v>45082</v>
      </c>
      <c r="K209" s="306">
        <v>45092</v>
      </c>
      <c r="L209" s="270" t="s">
        <v>2193</v>
      </c>
      <c r="M209" s="270" t="s">
        <v>115</v>
      </c>
      <c r="N209" s="272" t="s">
        <v>2479</v>
      </c>
      <c r="O209" s="270" t="s">
        <v>2479</v>
      </c>
      <c r="P209" s="270" t="s">
        <v>1555</v>
      </c>
      <c r="Q209" s="270" t="s">
        <v>2198</v>
      </c>
      <c r="R209" s="306">
        <v>44992.633599537039</v>
      </c>
      <c r="S209" s="285">
        <v>2023</v>
      </c>
      <c r="T209" s="270" t="s">
        <v>2194</v>
      </c>
      <c r="U209" s="270" t="s">
        <v>678</v>
      </c>
      <c r="V209" s="270" t="s">
        <v>679</v>
      </c>
      <c r="W209" s="270" t="s">
        <v>145</v>
      </c>
      <c r="X209" s="270" t="s">
        <v>309</v>
      </c>
      <c r="Y209" s="273">
        <v>45078</v>
      </c>
      <c r="Z209" s="288" t="s">
        <v>1875</v>
      </c>
      <c r="AA209" s="288" t="s">
        <v>2479</v>
      </c>
      <c r="AB209" s="288" t="s">
        <v>139</v>
      </c>
      <c r="AC209" s="288" t="s">
        <v>1875</v>
      </c>
      <c r="AD209" s="288" t="s">
        <v>1805</v>
      </c>
      <c r="AE209" s="288" t="s">
        <v>1805</v>
      </c>
      <c r="AF209" s="288" t="s">
        <v>2479</v>
      </c>
      <c r="AG209" s="288" t="s">
        <v>2479</v>
      </c>
      <c r="AH209" s="288" t="s">
        <v>2479</v>
      </c>
      <c r="AI209" s="288" t="s">
        <v>2479</v>
      </c>
      <c r="AJ209" s="303" t="s">
        <v>2191</v>
      </c>
      <c r="AK209" s="288" t="s">
        <v>2479</v>
      </c>
      <c r="AL209" s="303" t="s">
        <v>2190</v>
      </c>
      <c r="AM209" s="288" t="s">
        <v>1975</v>
      </c>
      <c r="AN209" s="207" t="b">
        <v>0</v>
      </c>
      <c r="AY209" s="288" t="s">
        <v>2479</v>
      </c>
      <c r="AZ209" s="288" t="s">
        <v>2479</v>
      </c>
      <c r="BA209" s="288" t="s">
        <v>373</v>
      </c>
      <c r="BB209" s="288" t="s">
        <v>139</v>
      </c>
      <c r="BC209" s="288" t="s">
        <v>2192</v>
      </c>
      <c r="BD209" s="280"/>
      <c r="BE209" s="280"/>
      <c r="BF209" s="280"/>
      <c r="BG209" s="280"/>
    </row>
    <row r="210" spans="1:59" ht="45" customHeight="1">
      <c r="A210" s="271">
        <f t="shared" si="3"/>
        <v>209</v>
      </c>
      <c r="B210" s="284" t="s">
        <v>3081</v>
      </c>
      <c r="C210" s="270" t="s">
        <v>3846</v>
      </c>
      <c r="D210" s="270" t="s">
        <v>8</v>
      </c>
      <c r="E210" s="270" t="s">
        <v>9</v>
      </c>
      <c r="F210" s="270" t="s">
        <v>1767</v>
      </c>
      <c r="G210" s="302">
        <v>45082</v>
      </c>
      <c r="L210" s="270" t="s">
        <v>2479</v>
      </c>
      <c r="M210" s="270" t="s">
        <v>2479</v>
      </c>
      <c r="N210" s="272" t="s">
        <v>122</v>
      </c>
      <c r="O210" s="270" t="s">
        <v>2479</v>
      </c>
      <c r="P210" s="270" t="s">
        <v>1555</v>
      </c>
      <c r="Q210" s="270" t="s">
        <v>2198</v>
      </c>
      <c r="R210" s="306">
        <v>44992.411122685182</v>
      </c>
      <c r="S210" s="285">
        <v>2023</v>
      </c>
      <c r="T210" s="270" t="s">
        <v>2001</v>
      </c>
      <c r="U210" s="270" t="s">
        <v>678</v>
      </c>
      <c r="V210" s="270" t="s">
        <v>679</v>
      </c>
      <c r="W210" s="270" t="s">
        <v>145</v>
      </c>
      <c r="X210" s="270" t="s">
        <v>309</v>
      </c>
      <c r="Y210" s="273">
        <v>45078</v>
      </c>
      <c r="Z210" s="288" t="s">
        <v>1875</v>
      </c>
      <c r="AA210" s="288" t="s">
        <v>2479</v>
      </c>
      <c r="AB210" s="288" t="s">
        <v>139</v>
      </c>
      <c r="AC210" s="288" t="s">
        <v>1875</v>
      </c>
      <c r="AD210" s="288" t="s">
        <v>1805</v>
      </c>
      <c r="AE210" s="288" t="s">
        <v>1805</v>
      </c>
      <c r="AF210" s="288" t="s">
        <v>2479</v>
      </c>
      <c r="AG210" s="288" t="s">
        <v>2479</v>
      </c>
      <c r="AH210" s="288" t="s">
        <v>2479</v>
      </c>
      <c r="AI210" s="288" t="s">
        <v>2479</v>
      </c>
      <c r="AJ210" s="303" t="s">
        <v>2191</v>
      </c>
      <c r="AK210" s="288" t="s">
        <v>2479</v>
      </c>
      <c r="AL210" s="303" t="s">
        <v>2190</v>
      </c>
      <c r="AM210" s="288" t="s">
        <v>1975</v>
      </c>
      <c r="AN210" s="207" t="b">
        <v>0</v>
      </c>
      <c r="AY210" s="288" t="s">
        <v>2479</v>
      </c>
      <c r="AZ210" s="288" t="s">
        <v>2479</v>
      </c>
      <c r="BA210" s="288" t="s">
        <v>373</v>
      </c>
      <c r="BB210" s="288" t="s">
        <v>139</v>
      </c>
      <c r="BC210" s="288" t="s">
        <v>2192</v>
      </c>
      <c r="BD210" s="280"/>
      <c r="BE210" s="280"/>
      <c r="BF210" s="280"/>
      <c r="BG210" s="280"/>
    </row>
    <row r="211" spans="1:59" ht="45" customHeight="1">
      <c r="A211" s="271">
        <f>ROW()-1</f>
        <v>210</v>
      </c>
      <c r="B211" s="284" t="s">
        <v>3082</v>
      </c>
      <c r="C211" s="270" t="s">
        <v>3847</v>
      </c>
      <c r="D211" s="270" t="s">
        <v>8</v>
      </c>
      <c r="E211" s="270" t="s">
        <v>9</v>
      </c>
      <c r="F211" s="270" t="s">
        <v>1767</v>
      </c>
      <c r="G211" s="302">
        <v>45086</v>
      </c>
      <c r="K211" s="306">
        <v>45103</v>
      </c>
      <c r="L211" s="270" t="s">
        <v>2193</v>
      </c>
      <c r="M211" s="270" t="s">
        <v>115</v>
      </c>
      <c r="N211" s="272" t="s">
        <v>2479</v>
      </c>
      <c r="O211" s="270" t="s">
        <v>2479</v>
      </c>
      <c r="P211" s="270" t="s">
        <v>1555</v>
      </c>
      <c r="Q211" s="270" t="s">
        <v>2198</v>
      </c>
      <c r="R211" s="306">
        <v>44992.611122685186</v>
      </c>
      <c r="S211" s="285">
        <v>2023</v>
      </c>
      <c r="T211" s="270" t="s">
        <v>2194</v>
      </c>
      <c r="U211" s="270" t="s">
        <v>678</v>
      </c>
      <c r="V211" s="270" t="s">
        <v>679</v>
      </c>
      <c r="W211" s="270" t="s">
        <v>145</v>
      </c>
      <c r="X211" s="270" t="s">
        <v>309</v>
      </c>
      <c r="Y211" s="273">
        <v>45078</v>
      </c>
      <c r="Z211" s="288" t="s">
        <v>1875</v>
      </c>
      <c r="AA211" s="288" t="s">
        <v>2479</v>
      </c>
      <c r="AB211" s="288" t="s">
        <v>139</v>
      </c>
      <c r="AC211" s="288" t="s">
        <v>1875</v>
      </c>
      <c r="AD211" s="288" t="s">
        <v>1805</v>
      </c>
      <c r="AE211" s="288" t="s">
        <v>1805</v>
      </c>
      <c r="AF211" s="288" t="s">
        <v>2479</v>
      </c>
      <c r="AG211" s="288" t="s">
        <v>2479</v>
      </c>
      <c r="AH211" s="288" t="s">
        <v>2479</v>
      </c>
      <c r="AI211" s="288" t="s">
        <v>2479</v>
      </c>
      <c r="AJ211" s="303" t="s">
        <v>2191</v>
      </c>
      <c r="AK211" s="288" t="s">
        <v>2479</v>
      </c>
      <c r="AL211" s="303" t="s">
        <v>2190</v>
      </c>
      <c r="AM211" s="288" t="s">
        <v>1975</v>
      </c>
      <c r="AN211" s="207" t="b">
        <v>0</v>
      </c>
      <c r="AY211" s="288" t="s">
        <v>2479</v>
      </c>
      <c r="AZ211" s="288" t="s">
        <v>2479</v>
      </c>
      <c r="BA211" s="288" t="s">
        <v>373</v>
      </c>
      <c r="BB211" s="288" t="s">
        <v>139</v>
      </c>
      <c r="BC211" s="288" t="s">
        <v>2192</v>
      </c>
      <c r="BD211" s="280"/>
      <c r="BE211" s="280"/>
      <c r="BF211" s="280"/>
      <c r="BG211" s="280"/>
    </row>
    <row r="212" spans="1:59" ht="45" customHeight="1">
      <c r="A212" s="271">
        <f t="shared" si="3"/>
        <v>211</v>
      </c>
      <c r="B212" s="284" t="s">
        <v>3848</v>
      </c>
      <c r="C212" s="270" t="s">
        <v>3849</v>
      </c>
      <c r="D212" s="270" t="s">
        <v>8</v>
      </c>
      <c r="E212" s="270" t="s">
        <v>9</v>
      </c>
      <c r="F212" s="270" t="s">
        <v>1767</v>
      </c>
      <c r="G212" s="302">
        <v>45090</v>
      </c>
      <c r="K212" s="306">
        <v>45090</v>
      </c>
      <c r="L212" s="270" t="s">
        <v>2193</v>
      </c>
      <c r="M212" s="270" t="s">
        <v>115</v>
      </c>
      <c r="N212" s="272" t="s">
        <v>2479</v>
      </c>
      <c r="O212" s="270" t="s">
        <v>2479</v>
      </c>
      <c r="P212" s="270" t="s">
        <v>1555</v>
      </c>
      <c r="Q212" s="270" t="s">
        <v>2198</v>
      </c>
      <c r="R212" s="306">
        <v>44992.534409722219</v>
      </c>
      <c r="S212" s="285">
        <v>2023</v>
      </c>
      <c r="T212" s="270" t="s">
        <v>2194</v>
      </c>
      <c r="U212" s="270" t="s">
        <v>678</v>
      </c>
      <c r="V212" s="270" t="s">
        <v>679</v>
      </c>
      <c r="W212" s="270" t="s">
        <v>145</v>
      </c>
      <c r="X212" s="270" t="s">
        <v>309</v>
      </c>
      <c r="Y212" s="273">
        <v>45078</v>
      </c>
      <c r="Z212" s="288" t="s">
        <v>1875</v>
      </c>
      <c r="AA212" s="288" t="s">
        <v>2479</v>
      </c>
      <c r="AB212" s="288" t="s">
        <v>139</v>
      </c>
      <c r="AC212" s="288" t="s">
        <v>1875</v>
      </c>
      <c r="AD212" s="288" t="s">
        <v>1805</v>
      </c>
      <c r="AE212" s="288" t="s">
        <v>1805</v>
      </c>
      <c r="AF212" s="288" t="s">
        <v>2479</v>
      </c>
      <c r="AG212" s="288" t="s">
        <v>2479</v>
      </c>
      <c r="AH212" s="288" t="s">
        <v>2479</v>
      </c>
      <c r="AI212" s="288" t="s">
        <v>2479</v>
      </c>
      <c r="AJ212" s="303" t="s">
        <v>2191</v>
      </c>
      <c r="AK212" s="288" t="s">
        <v>2479</v>
      </c>
      <c r="AL212" s="303" t="s">
        <v>2190</v>
      </c>
      <c r="AM212" s="288" t="s">
        <v>1975</v>
      </c>
      <c r="AN212" s="207" t="b">
        <v>0</v>
      </c>
      <c r="AY212" s="288" t="s">
        <v>2479</v>
      </c>
      <c r="AZ212" s="288" t="s">
        <v>2479</v>
      </c>
      <c r="BA212" s="288" t="s">
        <v>373</v>
      </c>
      <c r="BB212" s="288" t="s">
        <v>139</v>
      </c>
      <c r="BC212" s="288" t="s">
        <v>2192</v>
      </c>
      <c r="BD212" s="280"/>
      <c r="BE212" s="280"/>
      <c r="BF212" s="280"/>
      <c r="BG212" s="280"/>
    </row>
    <row r="213" spans="1:59" ht="45" customHeight="1">
      <c r="A213" s="271">
        <f t="shared" si="3"/>
        <v>212</v>
      </c>
      <c r="B213" s="284" t="s">
        <v>2438</v>
      </c>
      <c r="C213" s="270" t="s">
        <v>3850</v>
      </c>
      <c r="D213" s="270" t="s">
        <v>8</v>
      </c>
      <c r="E213" s="270" t="s">
        <v>9</v>
      </c>
      <c r="F213" s="270" t="s">
        <v>1767</v>
      </c>
      <c r="G213" s="302">
        <v>45092</v>
      </c>
      <c r="L213" s="270" t="s">
        <v>2479</v>
      </c>
      <c r="M213" s="270" t="s">
        <v>2479</v>
      </c>
      <c r="N213" s="272" t="s">
        <v>122</v>
      </c>
      <c r="O213" s="270" t="s">
        <v>2479</v>
      </c>
      <c r="P213" s="270" t="s">
        <v>1555</v>
      </c>
      <c r="Q213" s="270" t="s">
        <v>2198</v>
      </c>
      <c r="R213" s="306">
        <v>44992.412488425929</v>
      </c>
      <c r="S213" s="285">
        <v>2023</v>
      </c>
      <c r="T213" s="270" t="s">
        <v>2001</v>
      </c>
      <c r="U213" s="270" t="s">
        <v>678</v>
      </c>
      <c r="V213" s="270" t="s">
        <v>679</v>
      </c>
      <c r="W213" s="270" t="s">
        <v>145</v>
      </c>
      <c r="X213" s="270" t="s">
        <v>309</v>
      </c>
      <c r="Y213" s="273">
        <v>45078</v>
      </c>
      <c r="Z213" s="288" t="s">
        <v>1875</v>
      </c>
      <c r="AA213" s="288" t="s">
        <v>2479</v>
      </c>
      <c r="AB213" s="288" t="s">
        <v>139</v>
      </c>
      <c r="AC213" s="288" t="s">
        <v>1875</v>
      </c>
      <c r="AD213" s="288" t="s">
        <v>1805</v>
      </c>
      <c r="AE213" s="288" t="s">
        <v>1805</v>
      </c>
      <c r="AF213" s="288" t="s">
        <v>2479</v>
      </c>
      <c r="AG213" s="288" t="s">
        <v>2479</v>
      </c>
      <c r="AH213" s="288" t="s">
        <v>2479</v>
      </c>
      <c r="AI213" s="288" t="s">
        <v>2479</v>
      </c>
      <c r="AJ213" s="303" t="s">
        <v>2191</v>
      </c>
      <c r="AK213" s="288" t="s">
        <v>2479</v>
      </c>
      <c r="AL213" s="303" t="s">
        <v>2190</v>
      </c>
      <c r="AM213" s="288" t="s">
        <v>1975</v>
      </c>
      <c r="AN213" s="207" t="b">
        <v>0</v>
      </c>
      <c r="AY213" s="288" t="s">
        <v>2479</v>
      </c>
      <c r="AZ213" s="288" t="s">
        <v>2479</v>
      </c>
      <c r="BA213" s="288" t="s">
        <v>373</v>
      </c>
      <c r="BB213" s="288" t="s">
        <v>139</v>
      </c>
      <c r="BC213" s="288" t="s">
        <v>2192</v>
      </c>
      <c r="BD213" s="280"/>
      <c r="BE213" s="280"/>
      <c r="BF213" s="280"/>
      <c r="BG213" s="280"/>
    </row>
    <row r="214" spans="1:59" ht="45" customHeight="1">
      <c r="A214" s="271">
        <f t="shared" si="3"/>
        <v>213</v>
      </c>
      <c r="B214" s="284" t="s">
        <v>2436</v>
      </c>
      <c r="C214" s="270" t="s">
        <v>3658</v>
      </c>
      <c r="D214" s="270" t="s">
        <v>8</v>
      </c>
      <c r="E214" s="270" t="s">
        <v>9</v>
      </c>
      <c r="F214" s="270" t="s">
        <v>1767</v>
      </c>
      <c r="G214" s="302">
        <v>45092</v>
      </c>
      <c r="L214" s="270" t="s">
        <v>2479</v>
      </c>
      <c r="M214" s="270" t="s">
        <v>2479</v>
      </c>
      <c r="N214" s="272" t="s">
        <v>122</v>
      </c>
      <c r="O214" s="270" t="s">
        <v>2479</v>
      </c>
      <c r="P214" s="270" t="s">
        <v>1555</v>
      </c>
      <c r="Q214" s="270" t="s">
        <v>2198</v>
      </c>
      <c r="R214" s="306">
        <v>44992.412858796299</v>
      </c>
      <c r="S214" s="285">
        <v>2023</v>
      </c>
      <c r="T214" s="270" t="s">
        <v>2001</v>
      </c>
      <c r="U214" s="270" t="s">
        <v>678</v>
      </c>
      <c r="V214" s="270" t="s">
        <v>679</v>
      </c>
      <c r="W214" s="270" t="s">
        <v>145</v>
      </c>
      <c r="X214" s="270" t="s">
        <v>309</v>
      </c>
      <c r="Y214" s="273">
        <v>45078</v>
      </c>
      <c r="Z214" s="288" t="s">
        <v>1875</v>
      </c>
      <c r="AA214" s="288" t="s">
        <v>2479</v>
      </c>
      <c r="AB214" s="288" t="s">
        <v>139</v>
      </c>
      <c r="AC214" s="288" t="s">
        <v>1875</v>
      </c>
      <c r="AD214" s="288" t="s">
        <v>1805</v>
      </c>
      <c r="AE214" s="288" t="s">
        <v>1805</v>
      </c>
      <c r="AF214" s="288" t="s">
        <v>2479</v>
      </c>
      <c r="AG214" s="288" t="s">
        <v>2479</v>
      </c>
      <c r="AH214" s="288" t="s">
        <v>2479</v>
      </c>
      <c r="AI214" s="288" t="s">
        <v>2479</v>
      </c>
      <c r="AJ214" s="303" t="s">
        <v>2191</v>
      </c>
      <c r="AK214" s="288" t="s">
        <v>2479</v>
      </c>
      <c r="AL214" s="303" t="s">
        <v>2190</v>
      </c>
      <c r="AM214" s="288" t="s">
        <v>1975</v>
      </c>
      <c r="AN214" s="207" t="b">
        <v>0</v>
      </c>
      <c r="AY214" s="288" t="s">
        <v>2479</v>
      </c>
      <c r="AZ214" s="288" t="s">
        <v>2479</v>
      </c>
      <c r="BA214" s="288" t="s">
        <v>373</v>
      </c>
      <c r="BB214" s="288" t="s">
        <v>139</v>
      </c>
      <c r="BC214" s="288" t="s">
        <v>2192</v>
      </c>
      <c r="BD214" s="280"/>
      <c r="BE214" s="280"/>
      <c r="BF214" s="280"/>
      <c r="BG214" s="280"/>
    </row>
    <row r="215" spans="1:59" ht="45" customHeight="1">
      <c r="A215" s="271">
        <f t="shared" si="3"/>
        <v>214</v>
      </c>
      <c r="B215" s="284" t="s">
        <v>2444</v>
      </c>
      <c r="C215" s="270" t="s">
        <v>3851</v>
      </c>
      <c r="D215" s="270" t="s">
        <v>8</v>
      </c>
      <c r="E215" s="270" t="s">
        <v>9</v>
      </c>
      <c r="F215" s="270" t="s">
        <v>1767</v>
      </c>
      <c r="G215" s="302">
        <v>45093</v>
      </c>
      <c r="L215" s="270" t="s">
        <v>2479</v>
      </c>
      <c r="M215" s="270" t="s">
        <v>2479</v>
      </c>
      <c r="N215" s="272" t="s">
        <v>122</v>
      </c>
      <c r="O215" s="270" t="s">
        <v>2479</v>
      </c>
      <c r="P215" s="270" t="s">
        <v>1555</v>
      </c>
      <c r="Q215" s="270" t="s">
        <v>2198</v>
      </c>
      <c r="R215" s="306">
        <v>44992.413263888891</v>
      </c>
      <c r="S215" s="285">
        <v>2023</v>
      </c>
      <c r="T215" s="270" t="s">
        <v>2001</v>
      </c>
      <c r="U215" s="270" t="s">
        <v>678</v>
      </c>
      <c r="V215" s="270" t="s">
        <v>679</v>
      </c>
      <c r="W215" s="270" t="s">
        <v>145</v>
      </c>
      <c r="X215" s="270" t="s">
        <v>309</v>
      </c>
      <c r="Y215" s="273">
        <v>45078</v>
      </c>
      <c r="Z215" s="288" t="s">
        <v>1875</v>
      </c>
      <c r="AA215" s="288" t="s">
        <v>2479</v>
      </c>
      <c r="AB215" s="288" t="s">
        <v>139</v>
      </c>
      <c r="AC215" s="288" t="s">
        <v>1875</v>
      </c>
      <c r="AD215" s="288" t="s">
        <v>1805</v>
      </c>
      <c r="AE215" s="288" t="s">
        <v>1805</v>
      </c>
      <c r="AF215" s="288" t="s">
        <v>2479</v>
      </c>
      <c r="AG215" s="288" t="s">
        <v>2479</v>
      </c>
      <c r="AH215" s="288" t="s">
        <v>2479</v>
      </c>
      <c r="AI215" s="288" t="s">
        <v>2479</v>
      </c>
      <c r="AJ215" s="303" t="s">
        <v>2191</v>
      </c>
      <c r="AK215" s="288" t="s">
        <v>2479</v>
      </c>
      <c r="AL215" s="303" t="s">
        <v>2190</v>
      </c>
      <c r="AM215" s="288" t="s">
        <v>1975</v>
      </c>
      <c r="AN215" s="207" t="b">
        <v>0</v>
      </c>
      <c r="AY215" s="288" t="s">
        <v>2479</v>
      </c>
      <c r="AZ215" s="288" t="s">
        <v>2479</v>
      </c>
      <c r="BA215" s="288" t="s">
        <v>373</v>
      </c>
      <c r="BB215" s="288" t="s">
        <v>139</v>
      </c>
      <c r="BC215" s="288" t="s">
        <v>2192</v>
      </c>
      <c r="BD215" s="280"/>
      <c r="BE215" s="280"/>
      <c r="BF215" s="280"/>
      <c r="BG215" s="280"/>
    </row>
    <row r="216" spans="1:59" ht="45" customHeight="1">
      <c r="A216" s="271">
        <f t="shared" si="3"/>
        <v>215</v>
      </c>
      <c r="B216" s="284" t="s">
        <v>3852</v>
      </c>
      <c r="C216" s="270" t="s">
        <v>3853</v>
      </c>
      <c r="D216" s="270" t="s">
        <v>8</v>
      </c>
      <c r="E216" s="270" t="s">
        <v>9</v>
      </c>
      <c r="F216" s="270" t="s">
        <v>1767</v>
      </c>
      <c r="G216" s="302">
        <v>45096</v>
      </c>
      <c r="K216" s="306">
        <v>45096</v>
      </c>
      <c r="L216" s="270" t="s">
        <v>2193</v>
      </c>
      <c r="M216" s="270" t="s">
        <v>115</v>
      </c>
      <c r="N216" s="272" t="s">
        <v>2479</v>
      </c>
      <c r="O216" s="270" t="s">
        <v>2479</v>
      </c>
      <c r="P216" s="270" t="s">
        <v>1555</v>
      </c>
      <c r="Q216" s="270" t="s">
        <v>2198</v>
      </c>
      <c r="R216" s="306">
        <v>44992.541597222225</v>
      </c>
      <c r="S216" s="285">
        <v>2023</v>
      </c>
      <c r="T216" s="270" t="s">
        <v>2194</v>
      </c>
      <c r="U216" s="270" t="s">
        <v>678</v>
      </c>
      <c r="V216" s="270" t="s">
        <v>679</v>
      </c>
      <c r="W216" s="270" t="s">
        <v>145</v>
      </c>
      <c r="X216" s="270" t="s">
        <v>309</v>
      </c>
      <c r="Y216" s="273">
        <v>45078</v>
      </c>
      <c r="Z216" s="288" t="s">
        <v>1875</v>
      </c>
      <c r="AA216" s="288" t="s">
        <v>2479</v>
      </c>
      <c r="AB216" s="288" t="s">
        <v>139</v>
      </c>
      <c r="AC216" s="288" t="s">
        <v>1875</v>
      </c>
      <c r="AD216" s="288" t="s">
        <v>1805</v>
      </c>
      <c r="AE216" s="288" t="s">
        <v>1805</v>
      </c>
      <c r="AF216" s="288" t="s">
        <v>2479</v>
      </c>
      <c r="AG216" s="288" t="s">
        <v>2479</v>
      </c>
      <c r="AH216" s="288" t="s">
        <v>2479</v>
      </c>
      <c r="AI216" s="288" t="s">
        <v>2479</v>
      </c>
      <c r="AJ216" s="303" t="s">
        <v>2191</v>
      </c>
      <c r="AK216" s="288" t="s">
        <v>2479</v>
      </c>
      <c r="AL216" s="303" t="s">
        <v>2190</v>
      </c>
      <c r="AM216" s="288" t="s">
        <v>1975</v>
      </c>
      <c r="AN216" s="207" t="b">
        <v>0</v>
      </c>
      <c r="AY216" s="288" t="s">
        <v>2479</v>
      </c>
      <c r="AZ216" s="288" t="s">
        <v>2479</v>
      </c>
      <c r="BA216" s="288" t="s">
        <v>373</v>
      </c>
      <c r="BB216" s="288" t="s">
        <v>139</v>
      </c>
      <c r="BC216" s="288" t="s">
        <v>2192</v>
      </c>
      <c r="BD216" s="280"/>
      <c r="BE216" s="280"/>
      <c r="BF216" s="280"/>
      <c r="BG216" s="280"/>
    </row>
    <row r="217" spans="1:59" ht="45" customHeight="1">
      <c r="A217" s="271">
        <f t="shared" si="3"/>
        <v>216</v>
      </c>
      <c r="B217" s="284" t="s">
        <v>2440</v>
      </c>
      <c r="C217" s="270" t="s">
        <v>3854</v>
      </c>
      <c r="D217" s="270" t="s">
        <v>8</v>
      </c>
      <c r="E217" s="270" t="s">
        <v>9</v>
      </c>
      <c r="F217" s="270" t="s">
        <v>1767</v>
      </c>
      <c r="G217" s="302">
        <v>45093</v>
      </c>
      <c r="K217" s="306">
        <v>45093</v>
      </c>
      <c r="L217" s="270" t="s">
        <v>2193</v>
      </c>
      <c r="M217" s="270" t="s">
        <v>115</v>
      </c>
      <c r="N217" s="272" t="s">
        <v>2479</v>
      </c>
      <c r="O217" s="270" t="s">
        <v>2479</v>
      </c>
      <c r="P217" s="270" t="s">
        <v>1555</v>
      </c>
      <c r="Q217" s="270" t="s">
        <v>2198</v>
      </c>
      <c r="R217" s="306">
        <v>44992.538090277776</v>
      </c>
      <c r="S217" s="285">
        <v>2023</v>
      </c>
      <c r="T217" s="270" t="s">
        <v>2194</v>
      </c>
      <c r="U217" s="270" t="s">
        <v>678</v>
      </c>
      <c r="V217" s="270" t="s">
        <v>679</v>
      </c>
      <c r="W217" s="270" t="s">
        <v>145</v>
      </c>
      <c r="X217" s="270" t="s">
        <v>309</v>
      </c>
      <c r="Y217" s="273">
        <v>45078</v>
      </c>
      <c r="Z217" s="288" t="s">
        <v>1875</v>
      </c>
      <c r="AA217" s="288" t="s">
        <v>2479</v>
      </c>
      <c r="AB217" s="288" t="s">
        <v>139</v>
      </c>
      <c r="AC217" s="288" t="s">
        <v>1875</v>
      </c>
      <c r="AD217" s="288" t="s">
        <v>1805</v>
      </c>
      <c r="AE217" s="288" t="s">
        <v>1805</v>
      </c>
      <c r="AF217" s="288" t="s">
        <v>2479</v>
      </c>
      <c r="AG217" s="288" t="s">
        <v>2479</v>
      </c>
      <c r="AH217" s="288" t="s">
        <v>2479</v>
      </c>
      <c r="AI217" s="288" t="s">
        <v>2479</v>
      </c>
      <c r="AJ217" s="303" t="s">
        <v>2191</v>
      </c>
      <c r="AK217" s="288" t="s">
        <v>2479</v>
      </c>
      <c r="AL217" s="303" t="s">
        <v>2190</v>
      </c>
      <c r="AM217" s="288" t="s">
        <v>1975</v>
      </c>
      <c r="AN217" s="207" t="b">
        <v>0</v>
      </c>
      <c r="AY217" s="288" t="s">
        <v>2479</v>
      </c>
      <c r="AZ217" s="288" t="s">
        <v>2479</v>
      </c>
      <c r="BA217" s="288" t="s">
        <v>373</v>
      </c>
      <c r="BB217" s="288" t="s">
        <v>139</v>
      </c>
      <c r="BC217" s="288" t="s">
        <v>2192</v>
      </c>
      <c r="BD217" s="280"/>
      <c r="BE217" s="280"/>
      <c r="BF217" s="280"/>
      <c r="BG217" s="280"/>
    </row>
    <row r="218" spans="1:59" ht="45" customHeight="1">
      <c r="A218" s="271">
        <f t="shared" si="3"/>
        <v>217</v>
      </c>
      <c r="B218" s="284" t="s">
        <v>2427</v>
      </c>
      <c r="C218" s="270" t="s">
        <v>3518</v>
      </c>
      <c r="D218" s="270" t="s">
        <v>8</v>
      </c>
      <c r="E218" s="270" t="s">
        <v>9</v>
      </c>
      <c r="F218" s="270" t="s">
        <v>1767</v>
      </c>
      <c r="G218" s="302">
        <v>45093</v>
      </c>
      <c r="K218" s="306">
        <v>45093</v>
      </c>
      <c r="L218" s="270" t="s">
        <v>2193</v>
      </c>
      <c r="M218" s="270" t="s">
        <v>115</v>
      </c>
      <c r="N218" s="272" t="s">
        <v>2479</v>
      </c>
      <c r="O218" s="270" t="s">
        <v>2479</v>
      </c>
      <c r="P218" s="270" t="s">
        <v>1555</v>
      </c>
      <c r="Q218" s="270" t="s">
        <v>2198</v>
      </c>
      <c r="R218" s="306">
        <v>44992.538414351853</v>
      </c>
      <c r="S218" s="285">
        <v>2023</v>
      </c>
      <c r="T218" s="270" t="s">
        <v>2194</v>
      </c>
      <c r="U218" s="270" t="s">
        <v>678</v>
      </c>
      <c r="V218" s="270" t="s">
        <v>679</v>
      </c>
      <c r="W218" s="270" t="s">
        <v>145</v>
      </c>
      <c r="X218" s="270" t="s">
        <v>309</v>
      </c>
      <c r="Y218" s="273">
        <v>45078</v>
      </c>
      <c r="Z218" s="288" t="s">
        <v>1875</v>
      </c>
      <c r="AA218" s="288" t="s">
        <v>2479</v>
      </c>
      <c r="AB218" s="288" t="s">
        <v>139</v>
      </c>
      <c r="AC218" s="288" t="s">
        <v>1875</v>
      </c>
      <c r="AD218" s="288" t="s">
        <v>1805</v>
      </c>
      <c r="AE218" s="288" t="s">
        <v>1805</v>
      </c>
      <c r="AF218" s="288" t="s">
        <v>2479</v>
      </c>
      <c r="AG218" s="288" t="s">
        <v>2479</v>
      </c>
      <c r="AH218" s="288" t="s">
        <v>2479</v>
      </c>
      <c r="AI218" s="288" t="s">
        <v>2479</v>
      </c>
      <c r="AJ218" s="303" t="s">
        <v>2191</v>
      </c>
      <c r="AK218" s="288" t="s">
        <v>2479</v>
      </c>
      <c r="AL218" s="303" t="s">
        <v>2190</v>
      </c>
      <c r="AM218" s="288" t="s">
        <v>1975</v>
      </c>
      <c r="AN218" s="207" t="b">
        <v>0</v>
      </c>
      <c r="AY218" s="288" t="s">
        <v>2479</v>
      </c>
      <c r="AZ218" s="288" t="s">
        <v>2479</v>
      </c>
      <c r="BA218" s="288" t="s">
        <v>373</v>
      </c>
      <c r="BB218" s="288" t="s">
        <v>139</v>
      </c>
      <c r="BC218" s="288" t="s">
        <v>2192</v>
      </c>
      <c r="BD218" s="280"/>
      <c r="BE218" s="280"/>
      <c r="BF218" s="280"/>
      <c r="BG218" s="280"/>
    </row>
    <row r="219" spans="1:59" ht="45" customHeight="1">
      <c r="A219" s="271">
        <f t="shared" si="3"/>
        <v>218</v>
      </c>
      <c r="B219" s="284" t="s">
        <v>2429</v>
      </c>
      <c r="C219" s="270" t="s">
        <v>3515</v>
      </c>
      <c r="D219" s="270" t="s">
        <v>8</v>
      </c>
      <c r="E219" s="270" t="s">
        <v>9</v>
      </c>
      <c r="F219" s="270" t="s">
        <v>1767</v>
      </c>
      <c r="G219" s="302">
        <v>45093</v>
      </c>
      <c r="L219" s="270" t="s">
        <v>2479</v>
      </c>
      <c r="M219" s="270" t="s">
        <v>2479</v>
      </c>
      <c r="N219" s="272" t="s">
        <v>122</v>
      </c>
      <c r="O219" s="270" t="s">
        <v>2479</v>
      </c>
      <c r="P219" s="270" t="s">
        <v>1555</v>
      </c>
      <c r="Q219" s="270" t="s">
        <v>2198</v>
      </c>
      <c r="R219" s="306">
        <v>44992.415243055555</v>
      </c>
      <c r="S219" s="285">
        <v>2023</v>
      </c>
      <c r="T219" s="270" t="s">
        <v>2001</v>
      </c>
      <c r="U219" s="270" t="s">
        <v>678</v>
      </c>
      <c r="V219" s="270" t="s">
        <v>679</v>
      </c>
      <c r="W219" s="270" t="s">
        <v>145</v>
      </c>
      <c r="X219" s="270" t="s">
        <v>309</v>
      </c>
      <c r="Y219" s="273">
        <v>45078</v>
      </c>
      <c r="Z219" s="288" t="s">
        <v>1875</v>
      </c>
      <c r="AA219" s="288" t="s">
        <v>2479</v>
      </c>
      <c r="AB219" s="288" t="s">
        <v>139</v>
      </c>
      <c r="AC219" s="288" t="s">
        <v>1875</v>
      </c>
      <c r="AD219" s="288" t="s">
        <v>1805</v>
      </c>
      <c r="AE219" s="288" t="s">
        <v>1805</v>
      </c>
      <c r="AF219" s="288" t="s">
        <v>2479</v>
      </c>
      <c r="AG219" s="288" t="s">
        <v>2479</v>
      </c>
      <c r="AH219" s="288" t="s">
        <v>2479</v>
      </c>
      <c r="AI219" s="288" t="s">
        <v>2479</v>
      </c>
      <c r="AJ219" s="303" t="s">
        <v>2191</v>
      </c>
      <c r="AK219" s="288" t="s">
        <v>2479</v>
      </c>
      <c r="AL219" s="303" t="s">
        <v>2190</v>
      </c>
      <c r="AM219" s="288" t="s">
        <v>1975</v>
      </c>
      <c r="AN219" s="207" t="b">
        <v>0</v>
      </c>
      <c r="AY219" s="288" t="s">
        <v>2479</v>
      </c>
      <c r="AZ219" s="288" t="s">
        <v>2479</v>
      </c>
      <c r="BA219" s="288" t="s">
        <v>373</v>
      </c>
      <c r="BB219" s="288" t="s">
        <v>139</v>
      </c>
      <c r="BC219" s="288" t="s">
        <v>2192</v>
      </c>
      <c r="BD219" s="280"/>
      <c r="BE219" s="280"/>
      <c r="BF219" s="280"/>
      <c r="BG219" s="280"/>
    </row>
    <row r="220" spans="1:59" ht="45" customHeight="1">
      <c r="A220" s="271">
        <f t="shared" si="3"/>
        <v>219</v>
      </c>
      <c r="B220" s="284" t="s">
        <v>3855</v>
      </c>
      <c r="C220" s="270" t="s">
        <v>3856</v>
      </c>
      <c r="D220" s="270" t="s">
        <v>8</v>
      </c>
      <c r="E220" s="270" t="s">
        <v>9</v>
      </c>
      <c r="F220" s="270" t="s">
        <v>1767</v>
      </c>
      <c r="G220" s="302">
        <v>45093</v>
      </c>
      <c r="K220" s="306">
        <v>45093</v>
      </c>
      <c r="L220" s="270" t="s">
        <v>2193</v>
      </c>
      <c r="M220" s="270" t="s">
        <v>115</v>
      </c>
      <c r="N220" s="272" t="s">
        <v>2479</v>
      </c>
      <c r="O220" s="270" t="s">
        <v>2479</v>
      </c>
      <c r="P220" s="270" t="s">
        <v>1555</v>
      </c>
      <c r="Q220" s="270" t="s">
        <v>2198</v>
      </c>
      <c r="R220" s="306">
        <v>44992.538657407407</v>
      </c>
      <c r="S220" s="285">
        <v>2023</v>
      </c>
      <c r="T220" s="270" t="s">
        <v>2194</v>
      </c>
      <c r="U220" s="270" t="s">
        <v>678</v>
      </c>
      <c r="V220" s="270" t="s">
        <v>679</v>
      </c>
      <c r="W220" s="270" t="s">
        <v>145</v>
      </c>
      <c r="X220" s="270" t="s">
        <v>309</v>
      </c>
      <c r="Y220" s="273">
        <v>45078</v>
      </c>
      <c r="Z220" s="288" t="s">
        <v>1875</v>
      </c>
      <c r="AA220" s="288" t="s">
        <v>2479</v>
      </c>
      <c r="AB220" s="288" t="s">
        <v>139</v>
      </c>
      <c r="AC220" s="288" t="s">
        <v>1875</v>
      </c>
      <c r="AD220" s="288" t="s">
        <v>1805</v>
      </c>
      <c r="AE220" s="288" t="s">
        <v>1805</v>
      </c>
      <c r="AF220" s="288" t="s">
        <v>2479</v>
      </c>
      <c r="AG220" s="288" t="s">
        <v>2479</v>
      </c>
      <c r="AH220" s="288" t="s">
        <v>2479</v>
      </c>
      <c r="AI220" s="288" t="s">
        <v>2479</v>
      </c>
      <c r="AJ220" s="303" t="s">
        <v>2191</v>
      </c>
      <c r="AK220" s="288" t="s">
        <v>2479</v>
      </c>
      <c r="AL220" s="303" t="s">
        <v>2190</v>
      </c>
      <c r="AM220" s="288" t="s">
        <v>1975</v>
      </c>
      <c r="AN220" s="207" t="b">
        <v>0</v>
      </c>
      <c r="AY220" s="288" t="s">
        <v>2479</v>
      </c>
      <c r="AZ220" s="288" t="s">
        <v>2479</v>
      </c>
      <c r="BA220" s="288" t="s">
        <v>373</v>
      </c>
      <c r="BB220" s="288" t="s">
        <v>139</v>
      </c>
      <c r="BC220" s="288" t="s">
        <v>2192</v>
      </c>
      <c r="BD220" s="280"/>
      <c r="BE220" s="280"/>
      <c r="BF220" s="280"/>
      <c r="BG220" s="280"/>
    </row>
    <row r="221" spans="1:59" ht="45" customHeight="1">
      <c r="A221" s="271">
        <f t="shared" si="3"/>
        <v>220</v>
      </c>
      <c r="B221" s="284" t="s">
        <v>3857</v>
      </c>
      <c r="C221" s="270" t="s">
        <v>3858</v>
      </c>
      <c r="D221" s="270" t="s">
        <v>8</v>
      </c>
      <c r="E221" s="270" t="s">
        <v>9</v>
      </c>
      <c r="F221" s="270" t="s">
        <v>1767</v>
      </c>
      <c r="G221" s="302">
        <v>45093</v>
      </c>
      <c r="K221" s="306">
        <v>45093</v>
      </c>
      <c r="L221" s="270" t="s">
        <v>2193</v>
      </c>
      <c r="M221" s="270" t="s">
        <v>115</v>
      </c>
      <c r="N221" s="272" t="s">
        <v>2479</v>
      </c>
      <c r="O221" s="270" t="s">
        <v>2479</v>
      </c>
      <c r="P221" s="270" t="s">
        <v>1555</v>
      </c>
      <c r="Q221" s="270" t="s">
        <v>2198</v>
      </c>
      <c r="R221" s="306">
        <v>44992.538923611108</v>
      </c>
      <c r="S221" s="285">
        <v>2023</v>
      </c>
      <c r="T221" s="270" t="s">
        <v>2194</v>
      </c>
      <c r="U221" s="270" t="s">
        <v>678</v>
      </c>
      <c r="V221" s="270" t="s">
        <v>679</v>
      </c>
      <c r="W221" s="270" t="s">
        <v>145</v>
      </c>
      <c r="X221" s="270" t="s">
        <v>309</v>
      </c>
      <c r="Y221" s="273">
        <v>45078</v>
      </c>
      <c r="Z221" s="288" t="s">
        <v>1875</v>
      </c>
      <c r="AA221" s="288" t="s">
        <v>2479</v>
      </c>
      <c r="AB221" s="288" t="s">
        <v>139</v>
      </c>
      <c r="AC221" s="288" t="s">
        <v>1875</v>
      </c>
      <c r="AD221" s="288" t="s">
        <v>1805</v>
      </c>
      <c r="AE221" s="288" t="s">
        <v>1805</v>
      </c>
      <c r="AF221" s="288" t="s">
        <v>2479</v>
      </c>
      <c r="AG221" s="288" t="s">
        <v>2479</v>
      </c>
      <c r="AH221" s="288" t="s">
        <v>2479</v>
      </c>
      <c r="AI221" s="288" t="s">
        <v>2479</v>
      </c>
      <c r="AJ221" s="303" t="s">
        <v>2191</v>
      </c>
      <c r="AK221" s="288" t="s">
        <v>2479</v>
      </c>
      <c r="AL221" s="303" t="s">
        <v>2190</v>
      </c>
      <c r="AM221" s="288" t="s">
        <v>1975</v>
      </c>
      <c r="AN221" s="207" t="b">
        <v>0</v>
      </c>
      <c r="AY221" s="288" t="s">
        <v>2479</v>
      </c>
      <c r="AZ221" s="288" t="s">
        <v>2479</v>
      </c>
      <c r="BA221" s="288" t="s">
        <v>373</v>
      </c>
      <c r="BB221" s="288" t="s">
        <v>139</v>
      </c>
      <c r="BC221" s="288" t="s">
        <v>2192</v>
      </c>
      <c r="BD221" s="280"/>
      <c r="BE221" s="280"/>
      <c r="BF221" s="280"/>
      <c r="BG221" s="280"/>
    </row>
    <row r="222" spans="1:59" ht="45" customHeight="1">
      <c r="A222" s="271">
        <f t="shared" si="3"/>
        <v>221</v>
      </c>
      <c r="B222" s="284" t="s">
        <v>3859</v>
      </c>
      <c r="C222" s="270" t="s">
        <v>3860</v>
      </c>
      <c r="D222" s="270" t="s">
        <v>8</v>
      </c>
      <c r="E222" s="270" t="s">
        <v>9</v>
      </c>
      <c r="F222" s="270" t="s">
        <v>1767</v>
      </c>
      <c r="G222" s="302">
        <v>45093</v>
      </c>
      <c r="K222" s="306">
        <v>45093</v>
      </c>
      <c r="L222" s="270" t="s">
        <v>2193</v>
      </c>
      <c r="M222" s="270" t="s">
        <v>115</v>
      </c>
      <c r="N222" s="272" t="s">
        <v>2479</v>
      </c>
      <c r="O222" s="270" t="s">
        <v>2479</v>
      </c>
      <c r="P222" s="270" t="s">
        <v>1555</v>
      </c>
      <c r="Q222" s="270" t="s">
        <v>2198</v>
      </c>
      <c r="R222" s="306">
        <v>44992.542939814812</v>
      </c>
      <c r="S222" s="285">
        <v>2023</v>
      </c>
      <c r="T222" s="270" t="s">
        <v>2194</v>
      </c>
      <c r="U222" s="270" t="s">
        <v>678</v>
      </c>
      <c r="V222" s="270" t="s">
        <v>679</v>
      </c>
      <c r="W222" s="270" t="s">
        <v>145</v>
      </c>
      <c r="X222" s="270" t="s">
        <v>309</v>
      </c>
      <c r="Y222" s="273">
        <v>45078</v>
      </c>
      <c r="Z222" s="288" t="s">
        <v>1875</v>
      </c>
      <c r="AA222" s="288" t="s">
        <v>2479</v>
      </c>
      <c r="AB222" s="288" t="s">
        <v>139</v>
      </c>
      <c r="AC222" s="288" t="s">
        <v>1875</v>
      </c>
      <c r="AD222" s="288" t="s">
        <v>1805</v>
      </c>
      <c r="AE222" s="288" t="s">
        <v>1805</v>
      </c>
      <c r="AF222" s="288" t="s">
        <v>2479</v>
      </c>
      <c r="AG222" s="288" t="s">
        <v>2479</v>
      </c>
      <c r="AH222" s="288" t="s">
        <v>2479</v>
      </c>
      <c r="AI222" s="288" t="s">
        <v>2479</v>
      </c>
      <c r="AJ222" s="303" t="s">
        <v>2191</v>
      </c>
      <c r="AK222" s="288" t="s">
        <v>2479</v>
      </c>
      <c r="AL222" s="303" t="s">
        <v>2190</v>
      </c>
      <c r="AM222" s="288" t="s">
        <v>1975</v>
      </c>
      <c r="AN222" s="207" t="b">
        <v>0</v>
      </c>
      <c r="AY222" s="288" t="s">
        <v>2479</v>
      </c>
      <c r="AZ222" s="288" t="s">
        <v>2479</v>
      </c>
      <c r="BA222" s="288" t="s">
        <v>373</v>
      </c>
      <c r="BB222" s="288" t="s">
        <v>139</v>
      </c>
      <c r="BC222" s="288" t="s">
        <v>2192</v>
      </c>
      <c r="BD222" s="280"/>
      <c r="BE222" s="280"/>
      <c r="BF222" s="280"/>
      <c r="BG222" s="280"/>
    </row>
    <row r="223" spans="1:59" ht="45" customHeight="1">
      <c r="A223" s="271">
        <f t="shared" si="3"/>
        <v>222</v>
      </c>
      <c r="B223" s="284" t="s">
        <v>3861</v>
      </c>
      <c r="C223" s="270" t="s">
        <v>3862</v>
      </c>
      <c r="D223" s="270" t="s">
        <v>8</v>
      </c>
      <c r="E223" s="270" t="s">
        <v>9</v>
      </c>
      <c r="F223" s="270" t="s">
        <v>1767</v>
      </c>
      <c r="G223" s="302">
        <v>45100</v>
      </c>
      <c r="K223" s="306">
        <v>45100</v>
      </c>
      <c r="L223" s="270" t="s">
        <v>2193</v>
      </c>
      <c r="M223" s="270" t="s">
        <v>115</v>
      </c>
      <c r="N223" s="272" t="s">
        <v>2479</v>
      </c>
      <c r="O223" s="270" t="s">
        <v>2479</v>
      </c>
      <c r="P223" s="270" t="s">
        <v>1555</v>
      </c>
      <c r="Q223" s="270" t="s">
        <v>2198</v>
      </c>
      <c r="R223" s="306">
        <v>44992.546585648146</v>
      </c>
      <c r="S223" s="285">
        <v>2023</v>
      </c>
      <c r="T223" s="270" t="s">
        <v>2194</v>
      </c>
      <c r="U223" s="270" t="s">
        <v>678</v>
      </c>
      <c r="V223" s="270" t="s">
        <v>679</v>
      </c>
      <c r="W223" s="270" t="s">
        <v>145</v>
      </c>
      <c r="X223" s="270" t="s">
        <v>309</v>
      </c>
      <c r="Y223" s="273">
        <v>45078</v>
      </c>
      <c r="Z223" s="288" t="s">
        <v>1875</v>
      </c>
      <c r="AA223" s="288" t="s">
        <v>2479</v>
      </c>
      <c r="AB223" s="288" t="s">
        <v>139</v>
      </c>
      <c r="AC223" s="288" t="s">
        <v>1875</v>
      </c>
      <c r="AD223" s="288" t="s">
        <v>1805</v>
      </c>
      <c r="AE223" s="288" t="s">
        <v>1805</v>
      </c>
      <c r="AF223" s="288" t="s">
        <v>2479</v>
      </c>
      <c r="AG223" s="288" t="s">
        <v>2479</v>
      </c>
      <c r="AH223" s="288" t="s">
        <v>2479</v>
      </c>
      <c r="AI223" s="288" t="s">
        <v>2479</v>
      </c>
      <c r="AJ223" s="303" t="s">
        <v>2191</v>
      </c>
      <c r="AK223" s="288" t="s">
        <v>2479</v>
      </c>
      <c r="AL223" s="303" t="s">
        <v>2190</v>
      </c>
      <c r="AM223" s="288" t="s">
        <v>1975</v>
      </c>
      <c r="AN223" s="207" t="b">
        <v>0</v>
      </c>
      <c r="AY223" s="288" t="s">
        <v>2479</v>
      </c>
      <c r="AZ223" s="288" t="s">
        <v>2479</v>
      </c>
      <c r="BA223" s="288" t="s">
        <v>373</v>
      </c>
      <c r="BB223" s="288" t="s">
        <v>139</v>
      </c>
      <c r="BC223" s="288" t="s">
        <v>2192</v>
      </c>
      <c r="BD223" s="280"/>
      <c r="BE223" s="280"/>
      <c r="BF223" s="280"/>
      <c r="BG223" s="280"/>
    </row>
    <row r="224" spans="1:59" ht="45" customHeight="1">
      <c r="A224" s="271">
        <f t="shared" si="3"/>
        <v>223</v>
      </c>
      <c r="B224" s="284" t="s">
        <v>3863</v>
      </c>
      <c r="C224" s="270" t="s">
        <v>3864</v>
      </c>
      <c r="D224" s="270" t="s">
        <v>8</v>
      </c>
      <c r="E224" s="270" t="s">
        <v>9</v>
      </c>
      <c r="F224" s="270" t="s">
        <v>1767</v>
      </c>
      <c r="G224" s="302">
        <v>45098</v>
      </c>
      <c r="K224" s="306">
        <v>45098</v>
      </c>
      <c r="L224" s="270" t="s">
        <v>2193</v>
      </c>
      <c r="M224" s="270" t="s">
        <v>115</v>
      </c>
      <c r="N224" s="272" t="s">
        <v>2479</v>
      </c>
      <c r="O224" s="270" t="s">
        <v>2479</v>
      </c>
      <c r="P224" s="270" t="s">
        <v>1555</v>
      </c>
      <c r="Q224" s="270" t="s">
        <v>2198</v>
      </c>
      <c r="R224" s="306">
        <v>44992.544907407406</v>
      </c>
      <c r="S224" s="285">
        <v>2023</v>
      </c>
      <c r="T224" s="270" t="s">
        <v>2194</v>
      </c>
      <c r="U224" s="270" t="s">
        <v>678</v>
      </c>
      <c r="V224" s="270" t="s">
        <v>679</v>
      </c>
      <c r="W224" s="270" t="s">
        <v>145</v>
      </c>
      <c r="X224" s="270" t="s">
        <v>309</v>
      </c>
      <c r="Y224" s="273">
        <v>45078</v>
      </c>
      <c r="Z224" s="288" t="s">
        <v>1875</v>
      </c>
      <c r="AA224" s="288" t="s">
        <v>2479</v>
      </c>
      <c r="AB224" s="288" t="s">
        <v>139</v>
      </c>
      <c r="AC224" s="288" t="s">
        <v>1875</v>
      </c>
      <c r="AD224" s="288" t="s">
        <v>1805</v>
      </c>
      <c r="AE224" s="288" t="s">
        <v>1805</v>
      </c>
      <c r="AF224" s="288" t="s">
        <v>2479</v>
      </c>
      <c r="AG224" s="288" t="s">
        <v>2479</v>
      </c>
      <c r="AH224" s="288" t="s">
        <v>2479</v>
      </c>
      <c r="AI224" s="288" t="s">
        <v>2479</v>
      </c>
      <c r="AJ224" s="303" t="s">
        <v>2191</v>
      </c>
      <c r="AK224" s="288" t="s">
        <v>2479</v>
      </c>
      <c r="AL224" s="303" t="s">
        <v>2190</v>
      </c>
      <c r="AM224" s="288" t="s">
        <v>1975</v>
      </c>
      <c r="AN224" s="207" t="b">
        <v>0</v>
      </c>
      <c r="AY224" s="288" t="s">
        <v>2479</v>
      </c>
      <c r="AZ224" s="288" t="s">
        <v>2479</v>
      </c>
      <c r="BA224" s="288" t="s">
        <v>373</v>
      </c>
      <c r="BB224" s="288" t="s">
        <v>139</v>
      </c>
      <c r="BC224" s="288" t="s">
        <v>2192</v>
      </c>
      <c r="BD224" s="280"/>
      <c r="BE224" s="280"/>
      <c r="BF224" s="280"/>
      <c r="BG224" s="280"/>
    </row>
    <row r="225" spans="1:59" ht="45" customHeight="1">
      <c r="A225" s="271">
        <f t="shared" si="3"/>
        <v>224</v>
      </c>
      <c r="B225" s="284" t="s">
        <v>3865</v>
      </c>
      <c r="C225" s="270" t="s">
        <v>3866</v>
      </c>
      <c r="D225" s="270" t="s">
        <v>8</v>
      </c>
      <c r="E225" s="270" t="s">
        <v>9</v>
      </c>
      <c r="F225" s="270" t="s">
        <v>1767</v>
      </c>
      <c r="G225" s="302">
        <v>45098</v>
      </c>
      <c r="K225" s="306">
        <v>45098</v>
      </c>
      <c r="L225" s="270" t="s">
        <v>2193</v>
      </c>
      <c r="M225" s="270" t="s">
        <v>115</v>
      </c>
      <c r="N225" s="272" t="s">
        <v>2479</v>
      </c>
      <c r="O225" s="270" t="s">
        <v>2479</v>
      </c>
      <c r="P225" s="270" t="s">
        <v>1555</v>
      </c>
      <c r="Q225" s="270" t="s">
        <v>2198</v>
      </c>
      <c r="R225" s="306">
        <v>44992.54519675926</v>
      </c>
      <c r="S225" s="285">
        <v>2023</v>
      </c>
      <c r="T225" s="270" t="s">
        <v>2194</v>
      </c>
      <c r="U225" s="270" t="s">
        <v>678</v>
      </c>
      <c r="V225" s="270" t="s">
        <v>679</v>
      </c>
      <c r="W225" s="270" t="s">
        <v>145</v>
      </c>
      <c r="X225" s="270" t="s">
        <v>309</v>
      </c>
      <c r="Y225" s="273">
        <v>45078</v>
      </c>
      <c r="Z225" s="288" t="s">
        <v>1875</v>
      </c>
      <c r="AA225" s="288" t="s">
        <v>2479</v>
      </c>
      <c r="AB225" s="288" t="s">
        <v>139</v>
      </c>
      <c r="AC225" s="288" t="s">
        <v>1875</v>
      </c>
      <c r="AD225" s="288" t="s">
        <v>1805</v>
      </c>
      <c r="AE225" s="288" t="s">
        <v>1805</v>
      </c>
      <c r="AF225" s="288" t="s">
        <v>2479</v>
      </c>
      <c r="AG225" s="288" t="s">
        <v>2479</v>
      </c>
      <c r="AH225" s="288" t="s">
        <v>2479</v>
      </c>
      <c r="AI225" s="288" t="s">
        <v>2479</v>
      </c>
      <c r="AJ225" s="303" t="s">
        <v>2191</v>
      </c>
      <c r="AK225" s="288" t="s">
        <v>2479</v>
      </c>
      <c r="AL225" s="303" t="s">
        <v>2190</v>
      </c>
      <c r="AM225" s="288" t="s">
        <v>1975</v>
      </c>
      <c r="AN225" s="207" t="b">
        <v>0</v>
      </c>
      <c r="AY225" s="288" t="s">
        <v>2479</v>
      </c>
      <c r="AZ225" s="288" t="s">
        <v>2479</v>
      </c>
      <c r="BA225" s="288" t="s">
        <v>373</v>
      </c>
      <c r="BB225" s="288" t="s">
        <v>139</v>
      </c>
      <c r="BC225" s="288" t="s">
        <v>2192</v>
      </c>
      <c r="BD225" s="280"/>
      <c r="BE225" s="280"/>
      <c r="BF225" s="280"/>
      <c r="BG225" s="280"/>
    </row>
    <row r="226" spans="1:59" ht="45" customHeight="1">
      <c r="A226" s="271">
        <f t="shared" si="3"/>
        <v>225</v>
      </c>
      <c r="B226" s="343" t="s">
        <v>2423</v>
      </c>
      <c r="C226" s="348" t="s">
        <v>2424</v>
      </c>
      <c r="D226" s="345" t="s">
        <v>8</v>
      </c>
      <c r="E226" s="345" t="s">
        <v>9</v>
      </c>
      <c r="F226" s="37" t="s">
        <v>1745</v>
      </c>
      <c r="G226" s="337">
        <v>44354</v>
      </c>
      <c r="H226" s="337"/>
      <c r="I226" s="337"/>
      <c r="J226" s="345"/>
      <c r="K226" s="337"/>
      <c r="L226" s="215"/>
      <c r="M226" s="345"/>
      <c r="N226" s="345" t="s">
        <v>122</v>
      </c>
      <c r="O226" s="345"/>
      <c r="P226" s="349" t="s">
        <v>1554</v>
      </c>
      <c r="Q226" s="349" t="s">
        <v>2198</v>
      </c>
      <c r="R226" s="339">
        <v>44571.587557870371</v>
      </c>
      <c r="S226" s="215">
        <v>2021</v>
      </c>
      <c r="T226" s="215" t="s">
        <v>2001</v>
      </c>
      <c r="U226" s="350" t="s">
        <v>678</v>
      </c>
      <c r="V226" s="350" t="s">
        <v>679</v>
      </c>
      <c r="W226" s="17" t="s">
        <v>145</v>
      </c>
      <c r="X226" s="350" t="s">
        <v>309</v>
      </c>
      <c r="Y226" s="347">
        <v>45078</v>
      </c>
      <c r="Z226" s="171" t="s">
        <v>1875</v>
      </c>
      <c r="AA226" s="171"/>
      <c r="AB226" s="17" t="s">
        <v>139</v>
      </c>
      <c r="AC226" s="17" t="s">
        <v>1875</v>
      </c>
      <c r="AD226" s="17" t="s">
        <v>1805</v>
      </c>
      <c r="AE226" s="17" t="s">
        <v>1805</v>
      </c>
      <c r="AF226" s="171"/>
      <c r="AG226" s="171"/>
      <c r="AH226" s="17"/>
      <c r="AI226" s="17"/>
      <c r="AJ226" s="17" t="s">
        <v>2191</v>
      </c>
      <c r="AK226" s="17"/>
      <c r="AL226" s="17" t="s">
        <v>2190</v>
      </c>
      <c r="AM226" s="17" t="s">
        <v>1975</v>
      </c>
      <c r="AN226" s="17" t="b">
        <v>0</v>
      </c>
      <c r="AO226" s="341"/>
      <c r="AP226" s="142"/>
      <c r="AQ226" s="142"/>
      <c r="AR226" s="142"/>
      <c r="AS226" s="142"/>
      <c r="AT226" s="342"/>
      <c r="AU226" s="17"/>
      <c r="AV226" s="341"/>
      <c r="AW226" s="17"/>
      <c r="AX226" s="17"/>
      <c r="AY226" s="17"/>
      <c r="AZ226" s="17"/>
      <c r="BA226" s="17" t="s">
        <v>373</v>
      </c>
      <c r="BB226" s="17" t="s">
        <v>1610</v>
      </c>
      <c r="BC226" s="17" t="s">
        <v>2192</v>
      </c>
      <c r="BD226" s="280"/>
      <c r="BE226" s="280"/>
      <c r="BF226" s="280"/>
      <c r="BG226" s="280"/>
    </row>
    <row r="227" spans="1:59" ht="45" customHeight="1">
      <c r="A227" s="271">
        <f t="shared" si="3"/>
        <v>226</v>
      </c>
      <c r="B227" s="343" t="s">
        <v>2425</v>
      </c>
      <c r="C227" s="348" t="s">
        <v>2426</v>
      </c>
      <c r="D227" s="345" t="s">
        <v>8</v>
      </c>
      <c r="E227" s="345" t="s">
        <v>9</v>
      </c>
      <c r="F227" s="37" t="s">
        <v>1745</v>
      </c>
      <c r="G227" s="337">
        <v>44389</v>
      </c>
      <c r="H227" s="337"/>
      <c r="I227" s="337"/>
      <c r="J227" s="345"/>
      <c r="K227" s="337"/>
      <c r="L227" s="215"/>
      <c r="M227" s="345"/>
      <c r="N227" s="345" t="s">
        <v>122</v>
      </c>
      <c r="O227" s="345"/>
      <c r="P227" s="349" t="s">
        <v>1554</v>
      </c>
      <c r="Q227" s="349" t="s">
        <v>2198</v>
      </c>
      <c r="R227" s="339">
        <v>44571.588020833333</v>
      </c>
      <c r="S227" s="215">
        <v>2021</v>
      </c>
      <c r="T227" s="215" t="s">
        <v>2001</v>
      </c>
      <c r="U227" s="350" t="s">
        <v>678</v>
      </c>
      <c r="V227" s="350" t="s">
        <v>679</v>
      </c>
      <c r="W227" s="17" t="s">
        <v>145</v>
      </c>
      <c r="X227" s="350" t="s">
        <v>309</v>
      </c>
      <c r="Y227" s="347">
        <v>45078</v>
      </c>
      <c r="Z227" s="171" t="s">
        <v>1875</v>
      </c>
      <c r="AA227" s="171"/>
      <c r="AB227" s="17" t="s">
        <v>139</v>
      </c>
      <c r="AC227" s="17" t="s">
        <v>1875</v>
      </c>
      <c r="AD227" s="17" t="s">
        <v>1805</v>
      </c>
      <c r="AE227" s="17" t="s">
        <v>1805</v>
      </c>
      <c r="AF227" s="171"/>
      <c r="AG227" s="171"/>
      <c r="AH227" s="17"/>
      <c r="AI227" s="17"/>
      <c r="AJ227" s="17" t="s">
        <v>2191</v>
      </c>
      <c r="AK227" s="17"/>
      <c r="AL227" s="17" t="s">
        <v>2190</v>
      </c>
      <c r="AM227" s="17" t="s">
        <v>1975</v>
      </c>
      <c r="AN227" s="17" t="b">
        <v>0</v>
      </c>
      <c r="AO227" s="341"/>
      <c r="AP227" s="142"/>
      <c r="AQ227" s="142"/>
      <c r="AR227" s="142"/>
      <c r="AS227" s="142"/>
      <c r="AT227" s="342"/>
      <c r="AU227" s="17"/>
      <c r="AV227" s="341"/>
      <c r="AW227" s="17"/>
      <c r="AX227" s="17"/>
      <c r="AY227" s="17"/>
      <c r="AZ227" s="17"/>
      <c r="BA227" s="17" t="s">
        <v>373</v>
      </c>
      <c r="BB227" s="17" t="s">
        <v>1610</v>
      </c>
      <c r="BC227" s="17" t="s">
        <v>2192</v>
      </c>
      <c r="BD227" s="280"/>
      <c r="BE227" s="280"/>
      <c r="BF227" s="280"/>
      <c r="BG227" s="280"/>
    </row>
    <row r="228" spans="1:59" ht="45" customHeight="1">
      <c r="A228" s="271">
        <f t="shared" si="3"/>
        <v>227</v>
      </c>
      <c r="B228" s="343" t="s">
        <v>2427</v>
      </c>
      <c r="C228" s="348" t="s">
        <v>2428</v>
      </c>
      <c r="D228" s="345" t="s">
        <v>8</v>
      </c>
      <c r="E228" s="345" t="s">
        <v>9</v>
      </c>
      <c r="F228" s="37" t="s">
        <v>1745</v>
      </c>
      <c r="G228" s="337">
        <v>44540</v>
      </c>
      <c r="H228" s="337"/>
      <c r="I228" s="337"/>
      <c r="J228" s="345"/>
      <c r="K228" s="337">
        <v>45099</v>
      </c>
      <c r="L228" s="339" t="s">
        <v>2193</v>
      </c>
      <c r="M228" s="345" t="s">
        <v>115</v>
      </c>
      <c r="N228" s="345"/>
      <c r="O228" s="345"/>
      <c r="P228" s="349" t="s">
        <v>1554</v>
      </c>
      <c r="Q228" s="349" t="s">
        <v>2198</v>
      </c>
      <c r="R228" s="339">
        <v>44992.545891203707</v>
      </c>
      <c r="S228" s="215">
        <v>2021</v>
      </c>
      <c r="T228" s="349" t="s">
        <v>2194</v>
      </c>
      <c r="U228" s="350" t="s">
        <v>678</v>
      </c>
      <c r="V228" s="350" t="s">
        <v>679</v>
      </c>
      <c r="W228" s="350" t="s">
        <v>145</v>
      </c>
      <c r="X228" s="350" t="s">
        <v>309</v>
      </c>
      <c r="Y228" s="347">
        <v>45078</v>
      </c>
      <c r="Z228" s="171" t="s">
        <v>1875</v>
      </c>
      <c r="AA228" s="171"/>
      <c r="AB228" s="17" t="s">
        <v>139</v>
      </c>
      <c r="AC228" s="17" t="s">
        <v>1875</v>
      </c>
      <c r="AD228" s="17">
        <v>900</v>
      </c>
      <c r="AE228" s="17">
        <v>900</v>
      </c>
      <c r="AF228" s="171"/>
      <c r="AG228" s="171"/>
      <c r="AH228" s="17"/>
      <c r="AI228" s="17"/>
      <c r="AJ228" s="17" t="s">
        <v>2191</v>
      </c>
      <c r="AK228" s="17"/>
      <c r="AL228" s="17" t="s">
        <v>2190</v>
      </c>
      <c r="AM228" s="17" t="s">
        <v>1975</v>
      </c>
      <c r="AN228" s="17" t="b">
        <v>0</v>
      </c>
      <c r="AO228" s="341"/>
      <c r="AP228" s="142"/>
      <c r="AQ228" s="142"/>
      <c r="AR228" s="142"/>
      <c r="AS228" s="142"/>
      <c r="AT228" s="342"/>
      <c r="AU228" s="17"/>
      <c r="AV228" s="341"/>
      <c r="AW228" s="17"/>
      <c r="AX228" s="17"/>
      <c r="AY228" s="17"/>
      <c r="AZ228" s="17"/>
      <c r="BA228" s="17" t="s">
        <v>373</v>
      </c>
      <c r="BB228" s="17" t="s">
        <v>139</v>
      </c>
      <c r="BC228" s="17" t="s">
        <v>2192</v>
      </c>
      <c r="BD228" s="280"/>
      <c r="BE228" s="280"/>
      <c r="BF228" s="280"/>
      <c r="BG228" s="280"/>
    </row>
    <row r="229" spans="1:59" ht="45" customHeight="1">
      <c r="A229" s="271">
        <f t="shared" si="3"/>
        <v>228</v>
      </c>
      <c r="B229" s="343" t="s">
        <v>2429</v>
      </c>
      <c r="C229" s="348" t="s">
        <v>2430</v>
      </c>
      <c r="D229" s="345" t="s">
        <v>8</v>
      </c>
      <c r="E229" s="345" t="s">
        <v>9</v>
      </c>
      <c r="F229" s="37" t="s">
        <v>1745</v>
      </c>
      <c r="G229" s="337">
        <v>44541</v>
      </c>
      <c r="H229" s="337"/>
      <c r="I229" s="337"/>
      <c r="J229" s="345"/>
      <c r="K229" s="337"/>
      <c r="L229" s="339"/>
      <c r="M229" s="345"/>
      <c r="N229" s="345" t="s">
        <v>122</v>
      </c>
      <c r="O229" s="345"/>
      <c r="P229" s="349" t="s">
        <v>1554</v>
      </c>
      <c r="Q229" s="349" t="s">
        <v>2198</v>
      </c>
      <c r="R229" s="339">
        <v>44571.588969907411</v>
      </c>
      <c r="S229" s="215">
        <v>2021</v>
      </c>
      <c r="T229" s="349" t="s">
        <v>2001</v>
      </c>
      <c r="U229" s="350" t="s">
        <v>678</v>
      </c>
      <c r="V229" s="350" t="s">
        <v>679</v>
      </c>
      <c r="W229" s="350" t="s">
        <v>145</v>
      </c>
      <c r="X229" s="350" t="s">
        <v>309</v>
      </c>
      <c r="Y229" s="347">
        <v>45078</v>
      </c>
      <c r="Z229" s="171" t="s">
        <v>1875</v>
      </c>
      <c r="AA229" s="171"/>
      <c r="AB229" s="17" t="s">
        <v>139</v>
      </c>
      <c r="AC229" s="17" t="s">
        <v>1875</v>
      </c>
      <c r="AD229" s="17" t="s">
        <v>1805</v>
      </c>
      <c r="AE229" s="17" t="s">
        <v>1805</v>
      </c>
      <c r="AF229" s="171"/>
      <c r="AG229" s="171"/>
      <c r="AH229" s="17"/>
      <c r="AI229" s="17"/>
      <c r="AJ229" s="17" t="s">
        <v>2191</v>
      </c>
      <c r="AK229" s="17"/>
      <c r="AL229" s="17" t="s">
        <v>2190</v>
      </c>
      <c r="AM229" s="17" t="s">
        <v>1975</v>
      </c>
      <c r="AN229" s="17" t="b">
        <v>0</v>
      </c>
      <c r="AO229" s="341"/>
      <c r="AP229" s="142"/>
      <c r="AQ229" s="142"/>
      <c r="AR229" s="142"/>
      <c r="AS229" s="142"/>
      <c r="AT229" s="342"/>
      <c r="AU229" s="17"/>
      <c r="AV229" s="341"/>
      <c r="AW229" s="17"/>
      <c r="AX229" s="17"/>
      <c r="AY229" s="17"/>
      <c r="AZ229" s="17"/>
      <c r="BA229" s="17" t="s">
        <v>373</v>
      </c>
      <c r="BB229" s="17" t="s">
        <v>1610</v>
      </c>
      <c r="BC229" s="17" t="s">
        <v>2192</v>
      </c>
      <c r="BD229" s="280"/>
      <c r="BE229" s="280"/>
      <c r="BF229" s="280"/>
      <c r="BG229" s="280"/>
    </row>
    <row r="230" spans="1:59" ht="45" customHeight="1">
      <c r="A230" s="271">
        <f t="shared" si="3"/>
        <v>229</v>
      </c>
      <c r="B230" s="343" t="s">
        <v>2440</v>
      </c>
      <c r="C230" s="348" t="s">
        <v>2441</v>
      </c>
      <c r="D230" s="345" t="s">
        <v>8</v>
      </c>
      <c r="E230" s="345" t="s">
        <v>9</v>
      </c>
      <c r="F230" s="37" t="s">
        <v>1745</v>
      </c>
      <c r="G230" s="337">
        <v>44760</v>
      </c>
      <c r="H230" s="337"/>
      <c r="I230" s="337"/>
      <c r="J230" s="345"/>
      <c r="K230" s="337"/>
      <c r="L230" s="339"/>
      <c r="M230" s="345"/>
      <c r="N230" s="345" t="s">
        <v>122</v>
      </c>
      <c r="O230" s="345"/>
      <c r="P230" s="349" t="s">
        <v>1554</v>
      </c>
      <c r="Q230" s="349" t="s">
        <v>2198</v>
      </c>
      <c r="R230" s="339">
        <v>44571.591851851852</v>
      </c>
      <c r="S230" s="215">
        <v>2022</v>
      </c>
      <c r="T230" s="349" t="s">
        <v>2001</v>
      </c>
      <c r="U230" s="350" t="s">
        <v>678</v>
      </c>
      <c r="V230" s="350" t="s">
        <v>679</v>
      </c>
      <c r="W230" s="350" t="s">
        <v>145</v>
      </c>
      <c r="X230" s="350" t="s">
        <v>309</v>
      </c>
      <c r="Y230" s="347">
        <v>45078</v>
      </c>
      <c r="Z230" s="171" t="s">
        <v>1875</v>
      </c>
      <c r="AA230" s="171"/>
      <c r="AB230" s="17" t="s">
        <v>139</v>
      </c>
      <c r="AC230" s="17" t="s">
        <v>1875</v>
      </c>
      <c r="AD230" s="17" t="s">
        <v>1805</v>
      </c>
      <c r="AE230" s="17" t="s">
        <v>1805</v>
      </c>
      <c r="AF230" s="171"/>
      <c r="AG230" s="171"/>
      <c r="AH230" s="17"/>
      <c r="AI230" s="17"/>
      <c r="AJ230" s="17" t="s">
        <v>2191</v>
      </c>
      <c r="AK230" s="17"/>
      <c r="AL230" s="17" t="s">
        <v>2190</v>
      </c>
      <c r="AM230" s="17" t="s">
        <v>1975</v>
      </c>
      <c r="AN230" s="17" t="b">
        <v>0</v>
      </c>
      <c r="AO230" s="341"/>
      <c r="AP230" s="142"/>
      <c r="AQ230" s="142"/>
      <c r="AR230" s="142"/>
      <c r="AS230" s="142"/>
      <c r="AT230" s="342"/>
      <c r="AU230" s="17"/>
      <c r="AV230" s="341"/>
      <c r="AW230" s="17"/>
      <c r="AX230" s="17"/>
      <c r="AY230" s="17"/>
      <c r="AZ230" s="17"/>
      <c r="BA230" s="17" t="s">
        <v>373</v>
      </c>
      <c r="BB230" s="17" t="s">
        <v>1610</v>
      </c>
      <c r="BC230" s="17" t="s">
        <v>2192</v>
      </c>
      <c r="BD230" s="280"/>
      <c r="BE230" s="280"/>
      <c r="BF230" s="280"/>
      <c r="BG230" s="280"/>
    </row>
    <row r="231" spans="1:59" ht="45" customHeight="1">
      <c r="A231" s="271">
        <f t="shared" si="3"/>
        <v>230</v>
      </c>
      <c r="B231" s="343" t="s">
        <v>2444</v>
      </c>
      <c r="C231" s="348" t="s">
        <v>2445</v>
      </c>
      <c r="D231" s="345" t="s">
        <v>8</v>
      </c>
      <c r="E231" s="345" t="s">
        <v>9</v>
      </c>
      <c r="F231" s="37" t="s">
        <v>1745</v>
      </c>
      <c r="G231" s="337">
        <v>44786</v>
      </c>
      <c r="H231" s="337"/>
      <c r="I231" s="337"/>
      <c r="J231" s="345"/>
      <c r="K231" s="337"/>
      <c r="L231" s="339"/>
      <c r="M231" s="345"/>
      <c r="N231" s="345" t="s">
        <v>122</v>
      </c>
      <c r="O231" s="345"/>
      <c r="P231" s="349" t="s">
        <v>1554</v>
      </c>
      <c r="Q231" s="349" t="s">
        <v>2198</v>
      </c>
      <c r="R231" s="339">
        <v>44571.592789351853</v>
      </c>
      <c r="S231" s="215">
        <v>2022</v>
      </c>
      <c r="T231" s="349" t="s">
        <v>2001</v>
      </c>
      <c r="U231" s="350" t="s">
        <v>678</v>
      </c>
      <c r="V231" s="350" t="s">
        <v>679</v>
      </c>
      <c r="W231" s="350" t="s">
        <v>145</v>
      </c>
      <c r="X231" s="350" t="s">
        <v>309</v>
      </c>
      <c r="Y231" s="347">
        <v>45078</v>
      </c>
      <c r="Z231" s="171" t="s">
        <v>1875</v>
      </c>
      <c r="AA231" s="171"/>
      <c r="AB231" s="17" t="s">
        <v>139</v>
      </c>
      <c r="AC231" s="17" t="s">
        <v>1875</v>
      </c>
      <c r="AD231" s="17" t="s">
        <v>1805</v>
      </c>
      <c r="AE231" s="17" t="s">
        <v>1805</v>
      </c>
      <c r="AF231" s="171"/>
      <c r="AG231" s="171"/>
      <c r="AH231" s="17"/>
      <c r="AI231" s="17"/>
      <c r="AJ231" s="17" t="s">
        <v>2191</v>
      </c>
      <c r="AK231" s="17"/>
      <c r="AL231" s="17" t="s">
        <v>2190</v>
      </c>
      <c r="AM231" s="17" t="s">
        <v>1975</v>
      </c>
      <c r="AN231" s="17" t="b">
        <v>0</v>
      </c>
      <c r="AO231" s="341"/>
      <c r="AP231" s="142"/>
      <c r="AQ231" s="142"/>
      <c r="AR231" s="142"/>
      <c r="AS231" s="142"/>
      <c r="AT231" s="342"/>
      <c r="AU231" s="17"/>
      <c r="AV231" s="341"/>
      <c r="AW231" s="17"/>
      <c r="AX231" s="17"/>
      <c r="AY231" s="17"/>
      <c r="AZ231" s="17"/>
      <c r="BA231" s="17" t="s">
        <v>373</v>
      </c>
      <c r="BB231" s="17" t="s">
        <v>1610</v>
      </c>
      <c r="BC231" s="17" t="s">
        <v>2192</v>
      </c>
      <c r="BD231" s="280"/>
      <c r="BE231" s="280"/>
      <c r="BF231" s="280"/>
      <c r="BG231" s="280"/>
    </row>
    <row r="232" spans="1:59" ht="45" customHeight="1">
      <c r="A232" s="271">
        <f t="shared" si="3"/>
        <v>231</v>
      </c>
      <c r="B232" s="276" t="s">
        <v>2946</v>
      </c>
      <c r="C232" s="277" t="s">
        <v>2947</v>
      </c>
      <c r="D232" s="277" t="s">
        <v>8</v>
      </c>
      <c r="E232" s="277" t="s">
        <v>9</v>
      </c>
      <c r="F232" s="277" t="s">
        <v>1745</v>
      </c>
      <c r="G232" s="307">
        <v>44853</v>
      </c>
      <c r="H232" s="308"/>
      <c r="I232" s="308"/>
      <c r="J232" s="277"/>
      <c r="K232" s="279"/>
      <c r="L232" s="277" t="s">
        <v>2479</v>
      </c>
      <c r="M232" s="277" t="s">
        <v>2479</v>
      </c>
      <c r="N232" s="277" t="s">
        <v>122</v>
      </c>
      <c r="O232" s="277" t="s">
        <v>2479</v>
      </c>
      <c r="P232" s="277" t="s">
        <v>1554</v>
      </c>
      <c r="Q232" s="277" t="s">
        <v>2198</v>
      </c>
      <c r="R232" s="279" t="s">
        <v>2948</v>
      </c>
      <c r="S232" s="286">
        <v>2022</v>
      </c>
      <c r="T232" s="277" t="s">
        <v>2001</v>
      </c>
      <c r="U232" s="277" t="s">
        <v>678</v>
      </c>
      <c r="V232" s="277" t="s">
        <v>679</v>
      </c>
      <c r="W232" s="277" t="s">
        <v>145</v>
      </c>
      <c r="X232" s="277" t="s">
        <v>309</v>
      </c>
      <c r="Y232" s="278">
        <v>45078</v>
      </c>
      <c r="Z232" s="287" t="s">
        <v>1875</v>
      </c>
      <c r="AA232" s="287" t="s">
        <v>2479</v>
      </c>
      <c r="AB232" s="287" t="s">
        <v>139</v>
      </c>
      <c r="AC232" s="287" t="s">
        <v>1875</v>
      </c>
      <c r="AD232" s="287" t="s">
        <v>1805</v>
      </c>
      <c r="AE232" s="287" t="s">
        <v>1805</v>
      </c>
      <c r="AF232" s="287" t="s">
        <v>2479</v>
      </c>
      <c r="AG232" s="287" t="s">
        <v>2479</v>
      </c>
      <c r="AH232" s="287" t="s">
        <v>2479</v>
      </c>
      <c r="AI232" s="287" t="s">
        <v>2479</v>
      </c>
      <c r="AJ232" s="304" t="s">
        <v>2191</v>
      </c>
      <c r="AK232" s="287" t="s">
        <v>2479</v>
      </c>
      <c r="AL232" s="304" t="s">
        <v>2190</v>
      </c>
      <c r="AM232" s="289" t="s">
        <v>1975</v>
      </c>
      <c r="AN232" s="281" t="b">
        <v>0</v>
      </c>
      <c r="AO232" s="305"/>
      <c r="AP232" s="291"/>
      <c r="AQ232" s="291"/>
      <c r="AR232" s="291"/>
      <c r="AS232" s="291"/>
      <c r="AT232" s="291"/>
      <c r="AU232" s="291"/>
      <c r="AV232" s="305"/>
      <c r="AW232" s="281"/>
      <c r="AX232" s="281"/>
      <c r="AY232" s="289" t="s">
        <v>2479</v>
      </c>
      <c r="AZ232" s="289" t="s">
        <v>2479</v>
      </c>
      <c r="BA232" s="289" t="s">
        <v>373</v>
      </c>
      <c r="BB232" s="289" t="s">
        <v>1610</v>
      </c>
      <c r="BC232" s="292" t="s">
        <v>2192</v>
      </c>
      <c r="BD232" s="280"/>
      <c r="BE232" s="280"/>
      <c r="BF232" s="280"/>
      <c r="BG232" s="280"/>
    </row>
    <row r="233" spans="1:59" ht="45" customHeight="1">
      <c r="A233" s="271">
        <f t="shared" si="3"/>
        <v>232</v>
      </c>
      <c r="B233" s="276" t="s">
        <v>2949</v>
      </c>
      <c r="C233" s="277" t="s">
        <v>2950</v>
      </c>
      <c r="D233" s="277" t="s">
        <v>8</v>
      </c>
      <c r="E233" s="277" t="s">
        <v>9</v>
      </c>
      <c r="F233" s="277" t="s">
        <v>1745</v>
      </c>
      <c r="G233" s="307">
        <v>44863</v>
      </c>
      <c r="H233" s="308"/>
      <c r="I233" s="308"/>
      <c r="J233" s="277"/>
      <c r="K233" s="279"/>
      <c r="L233" s="277" t="s">
        <v>2479</v>
      </c>
      <c r="M233" s="277" t="s">
        <v>2479</v>
      </c>
      <c r="N233" s="277" t="s">
        <v>122</v>
      </c>
      <c r="O233" s="277" t="s">
        <v>2479</v>
      </c>
      <c r="P233" s="277" t="s">
        <v>1554</v>
      </c>
      <c r="Q233" s="277" t="s">
        <v>2198</v>
      </c>
      <c r="R233" s="279" t="s">
        <v>2951</v>
      </c>
      <c r="S233" s="286">
        <v>2022</v>
      </c>
      <c r="T233" s="277" t="s">
        <v>2001</v>
      </c>
      <c r="U233" s="277" t="s">
        <v>678</v>
      </c>
      <c r="V233" s="277" t="s">
        <v>679</v>
      </c>
      <c r="W233" s="277" t="s">
        <v>145</v>
      </c>
      <c r="X233" s="277" t="s">
        <v>309</v>
      </c>
      <c r="Y233" s="278">
        <v>45078</v>
      </c>
      <c r="Z233" s="287" t="s">
        <v>1875</v>
      </c>
      <c r="AA233" s="287" t="s">
        <v>2479</v>
      </c>
      <c r="AB233" s="287" t="s">
        <v>139</v>
      </c>
      <c r="AC233" s="287" t="s">
        <v>1875</v>
      </c>
      <c r="AD233" s="287" t="s">
        <v>1805</v>
      </c>
      <c r="AE233" s="287" t="s">
        <v>1805</v>
      </c>
      <c r="AF233" s="287" t="s">
        <v>2479</v>
      </c>
      <c r="AG233" s="287" t="s">
        <v>2479</v>
      </c>
      <c r="AH233" s="287" t="s">
        <v>2479</v>
      </c>
      <c r="AI233" s="287" t="s">
        <v>2479</v>
      </c>
      <c r="AJ233" s="304" t="s">
        <v>2191</v>
      </c>
      <c r="AK233" s="287" t="s">
        <v>2479</v>
      </c>
      <c r="AL233" s="304" t="s">
        <v>2190</v>
      </c>
      <c r="AM233" s="289" t="s">
        <v>1975</v>
      </c>
      <c r="AN233" s="281" t="b">
        <v>0</v>
      </c>
      <c r="AO233" s="305"/>
      <c r="AP233" s="291"/>
      <c r="AQ233" s="291"/>
      <c r="AR233" s="291"/>
      <c r="AS233" s="291"/>
      <c r="AT233" s="291"/>
      <c r="AU233" s="291"/>
      <c r="AV233" s="305"/>
      <c r="AW233" s="281"/>
      <c r="AX233" s="281"/>
      <c r="AY233" s="289" t="s">
        <v>2479</v>
      </c>
      <c r="AZ233" s="289" t="s">
        <v>2479</v>
      </c>
      <c r="BA233" s="289" t="s">
        <v>373</v>
      </c>
      <c r="BB233" s="289" t="s">
        <v>1610</v>
      </c>
      <c r="BC233" s="292" t="s">
        <v>2192</v>
      </c>
      <c r="BD233" s="280"/>
      <c r="BE233" s="280"/>
      <c r="BF233" s="280"/>
      <c r="BG233" s="280"/>
    </row>
    <row r="234" spans="1:59" ht="45" customHeight="1">
      <c r="A234" s="271">
        <f t="shared" si="3"/>
        <v>233</v>
      </c>
      <c r="B234" s="276" t="s">
        <v>3117</v>
      </c>
      <c r="C234" s="277" t="s">
        <v>3118</v>
      </c>
      <c r="D234" s="277" t="s">
        <v>8</v>
      </c>
      <c r="E234" s="277" t="s">
        <v>9</v>
      </c>
      <c r="F234" s="277" t="s">
        <v>1745</v>
      </c>
      <c r="G234" s="307">
        <v>44866</v>
      </c>
      <c r="H234" s="308"/>
      <c r="I234" s="308"/>
      <c r="J234" s="277"/>
      <c r="K234" s="279"/>
      <c r="L234" s="277" t="s">
        <v>2479</v>
      </c>
      <c r="M234" s="277" t="s">
        <v>2479</v>
      </c>
      <c r="N234" s="277" t="s">
        <v>122</v>
      </c>
      <c r="O234" s="277" t="s">
        <v>2479</v>
      </c>
      <c r="P234" s="277" t="s">
        <v>1554</v>
      </c>
      <c r="Q234" s="277" t="s">
        <v>2198</v>
      </c>
      <c r="R234" s="279" t="s">
        <v>3119</v>
      </c>
      <c r="S234" s="286">
        <v>2022</v>
      </c>
      <c r="T234" s="277" t="s">
        <v>2001</v>
      </c>
      <c r="U234" s="277" t="s">
        <v>678</v>
      </c>
      <c r="V234" s="277" t="s">
        <v>679</v>
      </c>
      <c r="W234" s="277" t="s">
        <v>145</v>
      </c>
      <c r="X234" s="277" t="s">
        <v>309</v>
      </c>
      <c r="Y234" s="278">
        <v>45078</v>
      </c>
      <c r="Z234" s="287" t="s">
        <v>1875</v>
      </c>
      <c r="AA234" s="287" t="s">
        <v>2479</v>
      </c>
      <c r="AB234" s="287" t="s">
        <v>139</v>
      </c>
      <c r="AC234" s="287" t="s">
        <v>1875</v>
      </c>
      <c r="AD234" s="287" t="s">
        <v>1805</v>
      </c>
      <c r="AE234" s="287" t="s">
        <v>1805</v>
      </c>
      <c r="AF234" s="287" t="s">
        <v>2479</v>
      </c>
      <c r="AG234" s="287" t="s">
        <v>2479</v>
      </c>
      <c r="AH234" s="287" t="s">
        <v>2479</v>
      </c>
      <c r="AI234" s="287" t="s">
        <v>2479</v>
      </c>
      <c r="AJ234" s="304" t="s">
        <v>2191</v>
      </c>
      <c r="AK234" s="287" t="s">
        <v>2479</v>
      </c>
      <c r="AL234" s="304" t="s">
        <v>2190</v>
      </c>
      <c r="AM234" s="289" t="s">
        <v>1975</v>
      </c>
      <c r="AN234" s="281" t="b">
        <v>0</v>
      </c>
      <c r="AO234" s="305"/>
      <c r="AP234" s="291"/>
      <c r="AQ234" s="291"/>
      <c r="AR234" s="291"/>
      <c r="AS234" s="291"/>
      <c r="AT234" s="291"/>
      <c r="AU234" s="291"/>
      <c r="AV234" s="305"/>
      <c r="AW234" s="281"/>
      <c r="AX234" s="281"/>
      <c r="AY234" s="289" t="s">
        <v>2479</v>
      </c>
      <c r="AZ234" s="289" t="s">
        <v>2479</v>
      </c>
      <c r="BA234" s="289" t="s">
        <v>373</v>
      </c>
      <c r="BB234" s="289" t="s">
        <v>1610</v>
      </c>
      <c r="BC234" s="292" t="s">
        <v>2192</v>
      </c>
      <c r="BD234" s="280"/>
      <c r="BE234" s="280"/>
      <c r="BF234" s="280"/>
      <c r="BG234" s="280"/>
    </row>
    <row r="235" spans="1:59" ht="45" customHeight="1">
      <c r="A235" s="271">
        <f t="shared" si="3"/>
        <v>234</v>
      </c>
      <c r="B235" s="276" t="s">
        <v>3120</v>
      </c>
      <c r="C235" s="277" t="s">
        <v>2787</v>
      </c>
      <c r="D235" s="277" t="s">
        <v>8</v>
      </c>
      <c r="E235" s="277" t="s">
        <v>9</v>
      </c>
      <c r="F235" s="277" t="s">
        <v>1745</v>
      </c>
      <c r="G235" s="307">
        <v>44866</v>
      </c>
      <c r="H235" s="308"/>
      <c r="I235" s="308"/>
      <c r="J235" s="277"/>
      <c r="K235" s="279"/>
      <c r="L235" s="277" t="s">
        <v>2479</v>
      </c>
      <c r="M235" s="277" t="s">
        <v>2479</v>
      </c>
      <c r="N235" s="277" t="s">
        <v>122</v>
      </c>
      <c r="O235" s="277" t="s">
        <v>2479</v>
      </c>
      <c r="P235" s="277" t="s">
        <v>1554</v>
      </c>
      <c r="Q235" s="277" t="s">
        <v>2198</v>
      </c>
      <c r="R235" s="279" t="s">
        <v>3121</v>
      </c>
      <c r="S235" s="286">
        <v>2022</v>
      </c>
      <c r="T235" s="277" t="s">
        <v>2001</v>
      </c>
      <c r="U235" s="277" t="s">
        <v>678</v>
      </c>
      <c r="V235" s="277" t="s">
        <v>679</v>
      </c>
      <c r="W235" s="277" t="s">
        <v>145</v>
      </c>
      <c r="X235" s="277" t="s">
        <v>309</v>
      </c>
      <c r="Y235" s="278">
        <v>45078</v>
      </c>
      <c r="Z235" s="287" t="s">
        <v>1875</v>
      </c>
      <c r="AA235" s="287" t="s">
        <v>2479</v>
      </c>
      <c r="AB235" s="287" t="s">
        <v>139</v>
      </c>
      <c r="AC235" s="287" t="s">
        <v>1875</v>
      </c>
      <c r="AD235" s="287" t="s">
        <v>1805</v>
      </c>
      <c r="AE235" s="287" t="s">
        <v>1805</v>
      </c>
      <c r="AF235" s="287" t="s">
        <v>2479</v>
      </c>
      <c r="AG235" s="287" t="s">
        <v>2479</v>
      </c>
      <c r="AH235" s="287" t="s">
        <v>2479</v>
      </c>
      <c r="AI235" s="287" t="s">
        <v>2479</v>
      </c>
      <c r="AJ235" s="304" t="s">
        <v>2191</v>
      </c>
      <c r="AK235" s="287" t="s">
        <v>2479</v>
      </c>
      <c r="AL235" s="304" t="s">
        <v>2190</v>
      </c>
      <c r="AM235" s="289" t="s">
        <v>1975</v>
      </c>
      <c r="AN235" s="281" t="b">
        <v>0</v>
      </c>
      <c r="AO235" s="305"/>
      <c r="AP235" s="291"/>
      <c r="AQ235" s="291"/>
      <c r="AR235" s="291"/>
      <c r="AS235" s="291"/>
      <c r="AT235" s="291"/>
      <c r="AU235" s="291"/>
      <c r="AV235" s="305"/>
      <c r="AW235" s="281"/>
      <c r="AX235" s="281"/>
      <c r="AY235" s="289" t="s">
        <v>2479</v>
      </c>
      <c r="AZ235" s="289" t="s">
        <v>2479</v>
      </c>
      <c r="BA235" s="289" t="s">
        <v>373</v>
      </c>
      <c r="BB235" s="289" t="s">
        <v>1610</v>
      </c>
      <c r="BC235" s="292" t="s">
        <v>2192</v>
      </c>
      <c r="BD235" s="280"/>
      <c r="BE235" s="280"/>
      <c r="BF235" s="280"/>
      <c r="BG235" s="280"/>
    </row>
    <row r="236" spans="1:59" ht="45" customHeight="1">
      <c r="A236" s="271">
        <f t="shared" si="3"/>
        <v>235</v>
      </c>
      <c r="B236" s="284" t="s">
        <v>3233</v>
      </c>
      <c r="C236" s="270" t="s">
        <v>3234</v>
      </c>
      <c r="D236" s="270" t="s">
        <v>8</v>
      </c>
      <c r="E236" s="270" t="s">
        <v>9</v>
      </c>
      <c r="F236" s="270" t="s">
        <v>1745</v>
      </c>
      <c r="G236" s="302">
        <v>44897</v>
      </c>
      <c r="L236" s="270" t="s">
        <v>2479</v>
      </c>
      <c r="M236" s="270" t="s">
        <v>2479</v>
      </c>
      <c r="N236" s="272" t="s">
        <v>122</v>
      </c>
      <c r="O236" s="270" t="s">
        <v>2479</v>
      </c>
      <c r="P236" s="270" t="s">
        <v>1554</v>
      </c>
      <c r="Q236" s="270" t="s">
        <v>2198</v>
      </c>
      <c r="R236" s="306" t="s">
        <v>3235</v>
      </c>
      <c r="S236" s="285">
        <v>2022</v>
      </c>
      <c r="T236" s="270" t="s">
        <v>2001</v>
      </c>
      <c r="U236" s="270" t="s">
        <v>678</v>
      </c>
      <c r="V236" s="270" t="s">
        <v>679</v>
      </c>
      <c r="W236" s="270" t="s">
        <v>145</v>
      </c>
      <c r="X236" s="270" t="s">
        <v>309</v>
      </c>
      <c r="Y236" s="273">
        <v>45078</v>
      </c>
      <c r="Z236" s="288" t="s">
        <v>1875</v>
      </c>
      <c r="AA236" s="288" t="s">
        <v>2479</v>
      </c>
      <c r="AB236" s="288" t="s">
        <v>139</v>
      </c>
      <c r="AC236" s="288" t="s">
        <v>1875</v>
      </c>
      <c r="AD236" s="288" t="s">
        <v>1805</v>
      </c>
      <c r="AE236" s="288" t="s">
        <v>1805</v>
      </c>
      <c r="AF236" s="288" t="s">
        <v>2479</v>
      </c>
      <c r="AG236" s="288" t="s">
        <v>2479</v>
      </c>
      <c r="AH236" s="288" t="s">
        <v>2479</v>
      </c>
      <c r="AI236" s="288" t="s">
        <v>2479</v>
      </c>
      <c r="AJ236" s="303" t="s">
        <v>2191</v>
      </c>
      <c r="AK236" s="288" t="s">
        <v>2479</v>
      </c>
      <c r="AL236" s="303" t="s">
        <v>2190</v>
      </c>
      <c r="AM236" s="288" t="s">
        <v>1975</v>
      </c>
      <c r="AN236" s="207" t="b">
        <v>0</v>
      </c>
      <c r="AY236" s="288" t="s">
        <v>2479</v>
      </c>
      <c r="AZ236" s="288" t="s">
        <v>2479</v>
      </c>
      <c r="BA236" s="288" t="s">
        <v>373</v>
      </c>
      <c r="BB236" s="288" t="s">
        <v>1610</v>
      </c>
      <c r="BC236" s="288" t="s">
        <v>2192</v>
      </c>
      <c r="BD236" s="280"/>
      <c r="BE236" s="280"/>
      <c r="BF236" s="280"/>
      <c r="BG236" s="280"/>
    </row>
    <row r="237" spans="1:59" ht="45" customHeight="1">
      <c r="A237" s="271">
        <f t="shared" si="3"/>
        <v>236</v>
      </c>
      <c r="B237" s="284" t="s">
        <v>3230</v>
      </c>
      <c r="C237" s="270" t="s">
        <v>3231</v>
      </c>
      <c r="D237" s="270" t="s">
        <v>8</v>
      </c>
      <c r="E237" s="270" t="s">
        <v>9</v>
      </c>
      <c r="F237" s="270" t="s">
        <v>1745</v>
      </c>
      <c r="G237" s="302">
        <v>44925</v>
      </c>
      <c r="L237" s="270" t="s">
        <v>2479</v>
      </c>
      <c r="M237" s="270" t="s">
        <v>2479</v>
      </c>
      <c r="N237" s="272" t="s">
        <v>122</v>
      </c>
      <c r="O237" s="270" t="s">
        <v>2479</v>
      </c>
      <c r="P237" s="270" t="s">
        <v>1554</v>
      </c>
      <c r="Q237" s="270" t="s">
        <v>2198</v>
      </c>
      <c r="R237" s="306" t="s">
        <v>3232</v>
      </c>
      <c r="S237" s="285">
        <v>2022</v>
      </c>
      <c r="T237" s="270" t="s">
        <v>2001</v>
      </c>
      <c r="U237" s="270" t="s">
        <v>678</v>
      </c>
      <c r="V237" s="270" t="s">
        <v>679</v>
      </c>
      <c r="W237" s="270" t="s">
        <v>145</v>
      </c>
      <c r="X237" s="270" t="s">
        <v>309</v>
      </c>
      <c r="Y237" s="273">
        <v>45078</v>
      </c>
      <c r="Z237" s="288" t="s">
        <v>1875</v>
      </c>
      <c r="AA237" s="288" t="s">
        <v>2479</v>
      </c>
      <c r="AB237" s="288" t="s">
        <v>139</v>
      </c>
      <c r="AC237" s="288" t="s">
        <v>1875</v>
      </c>
      <c r="AD237" s="288" t="s">
        <v>1805</v>
      </c>
      <c r="AE237" s="288" t="s">
        <v>1805</v>
      </c>
      <c r="AF237" s="288" t="s">
        <v>2479</v>
      </c>
      <c r="AG237" s="288" t="s">
        <v>2479</v>
      </c>
      <c r="AH237" s="288" t="s">
        <v>2479</v>
      </c>
      <c r="AI237" s="288" t="s">
        <v>2479</v>
      </c>
      <c r="AJ237" s="303" t="s">
        <v>2191</v>
      </c>
      <c r="AK237" s="288" t="s">
        <v>2479</v>
      </c>
      <c r="AL237" s="303" t="s">
        <v>2190</v>
      </c>
      <c r="AM237" s="288" t="s">
        <v>1975</v>
      </c>
      <c r="AN237" s="207" t="b">
        <v>0</v>
      </c>
      <c r="AY237" s="288" t="s">
        <v>2479</v>
      </c>
      <c r="AZ237" s="288" t="s">
        <v>2479</v>
      </c>
      <c r="BA237" s="288" t="s">
        <v>373</v>
      </c>
      <c r="BB237" s="288" t="s">
        <v>1610</v>
      </c>
      <c r="BC237" s="288" t="s">
        <v>2192</v>
      </c>
      <c r="BD237" s="280"/>
      <c r="BE237" s="280"/>
      <c r="BF237" s="280"/>
      <c r="BG237" s="280"/>
    </row>
    <row r="238" spans="1:59" ht="45" customHeight="1">
      <c r="A238" s="271">
        <f t="shared" si="3"/>
        <v>237</v>
      </c>
      <c r="B238" s="284" t="s">
        <v>3314</v>
      </c>
      <c r="C238" s="270" t="s">
        <v>3315</v>
      </c>
      <c r="D238" s="270" t="s">
        <v>8</v>
      </c>
      <c r="E238" s="270" t="s">
        <v>9</v>
      </c>
      <c r="F238" s="270" t="s">
        <v>1745</v>
      </c>
      <c r="G238" s="302">
        <v>44949</v>
      </c>
      <c r="L238" s="270" t="s">
        <v>2479</v>
      </c>
      <c r="M238" s="270" t="s">
        <v>2479</v>
      </c>
      <c r="N238" s="272" t="s">
        <v>122</v>
      </c>
      <c r="O238" s="270" t="s">
        <v>2479</v>
      </c>
      <c r="P238" s="270" t="s">
        <v>1554</v>
      </c>
      <c r="Q238" s="270" t="s">
        <v>2198</v>
      </c>
      <c r="R238" s="306" t="s">
        <v>3316</v>
      </c>
      <c r="S238" s="285">
        <v>2023</v>
      </c>
      <c r="T238" s="270" t="s">
        <v>2001</v>
      </c>
      <c r="U238" s="270" t="s">
        <v>678</v>
      </c>
      <c r="V238" s="270" t="s">
        <v>679</v>
      </c>
      <c r="W238" s="270" t="s">
        <v>145</v>
      </c>
      <c r="X238" s="270" t="s">
        <v>309</v>
      </c>
      <c r="Y238" s="273">
        <v>45078</v>
      </c>
      <c r="Z238" s="288" t="s">
        <v>1875</v>
      </c>
      <c r="AA238" s="288" t="s">
        <v>2479</v>
      </c>
      <c r="AB238" s="288" t="s">
        <v>139</v>
      </c>
      <c r="AC238" s="288" t="s">
        <v>1875</v>
      </c>
      <c r="AD238" s="288" t="s">
        <v>1805</v>
      </c>
      <c r="AE238" s="288" t="s">
        <v>1805</v>
      </c>
      <c r="AF238" s="288" t="s">
        <v>2479</v>
      </c>
      <c r="AG238" s="288" t="s">
        <v>2479</v>
      </c>
      <c r="AH238" s="288" t="s">
        <v>2479</v>
      </c>
      <c r="AI238" s="288" t="s">
        <v>2479</v>
      </c>
      <c r="AJ238" s="303" t="s">
        <v>2191</v>
      </c>
      <c r="AK238" s="288" t="s">
        <v>2479</v>
      </c>
      <c r="AL238" s="303" t="s">
        <v>2190</v>
      </c>
      <c r="AM238" s="288" t="s">
        <v>1975</v>
      </c>
      <c r="AN238" s="207" t="b">
        <v>0</v>
      </c>
      <c r="AY238" s="288" t="s">
        <v>2479</v>
      </c>
      <c r="AZ238" s="288" t="s">
        <v>2479</v>
      </c>
      <c r="BA238" s="288" t="s">
        <v>373</v>
      </c>
      <c r="BB238" s="288" t="s">
        <v>1610</v>
      </c>
      <c r="BC238" s="288" t="s">
        <v>2192</v>
      </c>
      <c r="BD238" s="280"/>
      <c r="BE238" s="280"/>
      <c r="BF238" s="280"/>
      <c r="BG238" s="280"/>
    </row>
    <row r="239" spans="1:59" ht="45" customHeight="1">
      <c r="A239" s="271">
        <f t="shared" si="3"/>
        <v>238</v>
      </c>
      <c r="B239" s="284" t="s">
        <v>3317</v>
      </c>
      <c r="C239" s="270" t="s">
        <v>3318</v>
      </c>
      <c r="D239" s="270" t="s">
        <v>8</v>
      </c>
      <c r="E239" s="270" t="s">
        <v>9</v>
      </c>
      <c r="F239" s="270" t="s">
        <v>1745</v>
      </c>
      <c r="G239" s="302">
        <v>44951</v>
      </c>
      <c r="L239" s="270" t="s">
        <v>2479</v>
      </c>
      <c r="M239" s="270" t="s">
        <v>2479</v>
      </c>
      <c r="N239" s="272" t="s">
        <v>122</v>
      </c>
      <c r="O239" s="270" t="s">
        <v>2479</v>
      </c>
      <c r="P239" s="270" t="s">
        <v>1554</v>
      </c>
      <c r="Q239" s="270" t="s">
        <v>2198</v>
      </c>
      <c r="R239" s="306" t="s">
        <v>3319</v>
      </c>
      <c r="S239" s="285">
        <v>2023</v>
      </c>
      <c r="T239" s="270" t="s">
        <v>2001</v>
      </c>
      <c r="U239" s="270" t="s">
        <v>678</v>
      </c>
      <c r="V239" s="270" t="s">
        <v>679</v>
      </c>
      <c r="W239" s="270" t="s">
        <v>145</v>
      </c>
      <c r="X239" s="270" t="s">
        <v>309</v>
      </c>
      <c r="Y239" s="273">
        <v>45078</v>
      </c>
      <c r="Z239" s="288" t="s">
        <v>1875</v>
      </c>
      <c r="AA239" s="288" t="s">
        <v>2479</v>
      </c>
      <c r="AB239" s="288" t="s">
        <v>139</v>
      </c>
      <c r="AC239" s="288" t="s">
        <v>1875</v>
      </c>
      <c r="AD239" s="288" t="s">
        <v>1805</v>
      </c>
      <c r="AE239" s="288" t="s">
        <v>1805</v>
      </c>
      <c r="AF239" s="288" t="s">
        <v>2479</v>
      </c>
      <c r="AG239" s="288" t="s">
        <v>2479</v>
      </c>
      <c r="AH239" s="288" t="s">
        <v>2479</v>
      </c>
      <c r="AI239" s="288" t="s">
        <v>2479</v>
      </c>
      <c r="AJ239" s="303" t="s">
        <v>2191</v>
      </c>
      <c r="AK239" s="288" t="s">
        <v>2479</v>
      </c>
      <c r="AL239" s="303" t="s">
        <v>2190</v>
      </c>
      <c r="AM239" s="288" t="s">
        <v>1975</v>
      </c>
      <c r="AN239" s="207" t="b">
        <v>0</v>
      </c>
      <c r="AY239" s="288" t="s">
        <v>2479</v>
      </c>
      <c r="AZ239" s="288" t="s">
        <v>2479</v>
      </c>
      <c r="BA239" s="288" t="s">
        <v>373</v>
      </c>
      <c r="BB239" s="288" t="s">
        <v>1610</v>
      </c>
      <c r="BC239" s="288" t="s">
        <v>2192</v>
      </c>
      <c r="BD239" s="280"/>
      <c r="BE239" s="280"/>
      <c r="BF239" s="280"/>
      <c r="BG239" s="280"/>
    </row>
    <row r="240" spans="1:59" ht="45" customHeight="1">
      <c r="A240" s="271">
        <f t="shared" si="3"/>
        <v>239</v>
      </c>
      <c r="B240" s="284" t="s">
        <v>3477</v>
      </c>
      <c r="C240" s="270" t="s">
        <v>3478</v>
      </c>
      <c r="D240" s="270" t="s">
        <v>8</v>
      </c>
      <c r="E240" s="270" t="s">
        <v>9</v>
      </c>
      <c r="F240" s="270" t="s">
        <v>1745</v>
      </c>
      <c r="G240" s="302">
        <v>44965</v>
      </c>
      <c r="K240" s="306">
        <v>45090</v>
      </c>
      <c r="L240" s="270" t="s">
        <v>2193</v>
      </c>
      <c r="M240" s="270" t="s">
        <v>114</v>
      </c>
      <c r="N240" s="272" t="s">
        <v>2479</v>
      </c>
      <c r="O240" s="270" t="s">
        <v>2479</v>
      </c>
      <c r="P240" s="270" t="s">
        <v>1554</v>
      </c>
      <c r="Q240" s="270" t="s">
        <v>2198</v>
      </c>
      <c r="R240" s="306">
        <v>44992.54011574074</v>
      </c>
      <c r="S240" s="285">
        <v>2023</v>
      </c>
      <c r="T240" s="270" t="s">
        <v>2194</v>
      </c>
      <c r="U240" s="270" t="s">
        <v>678</v>
      </c>
      <c r="V240" s="270" t="s">
        <v>679</v>
      </c>
      <c r="W240" s="270" t="s">
        <v>145</v>
      </c>
      <c r="X240" s="270" t="s">
        <v>309</v>
      </c>
      <c r="Y240" s="273">
        <v>45078</v>
      </c>
      <c r="Z240" s="288" t="s">
        <v>1875</v>
      </c>
      <c r="AA240" s="288" t="s">
        <v>2479</v>
      </c>
      <c r="AB240" s="288" t="s">
        <v>139</v>
      </c>
      <c r="AC240" s="288" t="s">
        <v>1875</v>
      </c>
      <c r="AD240" s="288" t="s">
        <v>1805</v>
      </c>
      <c r="AE240" s="288" t="s">
        <v>1805</v>
      </c>
      <c r="AF240" s="288" t="s">
        <v>2479</v>
      </c>
      <c r="AG240" s="288" t="s">
        <v>2479</v>
      </c>
      <c r="AH240" s="288" t="s">
        <v>2479</v>
      </c>
      <c r="AI240" s="288" t="s">
        <v>2479</v>
      </c>
      <c r="AJ240" s="303" t="s">
        <v>2191</v>
      </c>
      <c r="AK240" s="288" t="s">
        <v>2479</v>
      </c>
      <c r="AL240" s="303" t="s">
        <v>2190</v>
      </c>
      <c r="AM240" s="288" t="s">
        <v>1975</v>
      </c>
      <c r="AN240" s="207" t="b">
        <v>0</v>
      </c>
      <c r="AY240" s="288" t="s">
        <v>2479</v>
      </c>
      <c r="AZ240" s="288" t="s">
        <v>2479</v>
      </c>
      <c r="BA240" s="288" t="s">
        <v>373</v>
      </c>
      <c r="BB240" s="288" t="s">
        <v>139</v>
      </c>
      <c r="BC240" s="288" t="s">
        <v>2192</v>
      </c>
      <c r="BD240" s="280"/>
      <c r="BE240" s="280"/>
      <c r="BF240" s="280"/>
      <c r="BG240" s="280"/>
    </row>
    <row r="241" spans="1:59" ht="45" customHeight="1">
      <c r="A241" s="271">
        <f t="shared" si="3"/>
        <v>240</v>
      </c>
      <c r="B241" s="284" t="s">
        <v>3494</v>
      </c>
      <c r="C241" s="270" t="s">
        <v>3495</v>
      </c>
      <c r="D241" s="270" t="s">
        <v>8</v>
      </c>
      <c r="E241" s="270" t="s">
        <v>9</v>
      </c>
      <c r="F241" s="270" t="s">
        <v>1745</v>
      </c>
      <c r="G241" s="302">
        <v>44984</v>
      </c>
      <c r="L241" s="270" t="s">
        <v>2479</v>
      </c>
      <c r="M241" s="270" t="s">
        <v>2479</v>
      </c>
      <c r="N241" s="272" t="s">
        <v>122</v>
      </c>
      <c r="O241" s="270" t="s">
        <v>2479</v>
      </c>
      <c r="P241" s="270" t="s">
        <v>1554</v>
      </c>
      <c r="Q241" s="270" t="s">
        <v>2198</v>
      </c>
      <c r="R241" s="306">
        <v>44929.441620370373</v>
      </c>
      <c r="S241" s="285">
        <v>2023</v>
      </c>
      <c r="T241" s="270" t="s">
        <v>2001</v>
      </c>
      <c r="U241" s="270" t="s">
        <v>678</v>
      </c>
      <c r="V241" s="270" t="s">
        <v>679</v>
      </c>
      <c r="W241" s="270" t="s">
        <v>145</v>
      </c>
      <c r="X241" s="270" t="s">
        <v>309</v>
      </c>
      <c r="Y241" s="273">
        <v>45078</v>
      </c>
      <c r="Z241" s="288" t="s">
        <v>1875</v>
      </c>
      <c r="AA241" s="288" t="s">
        <v>2479</v>
      </c>
      <c r="AB241" s="288" t="s">
        <v>139</v>
      </c>
      <c r="AC241" s="288" t="s">
        <v>1875</v>
      </c>
      <c r="AD241" s="288" t="s">
        <v>1805</v>
      </c>
      <c r="AE241" s="288" t="s">
        <v>1805</v>
      </c>
      <c r="AF241" s="288" t="s">
        <v>2479</v>
      </c>
      <c r="AG241" s="288" t="s">
        <v>2479</v>
      </c>
      <c r="AH241" s="288" t="s">
        <v>2479</v>
      </c>
      <c r="AI241" s="288" t="s">
        <v>2479</v>
      </c>
      <c r="AJ241" s="303" t="s">
        <v>2191</v>
      </c>
      <c r="AK241" s="288" t="s">
        <v>2479</v>
      </c>
      <c r="AL241" s="303" t="s">
        <v>2190</v>
      </c>
      <c r="AM241" s="288" t="s">
        <v>1975</v>
      </c>
      <c r="AN241" s="207" t="b">
        <v>0</v>
      </c>
      <c r="AY241" s="288" t="s">
        <v>2479</v>
      </c>
      <c r="AZ241" s="288" t="s">
        <v>2479</v>
      </c>
      <c r="BA241" s="288" t="s">
        <v>373</v>
      </c>
      <c r="BB241" s="288" t="s">
        <v>1610</v>
      </c>
      <c r="BC241" s="288" t="s">
        <v>2192</v>
      </c>
      <c r="BD241" s="280"/>
      <c r="BE241" s="280"/>
      <c r="BF241" s="280"/>
      <c r="BG241" s="280"/>
    </row>
    <row r="242" spans="1:59" ht="45" customHeight="1">
      <c r="A242" s="271">
        <f t="shared" si="3"/>
        <v>241</v>
      </c>
      <c r="B242" s="284" t="s">
        <v>2610</v>
      </c>
      <c r="C242" s="270" t="s">
        <v>3496</v>
      </c>
      <c r="D242" s="270" t="s">
        <v>8</v>
      </c>
      <c r="E242" s="270" t="s">
        <v>9</v>
      </c>
      <c r="F242" s="270" t="s">
        <v>1745</v>
      </c>
      <c r="G242" s="302">
        <v>44984</v>
      </c>
      <c r="L242" s="270" t="s">
        <v>2479</v>
      </c>
      <c r="M242" s="270" t="s">
        <v>2479</v>
      </c>
      <c r="N242" s="272" t="s">
        <v>122</v>
      </c>
      <c r="O242" s="270" t="s">
        <v>2479</v>
      </c>
      <c r="P242" s="270" t="s">
        <v>1554</v>
      </c>
      <c r="Q242" s="270" t="s">
        <v>2198</v>
      </c>
      <c r="R242" s="306">
        <v>44929.442199074074</v>
      </c>
      <c r="S242" s="285">
        <v>2023</v>
      </c>
      <c r="T242" s="270" t="s">
        <v>2001</v>
      </c>
      <c r="U242" s="270" t="s">
        <v>678</v>
      </c>
      <c r="V242" s="270" t="s">
        <v>679</v>
      </c>
      <c r="W242" s="270" t="s">
        <v>145</v>
      </c>
      <c r="X242" s="270" t="s">
        <v>309</v>
      </c>
      <c r="Y242" s="273">
        <v>45078</v>
      </c>
      <c r="Z242" s="288" t="s">
        <v>1875</v>
      </c>
      <c r="AA242" s="288" t="s">
        <v>2479</v>
      </c>
      <c r="AB242" s="288" t="s">
        <v>139</v>
      </c>
      <c r="AC242" s="288" t="s">
        <v>1875</v>
      </c>
      <c r="AD242" s="288" t="s">
        <v>1805</v>
      </c>
      <c r="AE242" s="288" t="s">
        <v>1805</v>
      </c>
      <c r="AF242" s="288" t="s">
        <v>2479</v>
      </c>
      <c r="AG242" s="288" t="s">
        <v>2479</v>
      </c>
      <c r="AH242" s="288" t="s">
        <v>2479</v>
      </c>
      <c r="AI242" s="288" t="s">
        <v>2479</v>
      </c>
      <c r="AJ242" s="303" t="s">
        <v>2191</v>
      </c>
      <c r="AK242" s="288" t="s">
        <v>2479</v>
      </c>
      <c r="AL242" s="303" t="s">
        <v>2190</v>
      </c>
      <c r="AM242" s="288" t="s">
        <v>1975</v>
      </c>
      <c r="AN242" s="207" t="b">
        <v>0</v>
      </c>
      <c r="AY242" s="288" t="s">
        <v>2479</v>
      </c>
      <c r="AZ242" s="288" t="s">
        <v>2479</v>
      </c>
      <c r="BA242" s="288" t="s">
        <v>373</v>
      </c>
      <c r="BB242" s="288" t="s">
        <v>1610</v>
      </c>
      <c r="BC242" s="288" t="s">
        <v>2192</v>
      </c>
      <c r="BD242" s="280"/>
      <c r="BE242" s="280"/>
      <c r="BF242" s="280"/>
      <c r="BG242" s="280"/>
    </row>
    <row r="243" spans="1:59" ht="45" customHeight="1">
      <c r="A243" s="271">
        <f t="shared" si="3"/>
        <v>242</v>
      </c>
      <c r="B243" s="284" t="s">
        <v>2613</v>
      </c>
      <c r="C243" s="270" t="s">
        <v>3562</v>
      </c>
      <c r="D243" s="270" t="s">
        <v>8</v>
      </c>
      <c r="E243" s="270" t="s">
        <v>9</v>
      </c>
      <c r="F243" s="270" t="s">
        <v>1745</v>
      </c>
      <c r="G243" s="302">
        <v>44987</v>
      </c>
      <c r="L243" s="270" t="s">
        <v>2479</v>
      </c>
      <c r="M243" s="270" t="s">
        <v>2479</v>
      </c>
      <c r="N243" s="272" t="s">
        <v>122</v>
      </c>
      <c r="O243" s="270" t="s">
        <v>2479</v>
      </c>
      <c r="P243" s="270" t="s">
        <v>1554</v>
      </c>
      <c r="Q243" s="270" t="s">
        <v>2198</v>
      </c>
      <c r="R243" s="306">
        <v>44930.425069444442</v>
      </c>
      <c r="S243" s="285">
        <v>2023</v>
      </c>
      <c r="T243" s="270" t="s">
        <v>2001</v>
      </c>
      <c r="U243" s="270" t="s">
        <v>678</v>
      </c>
      <c r="V243" s="270" t="s">
        <v>679</v>
      </c>
      <c r="W243" s="270" t="s">
        <v>145</v>
      </c>
      <c r="X243" s="270" t="s">
        <v>309</v>
      </c>
      <c r="Y243" s="273">
        <v>45078</v>
      </c>
      <c r="Z243" s="288" t="s">
        <v>1875</v>
      </c>
      <c r="AA243" s="288" t="s">
        <v>2479</v>
      </c>
      <c r="AB243" s="288" t="s">
        <v>139</v>
      </c>
      <c r="AC243" s="288" t="s">
        <v>1875</v>
      </c>
      <c r="AD243" s="288" t="s">
        <v>1805</v>
      </c>
      <c r="AE243" s="288" t="s">
        <v>1805</v>
      </c>
      <c r="AF243" s="288" t="s">
        <v>2479</v>
      </c>
      <c r="AG243" s="288" t="s">
        <v>2479</v>
      </c>
      <c r="AH243" s="288" t="s">
        <v>2479</v>
      </c>
      <c r="AI243" s="288" t="s">
        <v>2479</v>
      </c>
      <c r="AJ243" s="303" t="s">
        <v>2191</v>
      </c>
      <c r="AK243" s="288" t="s">
        <v>2479</v>
      </c>
      <c r="AL243" s="303" t="s">
        <v>2190</v>
      </c>
      <c r="AM243" s="288" t="s">
        <v>1975</v>
      </c>
      <c r="AN243" s="207" t="b">
        <v>0</v>
      </c>
      <c r="AY243" s="288" t="s">
        <v>2479</v>
      </c>
      <c r="AZ243" s="288" t="s">
        <v>2479</v>
      </c>
      <c r="BA243" s="288" t="s">
        <v>373</v>
      </c>
      <c r="BB243" s="288" t="s">
        <v>1610</v>
      </c>
      <c r="BC243" s="288" t="s">
        <v>2192</v>
      </c>
      <c r="BD243" s="280"/>
      <c r="BE243" s="280"/>
      <c r="BF243" s="280"/>
      <c r="BG243" s="280"/>
    </row>
    <row r="244" spans="1:59" ht="45" customHeight="1">
      <c r="A244" s="271">
        <f t="shared" si="3"/>
        <v>243</v>
      </c>
      <c r="B244" s="284" t="s">
        <v>3563</v>
      </c>
      <c r="C244" s="270" t="s">
        <v>3564</v>
      </c>
      <c r="D244" s="270" t="s">
        <v>8</v>
      </c>
      <c r="E244" s="270" t="s">
        <v>9</v>
      </c>
      <c r="F244" s="270" t="s">
        <v>1745</v>
      </c>
      <c r="G244" s="302">
        <v>44995</v>
      </c>
      <c r="L244" s="270" t="s">
        <v>2479</v>
      </c>
      <c r="M244" s="270" t="s">
        <v>2479</v>
      </c>
      <c r="N244" s="272" t="s">
        <v>122</v>
      </c>
      <c r="O244" s="270" t="s">
        <v>2479</v>
      </c>
      <c r="P244" s="270" t="s">
        <v>1554</v>
      </c>
      <c r="Q244" s="270" t="s">
        <v>2198</v>
      </c>
      <c r="R244" s="306">
        <v>44930.428449074076</v>
      </c>
      <c r="S244" s="285">
        <v>2023</v>
      </c>
      <c r="T244" s="270" t="s">
        <v>2001</v>
      </c>
      <c r="U244" s="270" t="s">
        <v>678</v>
      </c>
      <c r="V244" s="270" t="s">
        <v>679</v>
      </c>
      <c r="W244" s="270" t="s">
        <v>145</v>
      </c>
      <c r="X244" s="270" t="s">
        <v>309</v>
      </c>
      <c r="Y244" s="273">
        <v>45078</v>
      </c>
      <c r="Z244" s="288" t="s">
        <v>1875</v>
      </c>
      <c r="AA244" s="288" t="s">
        <v>2479</v>
      </c>
      <c r="AB244" s="288" t="s">
        <v>139</v>
      </c>
      <c r="AC244" s="288" t="s">
        <v>1875</v>
      </c>
      <c r="AD244" s="288" t="s">
        <v>1805</v>
      </c>
      <c r="AE244" s="288" t="s">
        <v>1805</v>
      </c>
      <c r="AF244" s="288" t="s">
        <v>2479</v>
      </c>
      <c r="AG244" s="288" t="s">
        <v>2479</v>
      </c>
      <c r="AH244" s="288" t="s">
        <v>2479</v>
      </c>
      <c r="AI244" s="288" t="s">
        <v>2479</v>
      </c>
      <c r="AJ244" s="303" t="s">
        <v>2191</v>
      </c>
      <c r="AK244" s="288" t="s">
        <v>2479</v>
      </c>
      <c r="AL244" s="303" t="s">
        <v>2190</v>
      </c>
      <c r="AM244" s="288" t="s">
        <v>1975</v>
      </c>
      <c r="AN244" s="207" t="b">
        <v>0</v>
      </c>
      <c r="AY244" s="288" t="s">
        <v>2479</v>
      </c>
      <c r="AZ244" s="288" t="s">
        <v>2479</v>
      </c>
      <c r="BA244" s="288" t="s">
        <v>373</v>
      </c>
      <c r="BB244" s="288" t="s">
        <v>1610</v>
      </c>
      <c r="BC244" s="288" t="s">
        <v>2192</v>
      </c>
      <c r="BD244" s="280"/>
      <c r="BE244" s="280"/>
      <c r="BF244" s="280"/>
      <c r="BG244" s="280"/>
    </row>
    <row r="245" spans="1:59" ht="45" customHeight="1">
      <c r="A245" s="271">
        <f t="shared" si="3"/>
        <v>244</v>
      </c>
      <c r="B245" s="284" t="s">
        <v>2621</v>
      </c>
      <c r="C245" s="270" t="s">
        <v>3565</v>
      </c>
      <c r="D245" s="270" t="s">
        <v>8</v>
      </c>
      <c r="E245" s="270" t="s">
        <v>9</v>
      </c>
      <c r="F245" s="270" t="s">
        <v>1745</v>
      </c>
      <c r="G245" s="302">
        <v>44996</v>
      </c>
      <c r="L245" s="270" t="s">
        <v>2479</v>
      </c>
      <c r="M245" s="270" t="s">
        <v>2479</v>
      </c>
      <c r="N245" s="272" t="s">
        <v>122</v>
      </c>
      <c r="O245" s="270" t="s">
        <v>2479</v>
      </c>
      <c r="P245" s="270" t="s">
        <v>1554</v>
      </c>
      <c r="Q245" s="270" t="s">
        <v>2198</v>
      </c>
      <c r="R245" s="306">
        <v>44930.429108796299</v>
      </c>
      <c r="S245" s="285">
        <v>2023</v>
      </c>
      <c r="T245" s="270" t="s">
        <v>2001</v>
      </c>
      <c r="U245" s="270" t="s">
        <v>678</v>
      </c>
      <c r="V245" s="270" t="s">
        <v>679</v>
      </c>
      <c r="W245" s="270" t="s">
        <v>145</v>
      </c>
      <c r="X245" s="270" t="s">
        <v>309</v>
      </c>
      <c r="Y245" s="273">
        <v>45078</v>
      </c>
      <c r="Z245" s="288" t="s">
        <v>1875</v>
      </c>
      <c r="AA245" s="288" t="s">
        <v>2479</v>
      </c>
      <c r="AB245" s="288" t="s">
        <v>139</v>
      </c>
      <c r="AC245" s="288" t="s">
        <v>1875</v>
      </c>
      <c r="AD245" s="288" t="s">
        <v>1805</v>
      </c>
      <c r="AE245" s="288" t="s">
        <v>1805</v>
      </c>
      <c r="AF245" s="288" t="s">
        <v>2479</v>
      </c>
      <c r="AG245" s="288" t="s">
        <v>2479</v>
      </c>
      <c r="AH245" s="288" t="s">
        <v>2479</v>
      </c>
      <c r="AI245" s="288" t="s">
        <v>2479</v>
      </c>
      <c r="AJ245" s="303" t="s">
        <v>2191</v>
      </c>
      <c r="AK245" s="288" t="s">
        <v>2479</v>
      </c>
      <c r="AL245" s="303" t="s">
        <v>2190</v>
      </c>
      <c r="AM245" s="288" t="s">
        <v>1975</v>
      </c>
      <c r="AN245" s="207" t="b">
        <v>0</v>
      </c>
      <c r="AY245" s="288" t="s">
        <v>2479</v>
      </c>
      <c r="AZ245" s="288" t="s">
        <v>2479</v>
      </c>
      <c r="BA245" s="288" t="s">
        <v>373</v>
      </c>
      <c r="BB245" s="288" t="s">
        <v>1610</v>
      </c>
      <c r="BC245" s="288" t="s">
        <v>2192</v>
      </c>
      <c r="BD245" s="280"/>
      <c r="BE245" s="280"/>
      <c r="BF245" s="280"/>
      <c r="BG245" s="280"/>
    </row>
    <row r="246" spans="1:59" ht="45" customHeight="1">
      <c r="A246" s="271">
        <f t="shared" si="3"/>
        <v>245</v>
      </c>
      <c r="B246" s="284" t="s">
        <v>2623</v>
      </c>
      <c r="C246" s="270" t="s">
        <v>3566</v>
      </c>
      <c r="D246" s="270" t="s">
        <v>8</v>
      </c>
      <c r="E246" s="270" t="s">
        <v>9</v>
      </c>
      <c r="F246" s="270" t="s">
        <v>1745</v>
      </c>
      <c r="G246" s="302">
        <v>45000</v>
      </c>
      <c r="L246" s="270" t="s">
        <v>2479</v>
      </c>
      <c r="M246" s="270" t="s">
        <v>2479</v>
      </c>
      <c r="N246" s="272" t="s">
        <v>122</v>
      </c>
      <c r="O246" s="270" t="s">
        <v>2479</v>
      </c>
      <c r="P246" s="270" t="s">
        <v>1554</v>
      </c>
      <c r="Q246" s="270" t="s">
        <v>2198</v>
      </c>
      <c r="R246" s="306">
        <v>44930.429745370369</v>
      </c>
      <c r="S246" s="285">
        <v>2023</v>
      </c>
      <c r="T246" s="270" t="s">
        <v>2001</v>
      </c>
      <c r="U246" s="270" t="s">
        <v>678</v>
      </c>
      <c r="V246" s="270" t="s">
        <v>679</v>
      </c>
      <c r="W246" s="270" t="s">
        <v>145</v>
      </c>
      <c r="X246" s="270" t="s">
        <v>309</v>
      </c>
      <c r="Y246" s="273">
        <v>45078</v>
      </c>
      <c r="Z246" s="288" t="s">
        <v>1875</v>
      </c>
      <c r="AA246" s="288" t="s">
        <v>2479</v>
      </c>
      <c r="AB246" s="288" t="s">
        <v>139</v>
      </c>
      <c r="AC246" s="288" t="s">
        <v>1875</v>
      </c>
      <c r="AD246" s="288" t="s">
        <v>1805</v>
      </c>
      <c r="AE246" s="288" t="s">
        <v>1805</v>
      </c>
      <c r="AF246" s="288" t="s">
        <v>2479</v>
      </c>
      <c r="AG246" s="288" t="s">
        <v>2479</v>
      </c>
      <c r="AH246" s="288" t="s">
        <v>2479</v>
      </c>
      <c r="AI246" s="288" t="s">
        <v>2479</v>
      </c>
      <c r="AJ246" s="303" t="s">
        <v>2191</v>
      </c>
      <c r="AK246" s="288" t="s">
        <v>2479</v>
      </c>
      <c r="AL246" s="303" t="s">
        <v>2190</v>
      </c>
      <c r="AM246" s="288" t="s">
        <v>1975</v>
      </c>
      <c r="AN246" s="207" t="b">
        <v>0</v>
      </c>
      <c r="AY246" s="288" t="s">
        <v>2479</v>
      </c>
      <c r="AZ246" s="288" t="s">
        <v>2479</v>
      </c>
      <c r="BA246" s="288" t="s">
        <v>373</v>
      </c>
      <c r="BB246" s="288" t="s">
        <v>1610</v>
      </c>
      <c r="BC246" s="288" t="s">
        <v>2192</v>
      </c>
      <c r="BD246" s="280"/>
      <c r="BE246" s="280"/>
      <c r="BF246" s="280"/>
      <c r="BG246" s="280"/>
    </row>
    <row r="247" spans="1:59" ht="45" customHeight="1">
      <c r="A247" s="271">
        <f t="shared" si="3"/>
        <v>246</v>
      </c>
      <c r="B247" s="284" t="s">
        <v>2625</v>
      </c>
      <c r="C247" s="270" t="s">
        <v>3567</v>
      </c>
      <c r="D247" s="270" t="s">
        <v>8</v>
      </c>
      <c r="E247" s="270" t="s">
        <v>9</v>
      </c>
      <c r="F247" s="270" t="s">
        <v>1745</v>
      </c>
      <c r="G247" s="302">
        <v>45001</v>
      </c>
      <c r="L247" s="270" t="s">
        <v>2479</v>
      </c>
      <c r="M247" s="270" t="s">
        <v>2479</v>
      </c>
      <c r="N247" s="272" t="s">
        <v>122</v>
      </c>
      <c r="O247" s="270" t="s">
        <v>2479</v>
      </c>
      <c r="P247" s="270" t="s">
        <v>1554</v>
      </c>
      <c r="Q247" s="270" t="s">
        <v>2198</v>
      </c>
      <c r="R247" s="306">
        <v>44930.430497685185</v>
      </c>
      <c r="S247" s="285">
        <v>2023</v>
      </c>
      <c r="T247" s="270" t="s">
        <v>2001</v>
      </c>
      <c r="U247" s="270" t="s">
        <v>678</v>
      </c>
      <c r="V247" s="270" t="s">
        <v>679</v>
      </c>
      <c r="W247" s="270" t="s">
        <v>145</v>
      </c>
      <c r="X247" s="270" t="s">
        <v>309</v>
      </c>
      <c r="Y247" s="273">
        <v>45078</v>
      </c>
      <c r="Z247" s="288" t="s">
        <v>1875</v>
      </c>
      <c r="AA247" s="288" t="s">
        <v>2479</v>
      </c>
      <c r="AB247" s="288" t="s">
        <v>139</v>
      </c>
      <c r="AC247" s="288" t="s">
        <v>1875</v>
      </c>
      <c r="AD247" s="288" t="s">
        <v>1805</v>
      </c>
      <c r="AE247" s="288" t="s">
        <v>1805</v>
      </c>
      <c r="AF247" s="288" t="s">
        <v>2479</v>
      </c>
      <c r="AG247" s="288" t="s">
        <v>2479</v>
      </c>
      <c r="AH247" s="288" t="s">
        <v>2479</v>
      </c>
      <c r="AI247" s="288" t="s">
        <v>2479</v>
      </c>
      <c r="AJ247" s="303" t="s">
        <v>2191</v>
      </c>
      <c r="AK247" s="288" t="s">
        <v>2479</v>
      </c>
      <c r="AL247" s="303" t="s">
        <v>2190</v>
      </c>
      <c r="AM247" s="288" t="s">
        <v>1975</v>
      </c>
      <c r="AN247" s="207" t="b">
        <v>0</v>
      </c>
      <c r="AY247" s="288" t="s">
        <v>2479</v>
      </c>
      <c r="AZ247" s="288" t="s">
        <v>2479</v>
      </c>
      <c r="BA247" s="288" t="s">
        <v>373</v>
      </c>
      <c r="BB247" s="288" t="s">
        <v>1610</v>
      </c>
      <c r="BC247" s="288" t="s">
        <v>2192</v>
      </c>
      <c r="BD247" s="280"/>
      <c r="BE247" s="280"/>
      <c r="BF247" s="280"/>
      <c r="BG247" s="280"/>
    </row>
    <row r="248" spans="1:59" ht="45" customHeight="1">
      <c r="A248" s="271">
        <f t="shared" si="3"/>
        <v>247</v>
      </c>
      <c r="B248" s="284" t="s">
        <v>3659</v>
      </c>
      <c r="C248" s="270" t="s">
        <v>3660</v>
      </c>
      <c r="D248" s="270" t="s">
        <v>8</v>
      </c>
      <c r="E248" s="270" t="s">
        <v>9</v>
      </c>
      <c r="F248" s="270" t="s">
        <v>1745</v>
      </c>
      <c r="G248" s="302">
        <v>45017</v>
      </c>
      <c r="L248" s="270" t="s">
        <v>2479</v>
      </c>
      <c r="M248" s="270" t="s">
        <v>2479</v>
      </c>
      <c r="N248" s="272" t="s">
        <v>122</v>
      </c>
      <c r="O248" s="270" t="s">
        <v>2479</v>
      </c>
      <c r="P248" s="270" t="s">
        <v>1554</v>
      </c>
      <c r="Q248" s="270" t="s">
        <v>2198</v>
      </c>
      <c r="R248" s="306" t="s">
        <v>3661</v>
      </c>
      <c r="S248" s="285">
        <v>2023</v>
      </c>
      <c r="T248" s="270" t="s">
        <v>2001</v>
      </c>
      <c r="U248" s="270" t="s">
        <v>678</v>
      </c>
      <c r="V248" s="270" t="s">
        <v>679</v>
      </c>
      <c r="W248" s="270" t="s">
        <v>145</v>
      </c>
      <c r="X248" s="270" t="s">
        <v>309</v>
      </c>
      <c r="Y248" s="273">
        <v>45078</v>
      </c>
      <c r="Z248" s="288" t="s">
        <v>1875</v>
      </c>
      <c r="AA248" s="288" t="s">
        <v>2479</v>
      </c>
      <c r="AB248" s="288" t="s">
        <v>139</v>
      </c>
      <c r="AC248" s="288" t="s">
        <v>1875</v>
      </c>
      <c r="AD248" s="288" t="s">
        <v>1805</v>
      </c>
      <c r="AE248" s="288" t="s">
        <v>1805</v>
      </c>
      <c r="AF248" s="288" t="s">
        <v>2479</v>
      </c>
      <c r="AG248" s="288" t="s">
        <v>2479</v>
      </c>
      <c r="AH248" s="288" t="s">
        <v>2479</v>
      </c>
      <c r="AI248" s="288" t="s">
        <v>2479</v>
      </c>
      <c r="AJ248" s="303" t="s">
        <v>2191</v>
      </c>
      <c r="AK248" s="288" t="s">
        <v>2479</v>
      </c>
      <c r="AL248" s="303" t="s">
        <v>2190</v>
      </c>
      <c r="AM248" s="288" t="s">
        <v>1975</v>
      </c>
      <c r="AN248" s="207" t="b">
        <v>0</v>
      </c>
      <c r="AY248" s="288" t="s">
        <v>2479</v>
      </c>
      <c r="AZ248" s="288" t="s">
        <v>2479</v>
      </c>
      <c r="BA248" s="288" t="s">
        <v>373</v>
      </c>
      <c r="BB248" s="288" t="s">
        <v>1610</v>
      </c>
      <c r="BC248" s="288" t="s">
        <v>2192</v>
      </c>
      <c r="BD248" s="280"/>
      <c r="BE248" s="280"/>
      <c r="BF248" s="280"/>
      <c r="BG248" s="280"/>
    </row>
    <row r="249" spans="1:59" ht="45" customHeight="1">
      <c r="A249" s="271">
        <f t="shared" si="3"/>
        <v>248</v>
      </c>
      <c r="B249" s="284" t="s">
        <v>2923</v>
      </c>
      <c r="C249" s="270" t="s">
        <v>3662</v>
      </c>
      <c r="D249" s="270" t="s">
        <v>8</v>
      </c>
      <c r="E249" s="270" t="s">
        <v>9</v>
      </c>
      <c r="F249" s="270" t="s">
        <v>1745</v>
      </c>
      <c r="G249" s="302">
        <v>45035</v>
      </c>
      <c r="L249" s="270" t="s">
        <v>2479</v>
      </c>
      <c r="M249" s="270" t="s">
        <v>2479</v>
      </c>
      <c r="N249" s="272" t="s">
        <v>122</v>
      </c>
      <c r="O249" s="270" t="s">
        <v>2479</v>
      </c>
      <c r="P249" s="270" t="s">
        <v>1554</v>
      </c>
      <c r="Q249" s="270" t="s">
        <v>2198</v>
      </c>
      <c r="R249" s="306" t="s">
        <v>3663</v>
      </c>
      <c r="S249" s="285">
        <v>2023</v>
      </c>
      <c r="T249" s="270" t="s">
        <v>2001</v>
      </c>
      <c r="U249" s="270" t="s">
        <v>678</v>
      </c>
      <c r="V249" s="270" t="s">
        <v>679</v>
      </c>
      <c r="W249" s="270" t="s">
        <v>145</v>
      </c>
      <c r="X249" s="270" t="s">
        <v>309</v>
      </c>
      <c r="Y249" s="273">
        <v>45078</v>
      </c>
      <c r="Z249" s="288" t="s">
        <v>1875</v>
      </c>
      <c r="AA249" s="288" t="s">
        <v>2479</v>
      </c>
      <c r="AB249" s="288" t="s">
        <v>139</v>
      </c>
      <c r="AC249" s="288" t="s">
        <v>1875</v>
      </c>
      <c r="AD249" s="288" t="s">
        <v>1805</v>
      </c>
      <c r="AE249" s="288" t="s">
        <v>1805</v>
      </c>
      <c r="AF249" s="288" t="s">
        <v>2479</v>
      </c>
      <c r="AG249" s="288" t="s">
        <v>2479</v>
      </c>
      <c r="AH249" s="288" t="s">
        <v>2479</v>
      </c>
      <c r="AI249" s="288" t="s">
        <v>2479</v>
      </c>
      <c r="AJ249" s="303" t="s">
        <v>2191</v>
      </c>
      <c r="AK249" s="288" t="s">
        <v>2479</v>
      </c>
      <c r="AL249" s="303" t="s">
        <v>2190</v>
      </c>
      <c r="AM249" s="288" t="s">
        <v>1975</v>
      </c>
      <c r="AN249" s="207" t="b">
        <v>0</v>
      </c>
      <c r="AY249" s="288" t="s">
        <v>2479</v>
      </c>
      <c r="AZ249" s="288" t="s">
        <v>2479</v>
      </c>
      <c r="BA249" s="288" t="s">
        <v>373</v>
      </c>
      <c r="BB249" s="288" t="s">
        <v>1610</v>
      </c>
      <c r="BC249" s="288" t="s">
        <v>2192</v>
      </c>
      <c r="BD249" s="280"/>
      <c r="BE249" s="280"/>
      <c r="BF249" s="280"/>
      <c r="BG249" s="280"/>
    </row>
    <row r="250" spans="1:59" ht="45" customHeight="1">
      <c r="A250" s="271">
        <f t="shared" si="3"/>
        <v>249</v>
      </c>
      <c r="B250" s="284" t="s">
        <v>3773</v>
      </c>
      <c r="C250" s="270" t="s">
        <v>3774</v>
      </c>
      <c r="D250" s="270" t="s">
        <v>8</v>
      </c>
      <c r="E250" s="270" t="s">
        <v>9</v>
      </c>
      <c r="F250" s="270" t="s">
        <v>1745</v>
      </c>
      <c r="G250" s="302">
        <v>45064</v>
      </c>
      <c r="K250" s="306">
        <v>45094</v>
      </c>
      <c r="L250" s="270" t="s">
        <v>2193</v>
      </c>
      <c r="M250" s="270" t="s">
        <v>114</v>
      </c>
      <c r="N250" s="272" t="s">
        <v>2479</v>
      </c>
      <c r="O250" s="270" t="s">
        <v>2479</v>
      </c>
      <c r="P250" s="270" t="s">
        <v>1554</v>
      </c>
      <c r="Q250" s="270" t="s">
        <v>2198</v>
      </c>
      <c r="R250" s="306">
        <v>44992.540381944447</v>
      </c>
      <c r="S250" s="285">
        <v>2023</v>
      </c>
      <c r="T250" s="270" t="s">
        <v>2194</v>
      </c>
      <c r="U250" s="270" t="s">
        <v>678</v>
      </c>
      <c r="V250" s="270" t="s">
        <v>679</v>
      </c>
      <c r="W250" s="270" t="s">
        <v>145</v>
      </c>
      <c r="X250" s="270" t="s">
        <v>309</v>
      </c>
      <c r="Y250" s="273">
        <v>45078</v>
      </c>
      <c r="Z250" s="288" t="s">
        <v>1875</v>
      </c>
      <c r="AA250" s="288" t="s">
        <v>2479</v>
      </c>
      <c r="AB250" s="288" t="s">
        <v>139</v>
      </c>
      <c r="AC250" s="288" t="s">
        <v>1875</v>
      </c>
      <c r="AD250" s="288" t="s">
        <v>1805</v>
      </c>
      <c r="AE250" s="288" t="s">
        <v>1805</v>
      </c>
      <c r="AF250" s="288" t="s">
        <v>2479</v>
      </c>
      <c r="AG250" s="288" t="s">
        <v>2479</v>
      </c>
      <c r="AH250" s="288" t="s">
        <v>2479</v>
      </c>
      <c r="AI250" s="288" t="s">
        <v>2479</v>
      </c>
      <c r="AJ250" s="303" t="s">
        <v>2191</v>
      </c>
      <c r="AK250" s="288" t="s">
        <v>2479</v>
      </c>
      <c r="AL250" s="303" t="s">
        <v>2190</v>
      </c>
      <c r="AM250" s="288" t="s">
        <v>1975</v>
      </c>
      <c r="AN250" s="207" t="b">
        <v>0</v>
      </c>
      <c r="AY250" s="288" t="s">
        <v>2479</v>
      </c>
      <c r="AZ250" s="288" t="s">
        <v>2479</v>
      </c>
      <c r="BA250" s="288" t="s">
        <v>373</v>
      </c>
      <c r="BB250" s="288" t="s">
        <v>139</v>
      </c>
      <c r="BC250" s="288" t="s">
        <v>2192</v>
      </c>
      <c r="BD250" s="280"/>
      <c r="BE250" s="280"/>
      <c r="BF250" s="280"/>
      <c r="BG250" s="280"/>
    </row>
    <row r="251" spans="1:59" ht="45" customHeight="1">
      <c r="A251" s="271">
        <f t="shared" si="3"/>
        <v>250</v>
      </c>
      <c r="B251" s="284" t="s">
        <v>3775</v>
      </c>
      <c r="C251" s="270" t="s">
        <v>3776</v>
      </c>
      <c r="D251" s="270" t="s">
        <v>8</v>
      </c>
      <c r="E251" s="270" t="s">
        <v>9</v>
      </c>
      <c r="F251" s="270" t="s">
        <v>1745</v>
      </c>
      <c r="G251" s="302">
        <v>45068</v>
      </c>
      <c r="L251" s="270" t="s">
        <v>2479</v>
      </c>
      <c r="M251" s="270" t="s">
        <v>2479</v>
      </c>
      <c r="N251" s="272" t="s">
        <v>122</v>
      </c>
      <c r="O251" s="270" t="s">
        <v>2479</v>
      </c>
      <c r="P251" s="270" t="s">
        <v>1554</v>
      </c>
      <c r="Q251" s="270" t="s">
        <v>2198</v>
      </c>
      <c r="R251" s="306">
        <v>44932.474814814814</v>
      </c>
      <c r="S251" s="285">
        <v>2023</v>
      </c>
      <c r="T251" s="270" t="s">
        <v>2001</v>
      </c>
      <c r="U251" s="270" t="s">
        <v>678</v>
      </c>
      <c r="V251" s="270" t="s">
        <v>679</v>
      </c>
      <c r="W251" s="270" t="s">
        <v>145</v>
      </c>
      <c r="X251" s="270" t="s">
        <v>309</v>
      </c>
      <c r="Y251" s="273">
        <v>45078</v>
      </c>
      <c r="Z251" s="288" t="s">
        <v>1875</v>
      </c>
      <c r="AA251" s="288" t="s">
        <v>2479</v>
      </c>
      <c r="AB251" s="288" t="s">
        <v>139</v>
      </c>
      <c r="AC251" s="288" t="s">
        <v>1875</v>
      </c>
      <c r="AD251" s="288" t="s">
        <v>1805</v>
      </c>
      <c r="AE251" s="288" t="s">
        <v>1805</v>
      </c>
      <c r="AF251" s="288" t="s">
        <v>2479</v>
      </c>
      <c r="AG251" s="288" t="s">
        <v>2479</v>
      </c>
      <c r="AH251" s="288" t="s">
        <v>2479</v>
      </c>
      <c r="AI251" s="288" t="s">
        <v>2479</v>
      </c>
      <c r="AJ251" s="303" t="s">
        <v>2191</v>
      </c>
      <c r="AK251" s="288" t="s">
        <v>2479</v>
      </c>
      <c r="AL251" s="303" t="s">
        <v>2190</v>
      </c>
      <c r="AM251" s="288" t="s">
        <v>1975</v>
      </c>
      <c r="AN251" s="207" t="b">
        <v>0</v>
      </c>
      <c r="AY251" s="288" t="s">
        <v>2479</v>
      </c>
      <c r="AZ251" s="288" t="s">
        <v>2479</v>
      </c>
      <c r="BA251" s="288" t="s">
        <v>373</v>
      </c>
      <c r="BB251" s="288" t="s">
        <v>1610</v>
      </c>
      <c r="BC251" s="288" t="s">
        <v>2192</v>
      </c>
      <c r="BD251" s="280"/>
      <c r="BE251" s="280"/>
      <c r="BF251" s="280"/>
      <c r="BG251" s="280"/>
    </row>
    <row r="252" spans="1:59" ht="45" customHeight="1">
      <c r="A252" s="271">
        <f t="shared" si="3"/>
        <v>251</v>
      </c>
      <c r="B252" s="284" t="s">
        <v>3801</v>
      </c>
      <c r="C252" s="270" t="s">
        <v>3802</v>
      </c>
      <c r="D252" s="270" t="s">
        <v>8</v>
      </c>
      <c r="E252" s="270" t="s">
        <v>9</v>
      </c>
      <c r="F252" s="270" t="s">
        <v>1745</v>
      </c>
      <c r="G252" s="302">
        <v>45091</v>
      </c>
      <c r="L252" s="270" t="s">
        <v>2479</v>
      </c>
      <c r="M252" s="270" t="s">
        <v>2479</v>
      </c>
      <c r="N252" s="272" t="s">
        <v>122</v>
      </c>
      <c r="O252" s="270" t="s">
        <v>2479</v>
      </c>
      <c r="P252" s="270" t="s">
        <v>1555</v>
      </c>
      <c r="Q252" s="270" t="s">
        <v>2198</v>
      </c>
      <c r="R252" s="306">
        <v>44992.376030092593</v>
      </c>
      <c r="S252" s="285">
        <v>2023</v>
      </c>
      <c r="T252" s="270" t="s">
        <v>2001</v>
      </c>
      <c r="U252" s="270" t="s">
        <v>678</v>
      </c>
      <c r="V252" s="270" t="s">
        <v>679</v>
      </c>
      <c r="W252" s="270" t="s">
        <v>145</v>
      </c>
      <c r="X252" s="270" t="s">
        <v>309</v>
      </c>
      <c r="Y252" s="273">
        <v>45078</v>
      </c>
      <c r="Z252" s="288" t="s">
        <v>1875</v>
      </c>
      <c r="AA252" s="288" t="s">
        <v>2479</v>
      </c>
      <c r="AB252" s="288" t="s">
        <v>139</v>
      </c>
      <c r="AC252" s="288" t="s">
        <v>1875</v>
      </c>
      <c r="AD252" s="288" t="s">
        <v>1805</v>
      </c>
      <c r="AE252" s="288" t="s">
        <v>1805</v>
      </c>
      <c r="AF252" s="288" t="s">
        <v>2479</v>
      </c>
      <c r="AG252" s="288" t="s">
        <v>2479</v>
      </c>
      <c r="AH252" s="288" t="s">
        <v>2479</v>
      </c>
      <c r="AI252" s="288" t="s">
        <v>2479</v>
      </c>
      <c r="AJ252" s="303" t="s">
        <v>2191</v>
      </c>
      <c r="AK252" s="288" t="s">
        <v>2479</v>
      </c>
      <c r="AL252" s="303" t="s">
        <v>2190</v>
      </c>
      <c r="AM252" s="288" t="s">
        <v>1975</v>
      </c>
      <c r="AN252" s="207" t="b">
        <v>0</v>
      </c>
      <c r="AY252" s="288" t="s">
        <v>2479</v>
      </c>
      <c r="AZ252" s="288" t="s">
        <v>2479</v>
      </c>
      <c r="BA252" s="288" t="s">
        <v>373</v>
      </c>
      <c r="BB252" s="288" t="s">
        <v>139</v>
      </c>
      <c r="BC252" s="288" t="s">
        <v>2192</v>
      </c>
      <c r="BD252" s="280"/>
      <c r="BE252" s="280"/>
      <c r="BF252" s="280"/>
      <c r="BG252" s="280"/>
    </row>
    <row r="253" spans="1:59" ht="45" customHeight="1">
      <c r="A253" s="271">
        <f t="shared" si="3"/>
        <v>252</v>
      </c>
      <c r="B253" s="284" t="s">
        <v>2806</v>
      </c>
      <c r="C253" s="270" t="s">
        <v>3803</v>
      </c>
      <c r="D253" s="270" t="s">
        <v>8</v>
      </c>
      <c r="E253" s="270" t="s">
        <v>9</v>
      </c>
      <c r="F253" s="270" t="s">
        <v>1745</v>
      </c>
      <c r="G253" s="302">
        <v>45094</v>
      </c>
      <c r="K253" s="306">
        <v>45094</v>
      </c>
      <c r="L253" s="270" t="s">
        <v>2193</v>
      </c>
      <c r="M253" s="270" t="s">
        <v>115</v>
      </c>
      <c r="N253" s="272" t="s">
        <v>2479</v>
      </c>
      <c r="O253" s="270" t="s">
        <v>2479</v>
      </c>
      <c r="P253" s="270" t="s">
        <v>1555</v>
      </c>
      <c r="Q253" s="270" t="s">
        <v>2198</v>
      </c>
      <c r="R253" s="306">
        <v>44992.540717592594</v>
      </c>
      <c r="S253" s="285">
        <v>2023</v>
      </c>
      <c r="T253" s="270" t="s">
        <v>2194</v>
      </c>
      <c r="U253" s="270" t="s">
        <v>678</v>
      </c>
      <c r="V253" s="270" t="s">
        <v>679</v>
      </c>
      <c r="W253" s="270" t="s">
        <v>145</v>
      </c>
      <c r="X253" s="270" t="s">
        <v>309</v>
      </c>
      <c r="Y253" s="273">
        <v>45078</v>
      </c>
      <c r="Z253" s="288" t="s">
        <v>1875</v>
      </c>
      <c r="AA253" s="288" t="s">
        <v>2479</v>
      </c>
      <c r="AB253" s="288" t="s">
        <v>139</v>
      </c>
      <c r="AC253" s="288" t="s">
        <v>1875</v>
      </c>
      <c r="AD253" s="288" t="s">
        <v>1805</v>
      </c>
      <c r="AE253" s="288" t="s">
        <v>1805</v>
      </c>
      <c r="AF253" s="288" t="s">
        <v>2479</v>
      </c>
      <c r="AG253" s="288" t="s">
        <v>2479</v>
      </c>
      <c r="AH253" s="288" t="s">
        <v>2479</v>
      </c>
      <c r="AI253" s="288" t="s">
        <v>2479</v>
      </c>
      <c r="AJ253" s="303" t="s">
        <v>2191</v>
      </c>
      <c r="AK253" s="288" t="s">
        <v>2479</v>
      </c>
      <c r="AL253" s="303" t="s">
        <v>2190</v>
      </c>
      <c r="AM253" s="288" t="s">
        <v>1975</v>
      </c>
      <c r="AN253" s="207" t="b">
        <v>0</v>
      </c>
      <c r="AY253" s="288" t="s">
        <v>2479</v>
      </c>
      <c r="AZ253" s="288" t="s">
        <v>2479</v>
      </c>
      <c r="BA253" s="288" t="s">
        <v>373</v>
      </c>
      <c r="BB253" s="288" t="s">
        <v>139</v>
      </c>
      <c r="BC253" s="288" t="s">
        <v>2192</v>
      </c>
      <c r="BD253" s="280"/>
      <c r="BE253" s="280"/>
      <c r="BF253" s="280"/>
      <c r="BG253" s="280"/>
    </row>
    <row r="254" spans="1:59" ht="45" customHeight="1">
      <c r="A254" s="271">
        <f t="shared" si="3"/>
        <v>253</v>
      </c>
      <c r="B254" s="284" t="s">
        <v>2808</v>
      </c>
      <c r="C254" s="270" t="s">
        <v>3804</v>
      </c>
      <c r="D254" s="270" t="s">
        <v>8</v>
      </c>
      <c r="E254" s="270" t="s">
        <v>9</v>
      </c>
      <c r="F254" s="270" t="s">
        <v>1745</v>
      </c>
      <c r="G254" s="302">
        <v>45090</v>
      </c>
      <c r="K254" s="306">
        <v>45090</v>
      </c>
      <c r="L254" s="270" t="s">
        <v>2193</v>
      </c>
      <c r="M254" s="270" t="s">
        <v>115</v>
      </c>
      <c r="N254" s="272" t="s">
        <v>2479</v>
      </c>
      <c r="O254" s="270" t="s">
        <v>2479</v>
      </c>
      <c r="P254" s="270" t="s">
        <v>1555</v>
      </c>
      <c r="Q254" s="270" t="s">
        <v>2198</v>
      </c>
      <c r="R254" s="306">
        <v>44992.535057870373</v>
      </c>
      <c r="S254" s="285">
        <v>2023</v>
      </c>
      <c r="T254" s="270" t="s">
        <v>2194</v>
      </c>
      <c r="U254" s="270" t="s">
        <v>678</v>
      </c>
      <c r="V254" s="270" t="s">
        <v>679</v>
      </c>
      <c r="W254" s="270" t="s">
        <v>145</v>
      </c>
      <c r="X254" s="270" t="s">
        <v>309</v>
      </c>
      <c r="Y254" s="273">
        <v>45078</v>
      </c>
      <c r="Z254" s="288" t="s">
        <v>1875</v>
      </c>
      <c r="AA254" s="288" t="s">
        <v>2479</v>
      </c>
      <c r="AB254" s="288" t="s">
        <v>139</v>
      </c>
      <c r="AC254" s="288" t="s">
        <v>1875</v>
      </c>
      <c r="AD254" s="288" t="s">
        <v>1805</v>
      </c>
      <c r="AE254" s="288" t="s">
        <v>1805</v>
      </c>
      <c r="AF254" s="288" t="s">
        <v>2479</v>
      </c>
      <c r="AG254" s="288" t="s">
        <v>2479</v>
      </c>
      <c r="AH254" s="288" t="s">
        <v>2479</v>
      </c>
      <c r="AI254" s="288" t="s">
        <v>2479</v>
      </c>
      <c r="AJ254" s="303" t="s">
        <v>2191</v>
      </c>
      <c r="AK254" s="288" t="s">
        <v>2479</v>
      </c>
      <c r="AL254" s="303" t="s">
        <v>2190</v>
      </c>
      <c r="AM254" s="288" t="s">
        <v>1975</v>
      </c>
      <c r="AN254" s="207" t="b">
        <v>0</v>
      </c>
      <c r="AY254" s="288" t="s">
        <v>2479</v>
      </c>
      <c r="AZ254" s="288" t="s">
        <v>2479</v>
      </c>
      <c r="BA254" s="288" t="s">
        <v>373</v>
      </c>
      <c r="BB254" s="288" t="s">
        <v>139</v>
      </c>
      <c r="BC254" s="288" t="s">
        <v>2192</v>
      </c>
      <c r="BD254" s="280"/>
      <c r="BE254" s="280"/>
      <c r="BF254" s="280"/>
      <c r="BG254" s="280"/>
    </row>
    <row r="255" spans="1:59" ht="45" customHeight="1">
      <c r="A255" s="271">
        <f t="shared" si="3"/>
        <v>254</v>
      </c>
      <c r="B255" s="284" t="s">
        <v>3805</v>
      </c>
      <c r="C255" s="270" t="s">
        <v>3806</v>
      </c>
      <c r="D255" s="270" t="s">
        <v>8</v>
      </c>
      <c r="E255" s="270" t="s">
        <v>9</v>
      </c>
      <c r="F255" s="270" t="s">
        <v>1745</v>
      </c>
      <c r="G255" s="302">
        <v>45082</v>
      </c>
      <c r="K255" s="306">
        <v>45096</v>
      </c>
      <c r="L255" s="270" t="s">
        <v>2193</v>
      </c>
      <c r="M255" s="270" t="s">
        <v>115</v>
      </c>
      <c r="N255" s="272" t="s">
        <v>2479</v>
      </c>
      <c r="O255" s="270" t="s">
        <v>2479</v>
      </c>
      <c r="P255" s="270" t="s">
        <v>1555</v>
      </c>
      <c r="Q255" s="270" t="s">
        <v>2198</v>
      </c>
      <c r="R255" s="306">
        <v>44992.541180555556</v>
      </c>
      <c r="S255" s="285">
        <v>2023</v>
      </c>
      <c r="T255" s="270" t="s">
        <v>2194</v>
      </c>
      <c r="U255" s="270" t="s">
        <v>678</v>
      </c>
      <c r="V255" s="270" t="s">
        <v>679</v>
      </c>
      <c r="W255" s="270" t="s">
        <v>145</v>
      </c>
      <c r="X255" s="270" t="s">
        <v>309</v>
      </c>
      <c r="Y255" s="273">
        <v>45078</v>
      </c>
      <c r="Z255" s="288" t="s">
        <v>1875</v>
      </c>
      <c r="AA255" s="288" t="s">
        <v>2479</v>
      </c>
      <c r="AB255" s="288" t="s">
        <v>139</v>
      </c>
      <c r="AC255" s="288" t="s">
        <v>1875</v>
      </c>
      <c r="AD255" s="288" t="s">
        <v>1805</v>
      </c>
      <c r="AE255" s="288" t="s">
        <v>1805</v>
      </c>
      <c r="AF255" s="288" t="s">
        <v>2479</v>
      </c>
      <c r="AG255" s="288" t="s">
        <v>2479</v>
      </c>
      <c r="AH255" s="288" t="s">
        <v>2479</v>
      </c>
      <c r="AI255" s="288" t="s">
        <v>2479</v>
      </c>
      <c r="AJ255" s="303" t="s">
        <v>2191</v>
      </c>
      <c r="AK255" s="288" t="s">
        <v>2479</v>
      </c>
      <c r="AL255" s="303" t="s">
        <v>2190</v>
      </c>
      <c r="AM255" s="288" t="s">
        <v>1975</v>
      </c>
      <c r="AN255" s="207" t="b">
        <v>0</v>
      </c>
      <c r="AY255" s="288" t="s">
        <v>2479</v>
      </c>
      <c r="AZ255" s="288" t="s">
        <v>2479</v>
      </c>
      <c r="BA255" s="288" t="s">
        <v>373</v>
      </c>
      <c r="BB255" s="288" t="s">
        <v>139</v>
      </c>
      <c r="BC255" s="288" t="s">
        <v>2192</v>
      </c>
      <c r="BD255" s="280"/>
      <c r="BE255" s="280"/>
      <c r="BF255" s="280"/>
      <c r="BG255" s="280"/>
    </row>
    <row r="256" spans="1:59" ht="45" customHeight="1">
      <c r="A256" s="271">
        <f t="shared" si="3"/>
        <v>255</v>
      </c>
      <c r="B256" s="343" t="s">
        <v>2446</v>
      </c>
      <c r="C256" s="348" t="s">
        <v>2447</v>
      </c>
      <c r="D256" s="345" t="s">
        <v>8</v>
      </c>
      <c r="E256" s="345" t="s">
        <v>9</v>
      </c>
      <c r="F256" s="37" t="s">
        <v>1768</v>
      </c>
      <c r="G256" s="337">
        <v>44370</v>
      </c>
      <c r="H256" s="337"/>
      <c r="I256" s="337"/>
      <c r="J256" s="345"/>
      <c r="K256" s="337"/>
      <c r="L256" s="215"/>
      <c r="M256" s="345"/>
      <c r="N256" s="345" t="s">
        <v>122</v>
      </c>
      <c r="O256" s="345"/>
      <c r="P256" s="349" t="s">
        <v>1554</v>
      </c>
      <c r="Q256" s="349" t="s">
        <v>2198</v>
      </c>
      <c r="R256" s="339">
        <v>44571.593368055554</v>
      </c>
      <c r="S256" s="215">
        <v>2021</v>
      </c>
      <c r="T256" s="215" t="s">
        <v>2001</v>
      </c>
      <c r="U256" s="350" t="s">
        <v>678</v>
      </c>
      <c r="V256" s="350" t="s">
        <v>679</v>
      </c>
      <c r="W256" s="17" t="s">
        <v>145</v>
      </c>
      <c r="X256" s="350" t="s">
        <v>309</v>
      </c>
      <c r="Y256" s="347">
        <v>45078</v>
      </c>
      <c r="Z256" s="171" t="s">
        <v>1875</v>
      </c>
      <c r="AA256" s="171"/>
      <c r="AB256" s="17" t="s">
        <v>139</v>
      </c>
      <c r="AC256" s="17" t="s">
        <v>1875</v>
      </c>
      <c r="AD256" s="17" t="s">
        <v>1805</v>
      </c>
      <c r="AE256" s="17" t="s">
        <v>1805</v>
      </c>
      <c r="AF256" s="171"/>
      <c r="AG256" s="171"/>
      <c r="AH256" s="17"/>
      <c r="AI256" s="17"/>
      <c r="AJ256" s="17" t="s">
        <v>2191</v>
      </c>
      <c r="AK256" s="17"/>
      <c r="AL256" s="17" t="s">
        <v>2190</v>
      </c>
      <c r="AM256" s="17" t="s">
        <v>1975</v>
      </c>
      <c r="AN256" s="17" t="b">
        <v>0</v>
      </c>
      <c r="AO256" s="341"/>
      <c r="AP256" s="142"/>
      <c r="AQ256" s="142"/>
      <c r="AR256" s="142"/>
      <c r="AS256" s="142"/>
      <c r="AT256" s="342"/>
      <c r="AU256" s="17"/>
      <c r="AV256" s="341"/>
      <c r="AW256" s="17"/>
      <c r="AX256" s="17"/>
      <c r="AY256" s="17"/>
      <c r="AZ256" s="17"/>
      <c r="BA256" s="17" t="s">
        <v>373</v>
      </c>
      <c r="BB256" s="17" t="s">
        <v>1610</v>
      </c>
      <c r="BC256" s="17" t="s">
        <v>2192</v>
      </c>
      <c r="BD256" s="280"/>
      <c r="BE256" s="280"/>
      <c r="BF256" s="280"/>
      <c r="BG256" s="280"/>
    </row>
    <row r="257" spans="1:59" ht="45" customHeight="1">
      <c r="A257" s="271">
        <f t="shared" si="3"/>
        <v>256</v>
      </c>
      <c r="B257" s="284" t="s">
        <v>3573</v>
      </c>
      <c r="C257" s="270" t="s">
        <v>3574</v>
      </c>
      <c r="D257" s="270" t="s">
        <v>8</v>
      </c>
      <c r="E257" s="270" t="s">
        <v>9</v>
      </c>
      <c r="F257" s="270" t="s">
        <v>1768</v>
      </c>
      <c r="G257" s="302">
        <v>44991</v>
      </c>
      <c r="L257" s="270" t="s">
        <v>2479</v>
      </c>
      <c r="M257" s="270" t="s">
        <v>2479</v>
      </c>
      <c r="N257" s="272" t="s">
        <v>122</v>
      </c>
      <c r="O257" s="270" t="s">
        <v>2479</v>
      </c>
      <c r="P257" s="270" t="s">
        <v>1554</v>
      </c>
      <c r="Q257" s="270" t="s">
        <v>2198</v>
      </c>
      <c r="R257" s="306">
        <v>44930.436585648145</v>
      </c>
      <c r="S257" s="285">
        <v>2023</v>
      </c>
      <c r="T257" s="270" t="s">
        <v>2001</v>
      </c>
      <c r="U257" s="270" t="s">
        <v>678</v>
      </c>
      <c r="V257" s="270" t="s">
        <v>679</v>
      </c>
      <c r="W257" s="270" t="s">
        <v>145</v>
      </c>
      <c r="X257" s="270" t="s">
        <v>309</v>
      </c>
      <c r="Y257" s="273">
        <v>45078</v>
      </c>
      <c r="Z257" s="288" t="s">
        <v>1875</v>
      </c>
      <c r="AA257" s="288" t="s">
        <v>2479</v>
      </c>
      <c r="AB257" s="288" t="s">
        <v>139</v>
      </c>
      <c r="AC257" s="288" t="s">
        <v>1875</v>
      </c>
      <c r="AD257" s="288" t="s">
        <v>1805</v>
      </c>
      <c r="AE257" s="288" t="s">
        <v>1805</v>
      </c>
      <c r="AF257" s="288" t="s">
        <v>2479</v>
      </c>
      <c r="AG257" s="288" t="s">
        <v>2479</v>
      </c>
      <c r="AH257" s="288" t="s">
        <v>2479</v>
      </c>
      <c r="AI257" s="288" t="s">
        <v>2479</v>
      </c>
      <c r="AJ257" s="303" t="s">
        <v>2191</v>
      </c>
      <c r="AK257" s="288" t="s">
        <v>2479</v>
      </c>
      <c r="AL257" s="303" t="s">
        <v>2190</v>
      </c>
      <c r="AM257" s="288" t="s">
        <v>1975</v>
      </c>
      <c r="AN257" s="207" t="b">
        <v>0</v>
      </c>
      <c r="AY257" s="288" t="s">
        <v>2479</v>
      </c>
      <c r="AZ257" s="288" t="s">
        <v>2479</v>
      </c>
      <c r="BA257" s="288" t="s">
        <v>373</v>
      </c>
      <c r="BB257" s="288" t="s">
        <v>1610</v>
      </c>
      <c r="BC257" s="288" t="s">
        <v>2192</v>
      </c>
      <c r="BD257" s="280"/>
      <c r="BE257" s="280"/>
      <c r="BF257" s="280"/>
      <c r="BG257" s="280"/>
    </row>
    <row r="258" spans="1:59" ht="45" customHeight="1">
      <c r="A258" s="271">
        <f t="shared" si="3"/>
        <v>257</v>
      </c>
      <c r="B258" s="284" t="s">
        <v>3362</v>
      </c>
      <c r="C258" s="270" t="s">
        <v>3363</v>
      </c>
      <c r="D258" s="270" t="s">
        <v>8</v>
      </c>
      <c r="E258" s="270" t="s">
        <v>9</v>
      </c>
      <c r="F258" s="270" t="s">
        <v>1770</v>
      </c>
      <c r="G258" s="302">
        <v>44950</v>
      </c>
      <c r="L258" s="270" t="s">
        <v>2479</v>
      </c>
      <c r="M258" s="270" t="s">
        <v>2479</v>
      </c>
      <c r="N258" s="272" t="s">
        <v>122</v>
      </c>
      <c r="O258" s="270" t="s">
        <v>2479</v>
      </c>
      <c r="P258" s="270" t="s">
        <v>1554</v>
      </c>
      <c r="Q258" s="270" t="s">
        <v>2198</v>
      </c>
      <c r="R258" s="306" t="s">
        <v>3364</v>
      </c>
      <c r="S258" s="285">
        <v>2023</v>
      </c>
      <c r="T258" s="270" t="s">
        <v>2001</v>
      </c>
      <c r="U258" s="270" t="s">
        <v>678</v>
      </c>
      <c r="V258" s="270" t="s">
        <v>679</v>
      </c>
      <c r="W258" s="270" t="s">
        <v>145</v>
      </c>
      <c r="X258" s="270" t="s">
        <v>309</v>
      </c>
      <c r="Y258" s="273">
        <v>45078</v>
      </c>
      <c r="Z258" s="288" t="s">
        <v>1875</v>
      </c>
      <c r="AA258" s="288" t="s">
        <v>2479</v>
      </c>
      <c r="AB258" s="288" t="s">
        <v>139</v>
      </c>
      <c r="AC258" s="288" t="s">
        <v>1875</v>
      </c>
      <c r="AD258" s="288" t="s">
        <v>1805</v>
      </c>
      <c r="AE258" s="288" t="s">
        <v>1805</v>
      </c>
      <c r="AF258" s="288" t="s">
        <v>2479</v>
      </c>
      <c r="AG258" s="288" t="s">
        <v>2479</v>
      </c>
      <c r="AH258" s="288" t="s">
        <v>2479</v>
      </c>
      <c r="AI258" s="288" t="s">
        <v>2479</v>
      </c>
      <c r="AJ258" s="303" t="s">
        <v>2191</v>
      </c>
      <c r="AK258" s="288" t="s">
        <v>2479</v>
      </c>
      <c r="AL258" s="303" t="s">
        <v>2190</v>
      </c>
      <c r="AM258" s="288" t="s">
        <v>1975</v>
      </c>
      <c r="AN258" s="207" t="b">
        <v>0</v>
      </c>
      <c r="AY258" s="288" t="s">
        <v>2479</v>
      </c>
      <c r="AZ258" s="288" t="s">
        <v>2479</v>
      </c>
      <c r="BA258" s="288" t="s">
        <v>373</v>
      </c>
      <c r="BB258" s="288" t="s">
        <v>1610</v>
      </c>
      <c r="BC258" s="288" t="s">
        <v>2192</v>
      </c>
      <c r="BD258" s="280"/>
      <c r="BE258" s="280"/>
      <c r="BF258" s="280"/>
      <c r="BG258" s="280"/>
    </row>
    <row r="259" spans="1:59" ht="45" customHeight="1">
      <c r="A259" s="271">
        <f t="shared" ref="A259:A322" si="4">ROW()-1</f>
        <v>258</v>
      </c>
      <c r="B259" s="343" t="s">
        <v>2456</v>
      </c>
      <c r="C259" s="348" t="s">
        <v>2455</v>
      </c>
      <c r="D259" s="345" t="s">
        <v>8</v>
      </c>
      <c r="E259" s="345" t="s">
        <v>9</v>
      </c>
      <c r="F259" s="37" t="s">
        <v>1771</v>
      </c>
      <c r="G259" s="337">
        <v>44095</v>
      </c>
      <c r="H259" s="337"/>
      <c r="I259" s="337"/>
      <c r="J259" s="345"/>
      <c r="K259" s="337"/>
      <c r="L259" s="215"/>
      <c r="M259" s="345"/>
      <c r="N259" s="345" t="s">
        <v>122</v>
      </c>
      <c r="O259" s="345"/>
      <c r="P259" s="349" t="s">
        <v>1554</v>
      </c>
      <c r="Q259" s="349" t="s">
        <v>2198</v>
      </c>
      <c r="R259" s="339">
        <v>44571.59888888889</v>
      </c>
      <c r="S259" s="215">
        <v>2020</v>
      </c>
      <c r="T259" s="215" t="s">
        <v>2001</v>
      </c>
      <c r="U259" s="350" t="s">
        <v>678</v>
      </c>
      <c r="V259" s="350" t="s">
        <v>679</v>
      </c>
      <c r="W259" s="17" t="s">
        <v>145</v>
      </c>
      <c r="X259" s="350" t="s">
        <v>309</v>
      </c>
      <c r="Y259" s="347">
        <v>45078</v>
      </c>
      <c r="Z259" s="171" t="s">
        <v>1875</v>
      </c>
      <c r="AA259" s="171"/>
      <c r="AB259" s="17" t="s">
        <v>139</v>
      </c>
      <c r="AC259" s="17" t="s">
        <v>1875</v>
      </c>
      <c r="AD259" s="17" t="s">
        <v>1805</v>
      </c>
      <c r="AE259" s="17" t="s">
        <v>1805</v>
      </c>
      <c r="AF259" s="171"/>
      <c r="AG259" s="171"/>
      <c r="AH259" s="17"/>
      <c r="AI259" s="17"/>
      <c r="AJ259" s="17" t="s">
        <v>2191</v>
      </c>
      <c r="AK259" s="17"/>
      <c r="AL259" s="17" t="s">
        <v>2190</v>
      </c>
      <c r="AM259" s="17" t="s">
        <v>1975</v>
      </c>
      <c r="AN259" s="17" t="b">
        <v>0</v>
      </c>
      <c r="AO259" s="341"/>
      <c r="AP259" s="142"/>
      <c r="AQ259" s="142"/>
      <c r="AR259" s="142"/>
      <c r="AS259" s="142"/>
      <c r="AT259" s="342"/>
      <c r="AU259" s="17"/>
      <c r="AV259" s="341"/>
      <c r="AW259" s="17"/>
      <c r="AX259" s="17"/>
      <c r="AY259" s="17"/>
      <c r="AZ259" s="17"/>
      <c r="BA259" s="17" t="s">
        <v>373</v>
      </c>
      <c r="BB259" s="17" t="s">
        <v>1610</v>
      </c>
      <c r="BC259" s="17" t="s">
        <v>2192</v>
      </c>
      <c r="BD259" s="280"/>
      <c r="BE259" s="280"/>
      <c r="BF259" s="280"/>
      <c r="BG259" s="280"/>
    </row>
    <row r="260" spans="1:59" ht="45" customHeight="1">
      <c r="A260" s="271">
        <f t="shared" si="4"/>
        <v>259</v>
      </c>
      <c r="B260" s="343" t="s">
        <v>2463</v>
      </c>
      <c r="C260" s="348" t="s">
        <v>2464</v>
      </c>
      <c r="D260" s="345" t="s">
        <v>8</v>
      </c>
      <c r="E260" s="345" t="s">
        <v>9</v>
      </c>
      <c r="F260" s="37" t="s">
        <v>1771</v>
      </c>
      <c r="G260" s="337">
        <v>44126</v>
      </c>
      <c r="H260" s="337"/>
      <c r="I260" s="337"/>
      <c r="J260" s="345"/>
      <c r="K260" s="337"/>
      <c r="L260" s="339"/>
      <c r="M260" s="345"/>
      <c r="N260" s="345" t="s">
        <v>122</v>
      </c>
      <c r="O260" s="345"/>
      <c r="P260" s="349" t="s">
        <v>1554</v>
      </c>
      <c r="Q260" s="349" t="s">
        <v>2198</v>
      </c>
      <c r="R260" s="339">
        <v>44571.604837962965</v>
      </c>
      <c r="S260" s="215">
        <v>2020</v>
      </c>
      <c r="T260" s="349" t="s">
        <v>2001</v>
      </c>
      <c r="U260" s="350" t="s">
        <v>678</v>
      </c>
      <c r="V260" s="350" t="s">
        <v>679</v>
      </c>
      <c r="W260" s="350" t="s">
        <v>145</v>
      </c>
      <c r="X260" s="350" t="s">
        <v>309</v>
      </c>
      <c r="Y260" s="347">
        <v>45078</v>
      </c>
      <c r="Z260" s="171" t="s">
        <v>1875</v>
      </c>
      <c r="AA260" s="171"/>
      <c r="AB260" s="17" t="s">
        <v>139</v>
      </c>
      <c r="AC260" s="17" t="s">
        <v>1875</v>
      </c>
      <c r="AD260" s="17" t="s">
        <v>1805</v>
      </c>
      <c r="AE260" s="17" t="s">
        <v>1805</v>
      </c>
      <c r="AF260" s="171"/>
      <c r="AG260" s="171"/>
      <c r="AH260" s="17"/>
      <c r="AI260" s="17"/>
      <c r="AJ260" s="17" t="s">
        <v>2191</v>
      </c>
      <c r="AK260" s="17"/>
      <c r="AL260" s="17" t="s">
        <v>2190</v>
      </c>
      <c r="AM260" s="17" t="s">
        <v>1975</v>
      </c>
      <c r="AN260" s="17" t="b">
        <v>0</v>
      </c>
      <c r="AO260" s="341"/>
      <c r="AP260" s="142"/>
      <c r="AQ260" s="142"/>
      <c r="AR260" s="142"/>
      <c r="AS260" s="142"/>
      <c r="AT260" s="342"/>
      <c r="AU260" s="17"/>
      <c r="AV260" s="341"/>
      <c r="AW260" s="17"/>
      <c r="AX260" s="17"/>
      <c r="AY260" s="17"/>
      <c r="AZ260" s="17"/>
      <c r="BA260" s="17" t="s">
        <v>373</v>
      </c>
      <c r="BB260" s="17" t="s">
        <v>1610</v>
      </c>
      <c r="BC260" s="17" t="s">
        <v>2192</v>
      </c>
      <c r="BD260" s="280"/>
      <c r="BE260" s="280"/>
      <c r="BF260" s="280"/>
      <c r="BG260" s="280"/>
    </row>
    <row r="261" spans="1:59" ht="45" customHeight="1">
      <c r="A261" s="271">
        <f t="shared" si="4"/>
        <v>260</v>
      </c>
      <c r="B261" s="343" t="s">
        <v>2465</v>
      </c>
      <c r="C261" s="348" t="s">
        <v>2466</v>
      </c>
      <c r="D261" s="345" t="s">
        <v>8</v>
      </c>
      <c r="E261" s="345" t="s">
        <v>9</v>
      </c>
      <c r="F261" s="37" t="s">
        <v>1771</v>
      </c>
      <c r="G261" s="337">
        <v>44141</v>
      </c>
      <c r="H261" s="337"/>
      <c r="I261" s="337"/>
      <c r="J261" s="345"/>
      <c r="K261" s="337"/>
      <c r="L261" s="339"/>
      <c r="M261" s="345"/>
      <c r="N261" s="345" t="s">
        <v>122</v>
      </c>
      <c r="O261" s="345"/>
      <c r="P261" s="349" t="s">
        <v>1554</v>
      </c>
      <c r="Q261" s="349" t="s">
        <v>2198</v>
      </c>
      <c r="R261" s="339">
        <v>44571.60527777778</v>
      </c>
      <c r="S261" s="215">
        <v>2020</v>
      </c>
      <c r="T261" s="349" t="s">
        <v>2001</v>
      </c>
      <c r="U261" s="350" t="s">
        <v>678</v>
      </c>
      <c r="V261" s="350" t="s">
        <v>679</v>
      </c>
      <c r="W261" s="350" t="s">
        <v>145</v>
      </c>
      <c r="X261" s="350" t="s">
        <v>309</v>
      </c>
      <c r="Y261" s="347">
        <v>45078</v>
      </c>
      <c r="Z261" s="171" t="s">
        <v>1875</v>
      </c>
      <c r="AA261" s="171"/>
      <c r="AB261" s="17" t="s">
        <v>139</v>
      </c>
      <c r="AC261" s="17" t="s">
        <v>1875</v>
      </c>
      <c r="AD261" s="17" t="s">
        <v>1805</v>
      </c>
      <c r="AE261" s="17" t="s">
        <v>1805</v>
      </c>
      <c r="AF261" s="171"/>
      <c r="AG261" s="171"/>
      <c r="AH261" s="17"/>
      <c r="AI261" s="17"/>
      <c r="AJ261" s="17" t="s">
        <v>2191</v>
      </c>
      <c r="AK261" s="17"/>
      <c r="AL261" s="17" t="s">
        <v>2190</v>
      </c>
      <c r="AM261" s="17" t="s">
        <v>1975</v>
      </c>
      <c r="AN261" s="17" t="b">
        <v>0</v>
      </c>
      <c r="AO261" s="341"/>
      <c r="AP261" s="142"/>
      <c r="AQ261" s="142"/>
      <c r="AR261" s="142"/>
      <c r="AS261" s="142"/>
      <c r="AT261" s="342"/>
      <c r="AU261" s="17"/>
      <c r="AV261" s="341"/>
      <c r="AW261" s="17"/>
      <c r="AX261" s="17"/>
      <c r="AY261" s="17"/>
      <c r="AZ261" s="17"/>
      <c r="BA261" s="17" t="s">
        <v>373</v>
      </c>
      <c r="BB261" s="17" t="s">
        <v>1610</v>
      </c>
      <c r="BC261" s="17" t="s">
        <v>2192</v>
      </c>
      <c r="BD261" s="280"/>
      <c r="BE261" s="280"/>
      <c r="BF261" s="280"/>
      <c r="BG261" s="280"/>
    </row>
    <row r="262" spans="1:59" ht="45" customHeight="1">
      <c r="A262" s="271">
        <f t="shared" si="4"/>
        <v>261</v>
      </c>
      <c r="B262" s="343" t="s">
        <v>2467</v>
      </c>
      <c r="C262" s="348" t="s">
        <v>2468</v>
      </c>
      <c r="D262" s="345" t="s">
        <v>8</v>
      </c>
      <c r="E262" s="345" t="s">
        <v>9</v>
      </c>
      <c r="F262" s="37" t="s">
        <v>1771</v>
      </c>
      <c r="G262" s="337">
        <v>44151</v>
      </c>
      <c r="H262" s="337"/>
      <c r="I262" s="337"/>
      <c r="J262" s="345"/>
      <c r="K262" s="337"/>
      <c r="L262" s="339"/>
      <c r="M262" s="345"/>
      <c r="N262" s="345" t="s">
        <v>122</v>
      </c>
      <c r="O262" s="345"/>
      <c r="P262" s="349" t="s">
        <v>1554</v>
      </c>
      <c r="Q262" s="349" t="s">
        <v>2198</v>
      </c>
      <c r="R262" s="339">
        <v>44571.605694444443</v>
      </c>
      <c r="S262" s="215">
        <v>2020</v>
      </c>
      <c r="T262" s="349" t="s">
        <v>2001</v>
      </c>
      <c r="U262" s="350" t="s">
        <v>678</v>
      </c>
      <c r="V262" s="350" t="s">
        <v>679</v>
      </c>
      <c r="W262" s="350" t="s">
        <v>145</v>
      </c>
      <c r="X262" s="350" t="s">
        <v>309</v>
      </c>
      <c r="Y262" s="347">
        <v>45078</v>
      </c>
      <c r="Z262" s="171" t="s">
        <v>1875</v>
      </c>
      <c r="AA262" s="171"/>
      <c r="AB262" s="17" t="s">
        <v>139</v>
      </c>
      <c r="AC262" s="17" t="s">
        <v>1875</v>
      </c>
      <c r="AD262" s="17" t="s">
        <v>1805</v>
      </c>
      <c r="AE262" s="17" t="s">
        <v>1805</v>
      </c>
      <c r="AF262" s="171"/>
      <c r="AG262" s="171"/>
      <c r="AH262" s="17"/>
      <c r="AI262" s="17"/>
      <c r="AJ262" s="17" t="s">
        <v>2191</v>
      </c>
      <c r="AK262" s="17"/>
      <c r="AL262" s="17" t="s">
        <v>2190</v>
      </c>
      <c r="AM262" s="17" t="s">
        <v>1975</v>
      </c>
      <c r="AN262" s="17" t="b">
        <v>0</v>
      </c>
      <c r="AO262" s="341"/>
      <c r="AP262" s="142"/>
      <c r="AQ262" s="142"/>
      <c r="AR262" s="142"/>
      <c r="AS262" s="142"/>
      <c r="AT262" s="342"/>
      <c r="AU262" s="17"/>
      <c r="AV262" s="341"/>
      <c r="AW262" s="17"/>
      <c r="AX262" s="17"/>
      <c r="AY262" s="17"/>
      <c r="AZ262" s="17"/>
      <c r="BA262" s="17" t="s">
        <v>373</v>
      </c>
      <c r="BB262" s="17" t="s">
        <v>1610</v>
      </c>
      <c r="BC262" s="17" t="s">
        <v>2192</v>
      </c>
      <c r="BD262" s="280"/>
      <c r="BE262" s="280"/>
      <c r="BF262" s="280"/>
      <c r="BG262" s="280"/>
    </row>
    <row r="263" spans="1:59" ht="45" customHeight="1">
      <c r="A263" s="271">
        <f t="shared" si="4"/>
        <v>262</v>
      </c>
      <c r="B263" s="343" t="s">
        <v>2469</v>
      </c>
      <c r="C263" s="344" t="s">
        <v>2470</v>
      </c>
      <c r="D263" s="345" t="s">
        <v>8</v>
      </c>
      <c r="E263" s="345" t="s">
        <v>9</v>
      </c>
      <c r="F263" s="37" t="s">
        <v>1771</v>
      </c>
      <c r="G263" s="337">
        <v>44152</v>
      </c>
      <c r="H263" s="337"/>
      <c r="I263" s="337"/>
      <c r="J263" s="345"/>
      <c r="K263" s="337"/>
      <c r="L263" s="345"/>
      <c r="M263" s="345"/>
      <c r="N263" s="345" t="s">
        <v>122</v>
      </c>
      <c r="O263" s="345"/>
      <c r="P263" s="345" t="s">
        <v>1554</v>
      </c>
      <c r="Q263" s="345" t="s">
        <v>2198</v>
      </c>
      <c r="R263" s="339">
        <v>44571.606238425928</v>
      </c>
      <c r="S263" s="215">
        <v>2020</v>
      </c>
      <c r="T263" s="345" t="s">
        <v>2001</v>
      </c>
      <c r="U263" s="346" t="s">
        <v>678</v>
      </c>
      <c r="V263" s="346" t="s">
        <v>679</v>
      </c>
      <c r="W263" s="346" t="s">
        <v>145</v>
      </c>
      <c r="X263" s="346" t="s">
        <v>309</v>
      </c>
      <c r="Y263" s="347">
        <v>45078</v>
      </c>
      <c r="Z263" s="17" t="s">
        <v>1875</v>
      </c>
      <c r="AA263" s="17"/>
      <c r="AB263" s="17" t="s">
        <v>139</v>
      </c>
      <c r="AC263" s="17" t="s">
        <v>1875</v>
      </c>
      <c r="AD263" s="17" t="s">
        <v>1805</v>
      </c>
      <c r="AE263" s="17" t="s">
        <v>1805</v>
      </c>
      <c r="AF263" s="17"/>
      <c r="AG263" s="17"/>
      <c r="AH263" s="17"/>
      <c r="AI263" s="17"/>
      <c r="AJ263" s="17" t="s">
        <v>2191</v>
      </c>
      <c r="AK263" s="17"/>
      <c r="AL263" s="17" t="s">
        <v>2190</v>
      </c>
      <c r="AM263" s="17" t="s">
        <v>1975</v>
      </c>
      <c r="AN263" s="17" t="b">
        <v>0</v>
      </c>
      <c r="AO263" s="341"/>
      <c r="AP263" s="142"/>
      <c r="AQ263" s="142"/>
      <c r="AR263" s="142"/>
      <c r="AS263" s="142"/>
      <c r="AT263" s="342"/>
      <c r="AU263" s="17"/>
      <c r="AV263" s="341"/>
      <c r="AW263" s="17"/>
      <c r="AX263" s="17"/>
      <c r="AY263" s="17"/>
      <c r="AZ263" s="17"/>
      <c r="BA263" s="17" t="s">
        <v>373</v>
      </c>
      <c r="BB263" s="17" t="s">
        <v>1610</v>
      </c>
      <c r="BC263" s="17" t="s">
        <v>2192</v>
      </c>
      <c r="BD263" s="280"/>
      <c r="BE263" s="280"/>
      <c r="BF263" s="280"/>
      <c r="BG263" s="280"/>
    </row>
    <row r="264" spans="1:59" ht="45" customHeight="1">
      <c r="A264" s="271">
        <f t="shared" si="4"/>
        <v>263</v>
      </c>
      <c r="B264" s="343" t="s">
        <v>2473</v>
      </c>
      <c r="C264" s="348" t="s">
        <v>2474</v>
      </c>
      <c r="D264" s="345" t="s">
        <v>8</v>
      </c>
      <c r="E264" s="345" t="s">
        <v>9</v>
      </c>
      <c r="F264" s="37" t="s">
        <v>1771</v>
      </c>
      <c r="G264" s="337">
        <v>44163</v>
      </c>
      <c r="H264" s="337"/>
      <c r="I264" s="337"/>
      <c r="J264" s="345"/>
      <c r="K264" s="337"/>
      <c r="L264" s="339"/>
      <c r="M264" s="345"/>
      <c r="N264" s="345" t="s">
        <v>122</v>
      </c>
      <c r="O264" s="345"/>
      <c r="P264" s="349" t="s">
        <v>1554</v>
      </c>
      <c r="Q264" s="349" t="s">
        <v>2198</v>
      </c>
      <c r="R264" s="339">
        <v>44571.607083333336</v>
      </c>
      <c r="S264" s="215">
        <v>2020</v>
      </c>
      <c r="T264" s="349" t="s">
        <v>2001</v>
      </c>
      <c r="U264" s="350" t="s">
        <v>678</v>
      </c>
      <c r="V264" s="350" t="s">
        <v>679</v>
      </c>
      <c r="W264" s="350" t="s">
        <v>145</v>
      </c>
      <c r="X264" s="350" t="s">
        <v>309</v>
      </c>
      <c r="Y264" s="347">
        <v>45078</v>
      </c>
      <c r="Z264" s="171" t="s">
        <v>1875</v>
      </c>
      <c r="AA264" s="171"/>
      <c r="AB264" s="17" t="s">
        <v>139</v>
      </c>
      <c r="AC264" s="17" t="s">
        <v>1875</v>
      </c>
      <c r="AD264" s="17" t="s">
        <v>1805</v>
      </c>
      <c r="AE264" s="17" t="s">
        <v>1805</v>
      </c>
      <c r="AF264" s="171"/>
      <c r="AG264" s="171"/>
      <c r="AH264" s="17"/>
      <c r="AI264" s="17"/>
      <c r="AJ264" s="17" t="s">
        <v>2191</v>
      </c>
      <c r="AK264" s="17"/>
      <c r="AL264" s="17" t="s">
        <v>2190</v>
      </c>
      <c r="AM264" s="17" t="s">
        <v>1975</v>
      </c>
      <c r="AN264" s="17" t="b">
        <v>0</v>
      </c>
      <c r="AO264" s="341"/>
      <c r="AP264" s="142"/>
      <c r="AQ264" s="142"/>
      <c r="AR264" s="142"/>
      <c r="AS264" s="142"/>
      <c r="AT264" s="342"/>
      <c r="AU264" s="17"/>
      <c r="AV264" s="341"/>
      <c r="AW264" s="17"/>
      <c r="AX264" s="17"/>
      <c r="AY264" s="17"/>
      <c r="AZ264" s="17"/>
      <c r="BA264" s="17" t="s">
        <v>373</v>
      </c>
      <c r="BB264" s="17" t="s">
        <v>1610</v>
      </c>
      <c r="BC264" s="17" t="s">
        <v>2192</v>
      </c>
      <c r="BD264" s="280"/>
      <c r="BE264" s="280"/>
      <c r="BF264" s="280"/>
      <c r="BG264" s="280"/>
    </row>
    <row r="265" spans="1:59" ht="45" customHeight="1">
      <c r="A265" s="271">
        <f t="shared" si="4"/>
        <v>264</v>
      </c>
      <c r="B265" s="343" t="s">
        <v>2475</v>
      </c>
      <c r="C265" s="348" t="s">
        <v>2476</v>
      </c>
      <c r="D265" s="345" t="s">
        <v>8</v>
      </c>
      <c r="E265" s="345" t="s">
        <v>9</v>
      </c>
      <c r="F265" s="37" t="s">
        <v>1771</v>
      </c>
      <c r="G265" s="337">
        <v>44238</v>
      </c>
      <c r="H265" s="337"/>
      <c r="I265" s="337"/>
      <c r="J265" s="345"/>
      <c r="K265" s="337"/>
      <c r="L265" s="339"/>
      <c r="M265" s="345"/>
      <c r="N265" s="345" t="s">
        <v>122</v>
      </c>
      <c r="O265" s="345"/>
      <c r="P265" s="349" t="s">
        <v>1554</v>
      </c>
      <c r="Q265" s="349" t="s">
        <v>2198</v>
      </c>
      <c r="R265" s="339">
        <v>44571.607615740744</v>
      </c>
      <c r="S265" s="215">
        <v>2021</v>
      </c>
      <c r="T265" s="349" t="s">
        <v>2001</v>
      </c>
      <c r="U265" s="350" t="s">
        <v>678</v>
      </c>
      <c r="V265" s="350" t="s">
        <v>679</v>
      </c>
      <c r="W265" s="350" t="s">
        <v>145</v>
      </c>
      <c r="X265" s="350" t="s">
        <v>309</v>
      </c>
      <c r="Y265" s="347">
        <v>45078</v>
      </c>
      <c r="Z265" s="171" t="s">
        <v>1875</v>
      </c>
      <c r="AA265" s="171"/>
      <c r="AB265" s="17" t="s">
        <v>139</v>
      </c>
      <c r="AC265" s="17" t="s">
        <v>1875</v>
      </c>
      <c r="AD265" s="17" t="s">
        <v>1805</v>
      </c>
      <c r="AE265" s="17" t="s">
        <v>1805</v>
      </c>
      <c r="AF265" s="171"/>
      <c r="AG265" s="171"/>
      <c r="AH265" s="17"/>
      <c r="AI265" s="17"/>
      <c r="AJ265" s="17" t="s">
        <v>2191</v>
      </c>
      <c r="AK265" s="17"/>
      <c r="AL265" s="17" t="s">
        <v>2190</v>
      </c>
      <c r="AM265" s="17" t="s">
        <v>1975</v>
      </c>
      <c r="AN265" s="17" t="b">
        <v>0</v>
      </c>
      <c r="AO265" s="341"/>
      <c r="AP265" s="142"/>
      <c r="AQ265" s="142"/>
      <c r="AR265" s="142"/>
      <c r="AS265" s="142"/>
      <c r="AT265" s="342"/>
      <c r="AU265" s="17"/>
      <c r="AV265" s="341"/>
      <c r="AW265" s="17"/>
      <c r="AX265" s="17"/>
      <c r="AY265" s="17"/>
      <c r="AZ265" s="17"/>
      <c r="BA265" s="17" t="s">
        <v>373</v>
      </c>
      <c r="BB265" s="17" t="s">
        <v>1610</v>
      </c>
      <c r="BC265" s="17" t="s">
        <v>2192</v>
      </c>
      <c r="BD265" s="280"/>
      <c r="BE265" s="280"/>
      <c r="BF265" s="280"/>
      <c r="BG265" s="280"/>
    </row>
    <row r="266" spans="1:59" ht="45" customHeight="1">
      <c r="A266" s="271">
        <f t="shared" si="4"/>
        <v>265</v>
      </c>
      <c r="B266" s="284" t="s">
        <v>2477</v>
      </c>
      <c r="C266" s="270" t="s">
        <v>2478</v>
      </c>
      <c r="D266" s="270" t="s">
        <v>8</v>
      </c>
      <c r="E266" s="270" t="s">
        <v>9</v>
      </c>
      <c r="F266" s="270" t="s">
        <v>1771</v>
      </c>
      <c r="G266" s="302">
        <v>44258</v>
      </c>
      <c r="L266" s="270" t="s">
        <v>2479</v>
      </c>
      <c r="M266" s="270" t="s">
        <v>2479</v>
      </c>
      <c r="N266" s="272" t="s">
        <v>122</v>
      </c>
      <c r="O266" s="270" t="s">
        <v>2479</v>
      </c>
      <c r="P266" s="270" t="s">
        <v>1554</v>
      </c>
      <c r="Q266" s="270" t="s">
        <v>2198</v>
      </c>
      <c r="R266" s="306">
        <v>44571.608101851853</v>
      </c>
      <c r="S266" s="285">
        <v>2021</v>
      </c>
      <c r="T266" s="270" t="s">
        <v>2001</v>
      </c>
      <c r="U266" s="270" t="s">
        <v>678</v>
      </c>
      <c r="V266" s="270" t="s">
        <v>679</v>
      </c>
      <c r="W266" s="270" t="s">
        <v>145</v>
      </c>
      <c r="X266" s="270" t="s">
        <v>309</v>
      </c>
      <c r="Y266" s="273">
        <v>45078</v>
      </c>
      <c r="Z266" s="288" t="s">
        <v>1875</v>
      </c>
      <c r="AA266" s="288" t="s">
        <v>2479</v>
      </c>
      <c r="AB266" s="288" t="s">
        <v>139</v>
      </c>
      <c r="AC266" s="288" t="s">
        <v>1875</v>
      </c>
      <c r="AD266" s="288" t="s">
        <v>1805</v>
      </c>
      <c r="AE266" s="288" t="s">
        <v>1805</v>
      </c>
      <c r="AF266" s="288" t="s">
        <v>2479</v>
      </c>
      <c r="AG266" s="288" t="s">
        <v>2479</v>
      </c>
      <c r="AH266" s="288" t="s">
        <v>2479</v>
      </c>
      <c r="AI266" s="288" t="s">
        <v>2479</v>
      </c>
      <c r="AJ266" s="303" t="s">
        <v>2191</v>
      </c>
      <c r="AK266" s="288" t="s">
        <v>2479</v>
      </c>
      <c r="AL266" s="303" t="s">
        <v>2190</v>
      </c>
      <c r="AM266" s="288" t="s">
        <v>1975</v>
      </c>
      <c r="AN266" s="207" t="b">
        <v>0</v>
      </c>
      <c r="AY266" s="288" t="s">
        <v>2479</v>
      </c>
      <c r="AZ266" s="288" t="s">
        <v>2479</v>
      </c>
      <c r="BA266" s="288" t="s">
        <v>373</v>
      </c>
      <c r="BB266" s="288" t="s">
        <v>1610</v>
      </c>
      <c r="BC266" s="288" t="s">
        <v>2192</v>
      </c>
      <c r="BD266" s="280"/>
      <c r="BE266" s="280"/>
      <c r="BF266" s="280"/>
      <c r="BG266" s="280"/>
    </row>
    <row r="267" spans="1:59" ht="45" customHeight="1">
      <c r="A267" s="271">
        <f t="shared" si="4"/>
        <v>266</v>
      </c>
      <c r="B267" s="284" t="s">
        <v>2480</v>
      </c>
      <c r="C267" s="270" t="s">
        <v>2481</v>
      </c>
      <c r="D267" s="270" t="s">
        <v>8</v>
      </c>
      <c r="E267" s="270" t="s">
        <v>9</v>
      </c>
      <c r="F267" s="270" t="s">
        <v>1771</v>
      </c>
      <c r="G267" s="302">
        <v>44258</v>
      </c>
      <c r="L267" s="270" t="s">
        <v>2479</v>
      </c>
      <c r="M267" s="270" t="s">
        <v>2479</v>
      </c>
      <c r="N267" s="272" t="s">
        <v>122</v>
      </c>
      <c r="O267" s="270" t="s">
        <v>2479</v>
      </c>
      <c r="P267" s="270" t="s">
        <v>1554</v>
      </c>
      <c r="Q267" s="270" t="s">
        <v>2198</v>
      </c>
      <c r="R267" s="306">
        <v>44571.608680555553</v>
      </c>
      <c r="S267" s="285">
        <v>2021</v>
      </c>
      <c r="T267" s="270" t="s">
        <v>2001</v>
      </c>
      <c r="U267" s="270" t="s">
        <v>678</v>
      </c>
      <c r="V267" s="270" t="s">
        <v>679</v>
      </c>
      <c r="W267" s="270" t="s">
        <v>145</v>
      </c>
      <c r="X267" s="270" t="s">
        <v>309</v>
      </c>
      <c r="Y267" s="273">
        <v>45078</v>
      </c>
      <c r="Z267" s="288" t="s">
        <v>1875</v>
      </c>
      <c r="AA267" s="288" t="s">
        <v>2479</v>
      </c>
      <c r="AB267" s="288" t="s">
        <v>139</v>
      </c>
      <c r="AC267" s="288" t="s">
        <v>1875</v>
      </c>
      <c r="AD267" s="288" t="s">
        <v>1805</v>
      </c>
      <c r="AE267" s="288" t="s">
        <v>1805</v>
      </c>
      <c r="AF267" s="288" t="s">
        <v>2479</v>
      </c>
      <c r="AG267" s="288" t="s">
        <v>2479</v>
      </c>
      <c r="AH267" s="288" t="s">
        <v>2479</v>
      </c>
      <c r="AI267" s="288" t="s">
        <v>2479</v>
      </c>
      <c r="AJ267" s="303" t="s">
        <v>2191</v>
      </c>
      <c r="AK267" s="288" t="s">
        <v>2479</v>
      </c>
      <c r="AL267" s="303" t="s">
        <v>2190</v>
      </c>
      <c r="AM267" s="288" t="s">
        <v>1975</v>
      </c>
      <c r="AN267" s="207" t="b">
        <v>0</v>
      </c>
      <c r="AY267" s="288" t="s">
        <v>2479</v>
      </c>
      <c r="AZ267" s="288" t="s">
        <v>2479</v>
      </c>
      <c r="BA267" s="288" t="s">
        <v>373</v>
      </c>
      <c r="BB267" s="288" t="s">
        <v>1610</v>
      </c>
      <c r="BC267" s="288" t="s">
        <v>2192</v>
      </c>
      <c r="BD267" s="280"/>
      <c r="BE267" s="280"/>
      <c r="BF267" s="280"/>
      <c r="BG267" s="280"/>
    </row>
    <row r="268" spans="1:59" ht="45" customHeight="1">
      <c r="A268" s="271">
        <f>ROW()-1</f>
        <v>267</v>
      </c>
      <c r="B268" s="284" t="s">
        <v>2482</v>
      </c>
      <c r="C268" s="270" t="s">
        <v>2483</v>
      </c>
      <c r="D268" s="270" t="s">
        <v>8</v>
      </c>
      <c r="E268" s="270" t="s">
        <v>9</v>
      </c>
      <c r="F268" s="270" t="s">
        <v>1771</v>
      </c>
      <c r="G268" s="302">
        <v>44261</v>
      </c>
      <c r="K268" s="306">
        <v>45103</v>
      </c>
      <c r="L268" s="270" t="s">
        <v>2193</v>
      </c>
      <c r="M268" s="270" t="s">
        <v>116</v>
      </c>
      <c r="N268" s="272" t="s">
        <v>2479</v>
      </c>
      <c r="O268" s="270" t="s">
        <v>2479</v>
      </c>
      <c r="P268" s="270" t="s">
        <v>1554</v>
      </c>
      <c r="Q268" s="270" t="s">
        <v>2198</v>
      </c>
      <c r="R268" s="306">
        <v>44992.60765046296</v>
      </c>
      <c r="S268" s="285">
        <v>2021</v>
      </c>
      <c r="T268" s="270" t="s">
        <v>2194</v>
      </c>
      <c r="U268" s="270" t="s">
        <v>678</v>
      </c>
      <c r="V268" s="270" t="s">
        <v>679</v>
      </c>
      <c r="W268" s="270" t="s">
        <v>145</v>
      </c>
      <c r="X268" s="270" t="s">
        <v>309</v>
      </c>
      <c r="Y268" s="273">
        <v>45078</v>
      </c>
      <c r="Z268" s="288" t="s">
        <v>1875</v>
      </c>
      <c r="AA268" s="288" t="s">
        <v>2479</v>
      </c>
      <c r="AB268" s="288" t="s">
        <v>139</v>
      </c>
      <c r="AC268" s="288" t="s">
        <v>1875</v>
      </c>
      <c r="AD268" s="288" t="s">
        <v>1805</v>
      </c>
      <c r="AE268" s="288" t="s">
        <v>1805</v>
      </c>
      <c r="AF268" s="288" t="s">
        <v>2479</v>
      </c>
      <c r="AG268" s="288" t="s">
        <v>2479</v>
      </c>
      <c r="AH268" s="288" t="s">
        <v>2479</v>
      </c>
      <c r="AI268" s="288" t="s">
        <v>2479</v>
      </c>
      <c r="AJ268" s="303" t="s">
        <v>2191</v>
      </c>
      <c r="AK268" s="288" t="s">
        <v>2479</v>
      </c>
      <c r="AL268" s="303" t="s">
        <v>2190</v>
      </c>
      <c r="AM268" s="288" t="s">
        <v>1975</v>
      </c>
      <c r="AN268" s="207" t="b">
        <v>0</v>
      </c>
      <c r="AY268" s="288" t="s">
        <v>2479</v>
      </c>
      <c r="AZ268" s="288" t="s">
        <v>2479</v>
      </c>
      <c r="BA268" s="288" t="s">
        <v>373</v>
      </c>
      <c r="BB268" s="288" t="s">
        <v>139</v>
      </c>
      <c r="BC268" s="288" t="s">
        <v>2192</v>
      </c>
      <c r="BD268" s="280"/>
      <c r="BE268" s="280"/>
      <c r="BF268" s="280"/>
      <c r="BG268" s="280"/>
    </row>
    <row r="269" spans="1:59" ht="45" customHeight="1">
      <c r="A269" s="271">
        <f>ROW()-1</f>
        <v>268</v>
      </c>
      <c r="B269" s="284" t="s">
        <v>2484</v>
      </c>
      <c r="C269" s="270" t="s">
        <v>2485</v>
      </c>
      <c r="D269" s="270" t="s">
        <v>8</v>
      </c>
      <c r="E269" s="270" t="s">
        <v>9</v>
      </c>
      <c r="F269" s="270" t="s">
        <v>1771</v>
      </c>
      <c r="G269" s="302">
        <v>44263</v>
      </c>
      <c r="L269" s="270" t="s">
        <v>2479</v>
      </c>
      <c r="M269" s="270" t="s">
        <v>2479</v>
      </c>
      <c r="N269" s="272" t="s">
        <v>122</v>
      </c>
      <c r="O269" s="270" t="s">
        <v>2479</v>
      </c>
      <c r="P269" s="270" t="s">
        <v>1554</v>
      </c>
      <c r="Q269" s="270" t="s">
        <v>2198</v>
      </c>
      <c r="R269" s="306">
        <v>44571.609756944446</v>
      </c>
      <c r="S269" s="285">
        <v>2021</v>
      </c>
      <c r="T269" s="270" t="s">
        <v>2001</v>
      </c>
      <c r="U269" s="270" t="s">
        <v>678</v>
      </c>
      <c r="V269" s="270" t="s">
        <v>679</v>
      </c>
      <c r="W269" s="270" t="s">
        <v>145</v>
      </c>
      <c r="X269" s="270" t="s">
        <v>309</v>
      </c>
      <c r="Y269" s="273">
        <v>45078</v>
      </c>
      <c r="Z269" s="288" t="s">
        <v>1875</v>
      </c>
      <c r="AA269" s="288" t="s">
        <v>2479</v>
      </c>
      <c r="AB269" s="288" t="s">
        <v>139</v>
      </c>
      <c r="AC269" s="288" t="s">
        <v>1875</v>
      </c>
      <c r="AD269" s="288" t="s">
        <v>1805</v>
      </c>
      <c r="AE269" s="288" t="s">
        <v>1805</v>
      </c>
      <c r="AF269" s="288" t="s">
        <v>2479</v>
      </c>
      <c r="AG269" s="288" t="s">
        <v>2479</v>
      </c>
      <c r="AH269" s="288" t="s">
        <v>2479</v>
      </c>
      <c r="AI269" s="288" t="s">
        <v>2479</v>
      </c>
      <c r="AJ269" s="303" t="s">
        <v>2191</v>
      </c>
      <c r="AK269" s="288" t="s">
        <v>2479</v>
      </c>
      <c r="AL269" s="303" t="s">
        <v>2190</v>
      </c>
      <c r="AM269" s="288" t="s">
        <v>1975</v>
      </c>
      <c r="AN269" s="207" t="b">
        <v>0</v>
      </c>
      <c r="AY269" s="288" t="s">
        <v>2479</v>
      </c>
      <c r="AZ269" s="288" t="s">
        <v>2479</v>
      </c>
      <c r="BA269" s="288" t="s">
        <v>373</v>
      </c>
      <c r="BB269" s="288" t="s">
        <v>1610</v>
      </c>
      <c r="BC269" s="288" t="s">
        <v>2192</v>
      </c>
    </row>
    <row r="270" spans="1:59" ht="45" customHeight="1">
      <c r="A270" s="271">
        <f>ROW()-1</f>
        <v>269</v>
      </c>
      <c r="B270" s="284" t="s">
        <v>2486</v>
      </c>
      <c r="C270" s="270" t="s">
        <v>2487</v>
      </c>
      <c r="D270" s="270" t="s">
        <v>8</v>
      </c>
      <c r="E270" s="270" t="s">
        <v>9</v>
      </c>
      <c r="F270" s="270" t="s">
        <v>1771</v>
      </c>
      <c r="G270" s="302">
        <v>44286</v>
      </c>
      <c r="L270" s="270" t="s">
        <v>2479</v>
      </c>
      <c r="M270" s="270" t="s">
        <v>2479</v>
      </c>
      <c r="N270" s="272" t="s">
        <v>122</v>
      </c>
      <c r="O270" s="270" t="s">
        <v>2479</v>
      </c>
      <c r="P270" s="270" t="s">
        <v>1554</v>
      </c>
      <c r="Q270" s="270" t="s">
        <v>2198</v>
      </c>
      <c r="R270" s="306">
        <v>44571.610243055555</v>
      </c>
      <c r="S270" s="285">
        <v>2021</v>
      </c>
      <c r="T270" s="270" t="s">
        <v>2001</v>
      </c>
      <c r="U270" s="270" t="s">
        <v>678</v>
      </c>
      <c r="V270" s="270" t="s">
        <v>679</v>
      </c>
      <c r="W270" s="270" t="s">
        <v>145</v>
      </c>
      <c r="X270" s="270" t="s">
        <v>309</v>
      </c>
      <c r="Y270" s="273">
        <v>45078</v>
      </c>
      <c r="Z270" s="288" t="s">
        <v>1875</v>
      </c>
      <c r="AA270" s="288" t="s">
        <v>2479</v>
      </c>
      <c r="AB270" s="288" t="s">
        <v>139</v>
      </c>
      <c r="AC270" s="288" t="s">
        <v>1875</v>
      </c>
      <c r="AD270" s="288" t="s">
        <v>1805</v>
      </c>
      <c r="AE270" s="288" t="s">
        <v>1805</v>
      </c>
      <c r="AF270" s="288" t="s">
        <v>2479</v>
      </c>
      <c r="AG270" s="288" t="s">
        <v>2479</v>
      </c>
      <c r="AH270" s="288" t="s">
        <v>2479</v>
      </c>
      <c r="AI270" s="288" t="s">
        <v>2479</v>
      </c>
      <c r="AJ270" s="303" t="s">
        <v>2191</v>
      </c>
      <c r="AK270" s="288" t="s">
        <v>2479</v>
      </c>
      <c r="AL270" s="303" t="s">
        <v>2190</v>
      </c>
      <c r="AM270" s="288" t="s">
        <v>1975</v>
      </c>
      <c r="AN270" s="207" t="b">
        <v>0</v>
      </c>
      <c r="AY270" s="288" t="s">
        <v>2479</v>
      </c>
      <c r="AZ270" s="288" t="s">
        <v>2479</v>
      </c>
      <c r="BA270" s="288" t="s">
        <v>373</v>
      </c>
      <c r="BB270" s="288" t="s">
        <v>1610</v>
      </c>
      <c r="BC270" s="288" t="s">
        <v>2192</v>
      </c>
    </row>
    <row r="271" spans="1:59" ht="45" customHeight="1">
      <c r="A271" s="271">
        <f t="shared" si="4"/>
        <v>270</v>
      </c>
      <c r="B271" s="284" t="s">
        <v>2449</v>
      </c>
      <c r="C271" s="270" t="s">
        <v>2488</v>
      </c>
      <c r="D271" s="270" t="s">
        <v>8</v>
      </c>
      <c r="E271" s="270" t="s">
        <v>9</v>
      </c>
      <c r="F271" s="270" t="s">
        <v>1771</v>
      </c>
      <c r="G271" s="302">
        <v>44293</v>
      </c>
      <c r="L271" s="270" t="s">
        <v>2479</v>
      </c>
      <c r="M271" s="270" t="s">
        <v>2479</v>
      </c>
      <c r="N271" s="272" t="s">
        <v>122</v>
      </c>
      <c r="O271" s="270" t="s">
        <v>2479</v>
      </c>
      <c r="P271" s="270" t="s">
        <v>1554</v>
      </c>
      <c r="Q271" s="270" t="s">
        <v>2198</v>
      </c>
      <c r="R271" s="306">
        <v>44571.611678240741</v>
      </c>
      <c r="S271" s="285">
        <v>2021</v>
      </c>
      <c r="T271" s="270" t="s">
        <v>2001</v>
      </c>
      <c r="U271" s="270" t="s">
        <v>678</v>
      </c>
      <c r="V271" s="270" t="s">
        <v>679</v>
      </c>
      <c r="W271" s="270" t="s">
        <v>145</v>
      </c>
      <c r="X271" s="270" t="s">
        <v>309</v>
      </c>
      <c r="Y271" s="273">
        <v>45078</v>
      </c>
      <c r="Z271" s="288" t="s">
        <v>1875</v>
      </c>
      <c r="AA271" s="288" t="s">
        <v>2479</v>
      </c>
      <c r="AB271" s="288" t="s">
        <v>139</v>
      </c>
      <c r="AC271" s="288" t="s">
        <v>1875</v>
      </c>
      <c r="AD271" s="288" t="s">
        <v>1805</v>
      </c>
      <c r="AE271" s="288" t="s">
        <v>1805</v>
      </c>
      <c r="AF271" s="288" t="s">
        <v>2479</v>
      </c>
      <c r="AG271" s="288" t="s">
        <v>2479</v>
      </c>
      <c r="AH271" s="288" t="s">
        <v>2479</v>
      </c>
      <c r="AI271" s="288" t="s">
        <v>2479</v>
      </c>
      <c r="AJ271" s="303" t="s">
        <v>2191</v>
      </c>
      <c r="AK271" s="288" t="s">
        <v>2479</v>
      </c>
      <c r="AL271" s="303" t="s">
        <v>2190</v>
      </c>
      <c r="AM271" s="288" t="s">
        <v>1975</v>
      </c>
      <c r="AN271" s="207" t="b">
        <v>0</v>
      </c>
      <c r="AY271" s="288" t="s">
        <v>2479</v>
      </c>
      <c r="AZ271" s="288" t="s">
        <v>2479</v>
      </c>
      <c r="BA271" s="288" t="s">
        <v>373</v>
      </c>
      <c r="BB271" s="288" t="s">
        <v>1610</v>
      </c>
      <c r="BC271" s="288" t="s">
        <v>2192</v>
      </c>
    </row>
    <row r="272" spans="1:59" ht="45" customHeight="1">
      <c r="A272" s="271">
        <f t="shared" si="4"/>
        <v>271</v>
      </c>
      <c r="B272" s="284" t="s">
        <v>2489</v>
      </c>
      <c r="C272" s="270" t="s">
        <v>2490</v>
      </c>
      <c r="D272" s="270" t="s">
        <v>8</v>
      </c>
      <c r="E272" s="270" t="s">
        <v>9</v>
      </c>
      <c r="F272" s="270" t="s">
        <v>1771</v>
      </c>
      <c r="G272" s="302">
        <v>44305</v>
      </c>
      <c r="L272" s="270" t="s">
        <v>2479</v>
      </c>
      <c r="M272" s="270" t="s">
        <v>2479</v>
      </c>
      <c r="N272" s="272" t="s">
        <v>122</v>
      </c>
      <c r="O272" s="270" t="s">
        <v>2479</v>
      </c>
      <c r="P272" s="270" t="s">
        <v>1554</v>
      </c>
      <c r="Q272" s="270" t="s">
        <v>2198</v>
      </c>
      <c r="R272" s="306">
        <v>44571.612141203703</v>
      </c>
      <c r="S272" s="285">
        <v>2021</v>
      </c>
      <c r="T272" s="270" t="s">
        <v>2001</v>
      </c>
      <c r="U272" s="270" t="s">
        <v>678</v>
      </c>
      <c r="V272" s="270" t="s">
        <v>679</v>
      </c>
      <c r="W272" s="270" t="s">
        <v>145</v>
      </c>
      <c r="X272" s="270" t="s">
        <v>309</v>
      </c>
      <c r="Y272" s="273">
        <v>45078</v>
      </c>
      <c r="Z272" s="288" t="s">
        <v>1875</v>
      </c>
      <c r="AA272" s="288" t="s">
        <v>2479</v>
      </c>
      <c r="AB272" s="288" t="s">
        <v>139</v>
      </c>
      <c r="AC272" s="288" t="s">
        <v>1875</v>
      </c>
      <c r="AD272" s="288" t="s">
        <v>1805</v>
      </c>
      <c r="AE272" s="288" t="s">
        <v>1805</v>
      </c>
      <c r="AF272" s="288" t="s">
        <v>2479</v>
      </c>
      <c r="AG272" s="288" t="s">
        <v>2479</v>
      </c>
      <c r="AH272" s="288" t="s">
        <v>2479</v>
      </c>
      <c r="AI272" s="288" t="s">
        <v>2479</v>
      </c>
      <c r="AJ272" s="303" t="s">
        <v>2191</v>
      </c>
      <c r="AK272" s="288" t="s">
        <v>2479</v>
      </c>
      <c r="AL272" s="303" t="s">
        <v>2190</v>
      </c>
      <c r="AM272" s="288" t="s">
        <v>1975</v>
      </c>
      <c r="AN272" s="207" t="b">
        <v>0</v>
      </c>
      <c r="AY272" s="288" t="s">
        <v>2479</v>
      </c>
      <c r="AZ272" s="288" t="s">
        <v>2479</v>
      </c>
      <c r="BA272" s="288" t="s">
        <v>373</v>
      </c>
      <c r="BB272" s="288" t="s">
        <v>1610</v>
      </c>
      <c r="BC272" s="288" t="s">
        <v>2192</v>
      </c>
    </row>
    <row r="273" spans="1:55" ht="45" customHeight="1">
      <c r="A273" s="271">
        <f t="shared" si="4"/>
        <v>272</v>
      </c>
      <c r="B273" s="284" t="s">
        <v>2491</v>
      </c>
      <c r="C273" s="270" t="s">
        <v>2492</v>
      </c>
      <c r="D273" s="270" t="s">
        <v>8</v>
      </c>
      <c r="E273" s="270" t="s">
        <v>9</v>
      </c>
      <c r="F273" s="270" t="s">
        <v>1771</v>
      </c>
      <c r="G273" s="302">
        <v>44305</v>
      </c>
      <c r="L273" s="270" t="s">
        <v>2479</v>
      </c>
      <c r="M273" s="270" t="s">
        <v>2479</v>
      </c>
      <c r="N273" s="272" t="s">
        <v>122</v>
      </c>
      <c r="O273" s="270" t="s">
        <v>2479</v>
      </c>
      <c r="P273" s="270" t="s">
        <v>1554</v>
      </c>
      <c r="Q273" s="270" t="s">
        <v>2198</v>
      </c>
      <c r="R273" s="306">
        <v>44571.612581018519</v>
      </c>
      <c r="S273" s="285">
        <v>2021</v>
      </c>
      <c r="T273" s="270" t="s">
        <v>2001</v>
      </c>
      <c r="U273" s="270" t="s">
        <v>678</v>
      </c>
      <c r="V273" s="270" t="s">
        <v>679</v>
      </c>
      <c r="W273" s="270" t="s">
        <v>145</v>
      </c>
      <c r="X273" s="270" t="s">
        <v>309</v>
      </c>
      <c r="Y273" s="273">
        <v>45078</v>
      </c>
      <c r="Z273" s="288" t="s">
        <v>1875</v>
      </c>
      <c r="AA273" s="288" t="s">
        <v>2479</v>
      </c>
      <c r="AB273" s="288" t="s">
        <v>139</v>
      </c>
      <c r="AC273" s="288" t="s">
        <v>1875</v>
      </c>
      <c r="AD273" s="288" t="s">
        <v>1805</v>
      </c>
      <c r="AE273" s="288" t="s">
        <v>1805</v>
      </c>
      <c r="AF273" s="288" t="s">
        <v>2479</v>
      </c>
      <c r="AG273" s="288" t="s">
        <v>2479</v>
      </c>
      <c r="AH273" s="288" t="s">
        <v>2479</v>
      </c>
      <c r="AI273" s="288" t="s">
        <v>2479</v>
      </c>
      <c r="AJ273" s="303" t="s">
        <v>2191</v>
      </c>
      <c r="AK273" s="288" t="s">
        <v>2479</v>
      </c>
      <c r="AL273" s="303" t="s">
        <v>2190</v>
      </c>
      <c r="AM273" s="288" t="s">
        <v>1975</v>
      </c>
      <c r="AN273" s="207" t="b">
        <v>0</v>
      </c>
      <c r="AY273" s="288" t="s">
        <v>2479</v>
      </c>
      <c r="AZ273" s="288" t="s">
        <v>2479</v>
      </c>
      <c r="BA273" s="288" t="s">
        <v>373</v>
      </c>
      <c r="BB273" s="288" t="s">
        <v>1610</v>
      </c>
      <c r="BC273" s="288" t="s">
        <v>2192</v>
      </c>
    </row>
    <row r="274" spans="1:55" ht="45" customHeight="1">
      <c r="A274" s="271">
        <f t="shared" si="4"/>
        <v>273</v>
      </c>
      <c r="B274" s="284" t="s">
        <v>2493</v>
      </c>
      <c r="C274" s="270" t="s">
        <v>2494</v>
      </c>
      <c r="D274" s="270" t="s">
        <v>8</v>
      </c>
      <c r="E274" s="270" t="s">
        <v>9</v>
      </c>
      <c r="F274" s="270" t="s">
        <v>1771</v>
      </c>
      <c r="G274" s="302">
        <v>44335</v>
      </c>
      <c r="L274" s="270" t="s">
        <v>2479</v>
      </c>
      <c r="M274" s="270" t="s">
        <v>2479</v>
      </c>
      <c r="N274" s="272" t="s">
        <v>122</v>
      </c>
      <c r="O274" s="270" t="s">
        <v>2479</v>
      </c>
      <c r="P274" s="270" t="s">
        <v>1554</v>
      </c>
      <c r="Q274" s="270" t="s">
        <v>2198</v>
      </c>
      <c r="R274" s="306">
        <v>44571.613032407404</v>
      </c>
      <c r="S274" s="285">
        <v>2021</v>
      </c>
      <c r="T274" s="270" t="s">
        <v>2001</v>
      </c>
      <c r="U274" s="270" t="s">
        <v>678</v>
      </c>
      <c r="V274" s="270" t="s">
        <v>679</v>
      </c>
      <c r="W274" s="270" t="s">
        <v>145</v>
      </c>
      <c r="X274" s="270" t="s">
        <v>309</v>
      </c>
      <c r="Y274" s="273">
        <v>45078</v>
      </c>
      <c r="Z274" s="288" t="s">
        <v>1875</v>
      </c>
      <c r="AA274" s="288" t="s">
        <v>2479</v>
      </c>
      <c r="AB274" s="288" t="s">
        <v>139</v>
      </c>
      <c r="AC274" s="288" t="s">
        <v>1875</v>
      </c>
      <c r="AD274" s="288" t="s">
        <v>1805</v>
      </c>
      <c r="AE274" s="288" t="s">
        <v>1805</v>
      </c>
      <c r="AF274" s="288" t="s">
        <v>2479</v>
      </c>
      <c r="AG274" s="288" t="s">
        <v>2479</v>
      </c>
      <c r="AH274" s="288" t="s">
        <v>2479</v>
      </c>
      <c r="AI274" s="288" t="s">
        <v>2479</v>
      </c>
      <c r="AJ274" s="303" t="s">
        <v>2191</v>
      </c>
      <c r="AK274" s="288" t="s">
        <v>2479</v>
      </c>
      <c r="AL274" s="303" t="s">
        <v>2190</v>
      </c>
      <c r="AM274" s="288" t="s">
        <v>1975</v>
      </c>
      <c r="AN274" s="207" t="b">
        <v>0</v>
      </c>
      <c r="AY274" s="288" t="s">
        <v>2479</v>
      </c>
      <c r="AZ274" s="288" t="s">
        <v>2479</v>
      </c>
      <c r="BA274" s="288" t="s">
        <v>373</v>
      </c>
      <c r="BB274" s="288" t="s">
        <v>1610</v>
      </c>
      <c r="BC274" s="288" t="s">
        <v>2192</v>
      </c>
    </row>
    <row r="275" spans="1:55" ht="45" customHeight="1">
      <c r="A275" s="271">
        <f t="shared" si="4"/>
        <v>274</v>
      </c>
      <c r="B275" s="284" t="s">
        <v>2495</v>
      </c>
      <c r="C275" s="270" t="s">
        <v>2496</v>
      </c>
      <c r="D275" s="270" t="s">
        <v>8</v>
      </c>
      <c r="E275" s="270" t="s">
        <v>9</v>
      </c>
      <c r="F275" s="270" t="s">
        <v>1771</v>
      </c>
      <c r="G275" s="302">
        <v>44335</v>
      </c>
      <c r="L275" s="270" t="s">
        <v>2479</v>
      </c>
      <c r="M275" s="270" t="s">
        <v>2479</v>
      </c>
      <c r="N275" s="272" t="s">
        <v>122</v>
      </c>
      <c r="O275" s="270" t="s">
        <v>2479</v>
      </c>
      <c r="P275" s="270" t="s">
        <v>1554</v>
      </c>
      <c r="Q275" s="270" t="s">
        <v>2198</v>
      </c>
      <c r="R275" s="306">
        <v>44571.613425925927</v>
      </c>
      <c r="S275" s="285">
        <v>2021</v>
      </c>
      <c r="T275" s="270" t="s">
        <v>2001</v>
      </c>
      <c r="U275" s="270" t="s">
        <v>678</v>
      </c>
      <c r="V275" s="270" t="s">
        <v>679</v>
      </c>
      <c r="W275" s="270" t="s">
        <v>145</v>
      </c>
      <c r="X275" s="270" t="s">
        <v>309</v>
      </c>
      <c r="Y275" s="273">
        <v>45078</v>
      </c>
      <c r="Z275" s="288" t="s">
        <v>1875</v>
      </c>
      <c r="AA275" s="288" t="s">
        <v>2479</v>
      </c>
      <c r="AB275" s="288" t="s">
        <v>139</v>
      </c>
      <c r="AC275" s="288" t="s">
        <v>1875</v>
      </c>
      <c r="AD275" s="288" t="s">
        <v>1805</v>
      </c>
      <c r="AE275" s="288" t="s">
        <v>1805</v>
      </c>
      <c r="AF275" s="288" t="s">
        <v>2479</v>
      </c>
      <c r="AG275" s="288" t="s">
        <v>2479</v>
      </c>
      <c r="AH275" s="288" t="s">
        <v>2479</v>
      </c>
      <c r="AI275" s="288" t="s">
        <v>2479</v>
      </c>
      <c r="AJ275" s="303" t="s">
        <v>2191</v>
      </c>
      <c r="AK275" s="288" t="s">
        <v>2479</v>
      </c>
      <c r="AL275" s="303" t="s">
        <v>2190</v>
      </c>
      <c r="AM275" s="288" t="s">
        <v>1975</v>
      </c>
      <c r="AN275" s="207" t="b">
        <v>0</v>
      </c>
      <c r="AY275" s="288" t="s">
        <v>2479</v>
      </c>
      <c r="AZ275" s="288" t="s">
        <v>2479</v>
      </c>
      <c r="BA275" s="288" t="s">
        <v>373</v>
      </c>
      <c r="BB275" s="288" t="s">
        <v>1610</v>
      </c>
      <c r="BC275" s="288" t="s">
        <v>2192</v>
      </c>
    </row>
    <row r="276" spans="1:55" ht="45" customHeight="1">
      <c r="A276" s="271">
        <f t="shared" si="4"/>
        <v>275</v>
      </c>
      <c r="B276" s="284" t="s">
        <v>2501</v>
      </c>
      <c r="C276" s="270" t="s">
        <v>2502</v>
      </c>
      <c r="D276" s="270" t="s">
        <v>8</v>
      </c>
      <c r="E276" s="270" t="s">
        <v>9</v>
      </c>
      <c r="F276" s="270" t="s">
        <v>1771</v>
      </c>
      <c r="G276" s="302">
        <v>44412</v>
      </c>
      <c r="L276" s="270" t="s">
        <v>2479</v>
      </c>
      <c r="M276" s="270" t="s">
        <v>2479</v>
      </c>
      <c r="N276" s="272" t="s">
        <v>122</v>
      </c>
      <c r="O276" s="270" t="s">
        <v>2479</v>
      </c>
      <c r="P276" s="270" t="s">
        <v>1554</v>
      </c>
      <c r="Q276" s="270" t="s">
        <v>2198</v>
      </c>
      <c r="R276" s="306">
        <v>44571.614837962959</v>
      </c>
      <c r="S276" s="285">
        <v>2021</v>
      </c>
      <c r="T276" s="270" t="s">
        <v>2001</v>
      </c>
      <c r="U276" s="270" t="s">
        <v>678</v>
      </c>
      <c r="V276" s="270" t="s">
        <v>679</v>
      </c>
      <c r="W276" s="270" t="s">
        <v>145</v>
      </c>
      <c r="X276" s="270" t="s">
        <v>309</v>
      </c>
      <c r="Y276" s="273">
        <v>45078</v>
      </c>
      <c r="Z276" s="288" t="s">
        <v>1875</v>
      </c>
      <c r="AA276" s="288" t="s">
        <v>2479</v>
      </c>
      <c r="AB276" s="288" t="s">
        <v>139</v>
      </c>
      <c r="AC276" s="288" t="s">
        <v>1875</v>
      </c>
      <c r="AD276" s="288" t="s">
        <v>1805</v>
      </c>
      <c r="AE276" s="288" t="s">
        <v>1805</v>
      </c>
      <c r="AF276" s="288" t="s">
        <v>2479</v>
      </c>
      <c r="AG276" s="288" t="s">
        <v>2479</v>
      </c>
      <c r="AH276" s="288" t="s">
        <v>2479</v>
      </c>
      <c r="AI276" s="288" t="s">
        <v>2479</v>
      </c>
      <c r="AJ276" s="303" t="s">
        <v>2191</v>
      </c>
      <c r="AK276" s="288" t="s">
        <v>2479</v>
      </c>
      <c r="AL276" s="303" t="s">
        <v>2190</v>
      </c>
      <c r="AM276" s="288" t="s">
        <v>1975</v>
      </c>
      <c r="AN276" s="207" t="b">
        <v>0</v>
      </c>
      <c r="AY276" s="288" t="s">
        <v>2479</v>
      </c>
      <c r="AZ276" s="288" t="s">
        <v>2479</v>
      </c>
      <c r="BA276" s="288" t="s">
        <v>373</v>
      </c>
      <c r="BB276" s="288" t="s">
        <v>1610</v>
      </c>
      <c r="BC276" s="288" t="s">
        <v>2192</v>
      </c>
    </row>
    <row r="277" spans="1:55" ht="45" customHeight="1">
      <c r="A277" s="271">
        <f t="shared" si="4"/>
        <v>276</v>
      </c>
      <c r="B277" s="284" t="s">
        <v>2509</v>
      </c>
      <c r="C277" s="270" t="s">
        <v>2510</v>
      </c>
      <c r="D277" s="270" t="s">
        <v>8</v>
      </c>
      <c r="E277" s="270" t="s">
        <v>9</v>
      </c>
      <c r="F277" s="270" t="s">
        <v>1771</v>
      </c>
      <c r="G277" s="302">
        <v>44490</v>
      </c>
      <c r="L277" s="270" t="s">
        <v>2479</v>
      </c>
      <c r="M277" s="270" t="s">
        <v>2479</v>
      </c>
      <c r="N277" s="272" t="s">
        <v>122</v>
      </c>
      <c r="O277" s="270" t="s">
        <v>2479</v>
      </c>
      <c r="P277" s="270" t="s">
        <v>1554</v>
      </c>
      <c r="Q277" s="270" t="s">
        <v>2198</v>
      </c>
      <c r="R277" s="306">
        <v>44571.616898148146</v>
      </c>
      <c r="S277" s="285">
        <v>2021</v>
      </c>
      <c r="T277" s="270" t="s">
        <v>2001</v>
      </c>
      <c r="U277" s="270" t="s">
        <v>678</v>
      </c>
      <c r="V277" s="270" t="s">
        <v>679</v>
      </c>
      <c r="W277" s="270" t="s">
        <v>145</v>
      </c>
      <c r="X277" s="270" t="s">
        <v>309</v>
      </c>
      <c r="Y277" s="273">
        <v>45078</v>
      </c>
      <c r="Z277" s="288" t="s">
        <v>1875</v>
      </c>
      <c r="AA277" s="288" t="s">
        <v>2479</v>
      </c>
      <c r="AB277" s="288" t="s">
        <v>139</v>
      </c>
      <c r="AC277" s="288" t="s">
        <v>1875</v>
      </c>
      <c r="AD277" s="288" t="s">
        <v>1805</v>
      </c>
      <c r="AE277" s="288" t="s">
        <v>1805</v>
      </c>
      <c r="AF277" s="288" t="s">
        <v>2479</v>
      </c>
      <c r="AG277" s="288" t="s">
        <v>2479</v>
      </c>
      <c r="AH277" s="288" t="s">
        <v>2479</v>
      </c>
      <c r="AI277" s="288" t="s">
        <v>2479</v>
      </c>
      <c r="AJ277" s="303" t="s">
        <v>2191</v>
      </c>
      <c r="AK277" s="288" t="s">
        <v>2479</v>
      </c>
      <c r="AL277" s="303" t="s">
        <v>2190</v>
      </c>
      <c r="AM277" s="288" t="s">
        <v>1975</v>
      </c>
      <c r="AN277" s="207" t="b">
        <v>0</v>
      </c>
      <c r="AY277" s="288" t="s">
        <v>2479</v>
      </c>
      <c r="AZ277" s="288" t="s">
        <v>2479</v>
      </c>
      <c r="BA277" s="288" t="s">
        <v>373</v>
      </c>
      <c r="BB277" s="288" t="s">
        <v>1610</v>
      </c>
      <c r="BC277" s="288" t="s">
        <v>2192</v>
      </c>
    </row>
    <row r="278" spans="1:55" ht="45" customHeight="1">
      <c r="A278" s="271">
        <f t="shared" si="4"/>
        <v>277</v>
      </c>
      <c r="B278" s="284" t="s">
        <v>2459</v>
      </c>
      <c r="C278" s="270" t="s">
        <v>2511</v>
      </c>
      <c r="D278" s="270" t="s">
        <v>8</v>
      </c>
      <c r="E278" s="270" t="s">
        <v>9</v>
      </c>
      <c r="F278" s="270" t="s">
        <v>1771</v>
      </c>
      <c r="G278" s="302">
        <v>44494</v>
      </c>
      <c r="L278" s="270" t="s">
        <v>2479</v>
      </c>
      <c r="M278" s="270" t="s">
        <v>2479</v>
      </c>
      <c r="N278" s="272" t="s">
        <v>122</v>
      </c>
      <c r="O278" s="270" t="s">
        <v>2479</v>
      </c>
      <c r="P278" s="270" t="s">
        <v>1554</v>
      </c>
      <c r="Q278" s="270" t="s">
        <v>2198</v>
      </c>
      <c r="R278" s="306">
        <v>44571.617430555554</v>
      </c>
      <c r="S278" s="285">
        <v>2021</v>
      </c>
      <c r="T278" s="270" t="s">
        <v>2001</v>
      </c>
      <c r="U278" s="270" t="s">
        <v>678</v>
      </c>
      <c r="V278" s="270" t="s">
        <v>679</v>
      </c>
      <c r="W278" s="270" t="s">
        <v>145</v>
      </c>
      <c r="X278" s="270" t="s">
        <v>309</v>
      </c>
      <c r="Y278" s="273">
        <v>45078</v>
      </c>
      <c r="Z278" s="288" t="s">
        <v>1875</v>
      </c>
      <c r="AA278" s="288" t="s">
        <v>2479</v>
      </c>
      <c r="AB278" s="288" t="s">
        <v>139</v>
      </c>
      <c r="AC278" s="288" t="s">
        <v>1875</v>
      </c>
      <c r="AD278" s="288" t="s">
        <v>1805</v>
      </c>
      <c r="AE278" s="288" t="s">
        <v>1805</v>
      </c>
      <c r="AF278" s="288" t="s">
        <v>2479</v>
      </c>
      <c r="AG278" s="288" t="s">
        <v>2479</v>
      </c>
      <c r="AH278" s="288" t="s">
        <v>2479</v>
      </c>
      <c r="AI278" s="288" t="s">
        <v>2479</v>
      </c>
      <c r="AJ278" s="303" t="s">
        <v>2191</v>
      </c>
      <c r="AK278" s="288" t="s">
        <v>2479</v>
      </c>
      <c r="AL278" s="303" t="s">
        <v>2190</v>
      </c>
      <c r="AM278" s="288" t="s">
        <v>1975</v>
      </c>
      <c r="AN278" s="207" t="b">
        <v>0</v>
      </c>
      <c r="AY278" s="288" t="s">
        <v>2479</v>
      </c>
      <c r="AZ278" s="288" t="s">
        <v>2479</v>
      </c>
      <c r="BA278" s="288" t="s">
        <v>373</v>
      </c>
      <c r="BB278" s="288" t="s">
        <v>1610</v>
      </c>
      <c r="BC278" s="288" t="s">
        <v>2192</v>
      </c>
    </row>
    <row r="279" spans="1:55" ht="45" customHeight="1">
      <c r="A279" s="271">
        <f t="shared" si="4"/>
        <v>278</v>
      </c>
      <c r="B279" s="284" t="s">
        <v>2513</v>
      </c>
      <c r="C279" s="270" t="s">
        <v>2514</v>
      </c>
      <c r="D279" s="270" t="s">
        <v>8</v>
      </c>
      <c r="E279" s="270" t="s">
        <v>9</v>
      </c>
      <c r="F279" s="270" t="s">
        <v>1771</v>
      </c>
      <c r="G279" s="302">
        <v>44510</v>
      </c>
      <c r="L279" s="270" t="s">
        <v>2479</v>
      </c>
      <c r="M279" s="270" t="s">
        <v>2479</v>
      </c>
      <c r="N279" s="272" t="s">
        <v>122</v>
      </c>
      <c r="O279" s="270" t="s">
        <v>2479</v>
      </c>
      <c r="P279" s="270" t="s">
        <v>1554</v>
      </c>
      <c r="Q279" s="270" t="s">
        <v>2198</v>
      </c>
      <c r="R279" s="306">
        <v>44571.619062500002</v>
      </c>
      <c r="S279" s="285">
        <v>2021</v>
      </c>
      <c r="T279" s="270" t="s">
        <v>2001</v>
      </c>
      <c r="U279" s="270" t="s">
        <v>678</v>
      </c>
      <c r="V279" s="270" t="s">
        <v>679</v>
      </c>
      <c r="W279" s="270" t="s">
        <v>145</v>
      </c>
      <c r="X279" s="270" t="s">
        <v>309</v>
      </c>
      <c r="Y279" s="273">
        <v>45078</v>
      </c>
      <c r="Z279" s="288" t="s">
        <v>1875</v>
      </c>
      <c r="AA279" s="288" t="s">
        <v>2479</v>
      </c>
      <c r="AB279" s="288" t="s">
        <v>139</v>
      </c>
      <c r="AC279" s="288" t="s">
        <v>1875</v>
      </c>
      <c r="AD279" s="288" t="s">
        <v>1805</v>
      </c>
      <c r="AE279" s="288" t="s">
        <v>1805</v>
      </c>
      <c r="AF279" s="288" t="s">
        <v>2479</v>
      </c>
      <c r="AG279" s="288" t="s">
        <v>2479</v>
      </c>
      <c r="AH279" s="288" t="s">
        <v>2479</v>
      </c>
      <c r="AI279" s="288" t="s">
        <v>2479</v>
      </c>
      <c r="AJ279" s="303" t="s">
        <v>2191</v>
      </c>
      <c r="AK279" s="288" t="s">
        <v>2479</v>
      </c>
      <c r="AL279" s="303" t="s">
        <v>2190</v>
      </c>
      <c r="AM279" s="288" t="s">
        <v>1975</v>
      </c>
      <c r="AN279" s="207" t="b">
        <v>0</v>
      </c>
      <c r="AY279" s="288" t="s">
        <v>2479</v>
      </c>
      <c r="AZ279" s="288" t="s">
        <v>2479</v>
      </c>
      <c r="BA279" s="288" t="s">
        <v>373</v>
      </c>
      <c r="BB279" s="288" t="s">
        <v>1610</v>
      </c>
      <c r="BC279" s="288" t="s">
        <v>2192</v>
      </c>
    </row>
    <row r="280" spans="1:55" ht="45" customHeight="1">
      <c r="A280" s="271">
        <f t="shared" si="4"/>
        <v>279</v>
      </c>
      <c r="B280" s="284" t="s">
        <v>2515</v>
      </c>
      <c r="C280" s="270" t="s">
        <v>2516</v>
      </c>
      <c r="D280" s="270" t="s">
        <v>8</v>
      </c>
      <c r="E280" s="270" t="s">
        <v>9</v>
      </c>
      <c r="F280" s="270" t="s">
        <v>1771</v>
      </c>
      <c r="G280" s="302">
        <v>44537</v>
      </c>
      <c r="L280" s="270" t="s">
        <v>2479</v>
      </c>
      <c r="M280" s="270" t="s">
        <v>2479</v>
      </c>
      <c r="N280" s="272" t="s">
        <v>122</v>
      </c>
      <c r="O280" s="270" t="s">
        <v>2479</v>
      </c>
      <c r="P280" s="270" t="s">
        <v>1554</v>
      </c>
      <c r="Q280" s="270" t="s">
        <v>2198</v>
      </c>
      <c r="R280" s="306">
        <v>44571.620138888888</v>
      </c>
      <c r="S280" s="285">
        <v>2021</v>
      </c>
      <c r="T280" s="270" t="s">
        <v>2001</v>
      </c>
      <c r="U280" s="270" t="s">
        <v>678</v>
      </c>
      <c r="V280" s="270" t="s">
        <v>679</v>
      </c>
      <c r="W280" s="270" t="s">
        <v>145</v>
      </c>
      <c r="X280" s="270" t="s">
        <v>309</v>
      </c>
      <c r="Y280" s="273">
        <v>45078</v>
      </c>
      <c r="Z280" s="288" t="s">
        <v>1875</v>
      </c>
      <c r="AA280" s="288" t="s">
        <v>2479</v>
      </c>
      <c r="AB280" s="288" t="s">
        <v>139</v>
      </c>
      <c r="AC280" s="288" t="s">
        <v>1875</v>
      </c>
      <c r="AD280" s="288" t="s">
        <v>1805</v>
      </c>
      <c r="AE280" s="288" t="s">
        <v>1805</v>
      </c>
      <c r="AF280" s="288" t="s">
        <v>2479</v>
      </c>
      <c r="AG280" s="288" t="s">
        <v>2479</v>
      </c>
      <c r="AH280" s="288" t="s">
        <v>2479</v>
      </c>
      <c r="AI280" s="288" t="s">
        <v>2479</v>
      </c>
      <c r="AJ280" s="303" t="s">
        <v>2191</v>
      </c>
      <c r="AK280" s="288" t="s">
        <v>2479</v>
      </c>
      <c r="AL280" s="303" t="s">
        <v>2190</v>
      </c>
      <c r="AM280" s="288" t="s">
        <v>1975</v>
      </c>
      <c r="AN280" s="207" t="b">
        <v>0</v>
      </c>
      <c r="AY280" s="288" t="s">
        <v>2479</v>
      </c>
      <c r="AZ280" s="288" t="s">
        <v>2479</v>
      </c>
      <c r="BA280" s="288" t="s">
        <v>373</v>
      </c>
      <c r="BB280" s="288" t="s">
        <v>1610</v>
      </c>
      <c r="BC280" s="288" t="s">
        <v>2192</v>
      </c>
    </row>
    <row r="281" spans="1:55" ht="45" customHeight="1">
      <c r="A281" s="271">
        <f t="shared" si="4"/>
        <v>280</v>
      </c>
      <c r="B281" s="284" t="s">
        <v>2517</v>
      </c>
      <c r="C281" s="270" t="s">
        <v>2518</v>
      </c>
      <c r="D281" s="270" t="s">
        <v>8</v>
      </c>
      <c r="E281" s="270" t="s">
        <v>9</v>
      </c>
      <c r="F281" s="270" t="s">
        <v>1771</v>
      </c>
      <c r="G281" s="302">
        <v>44576</v>
      </c>
      <c r="L281" s="270" t="s">
        <v>2479</v>
      </c>
      <c r="M281" s="270" t="s">
        <v>2479</v>
      </c>
      <c r="N281" s="272" t="s">
        <v>122</v>
      </c>
      <c r="O281" s="270" t="s">
        <v>2479</v>
      </c>
      <c r="P281" s="270" t="s">
        <v>1554</v>
      </c>
      <c r="Q281" s="270" t="s">
        <v>2198</v>
      </c>
      <c r="R281" s="306">
        <v>44571.620567129627</v>
      </c>
      <c r="S281" s="285">
        <v>2022</v>
      </c>
      <c r="T281" s="270" t="s">
        <v>2001</v>
      </c>
      <c r="U281" s="270" t="s">
        <v>678</v>
      </c>
      <c r="V281" s="270" t="s">
        <v>679</v>
      </c>
      <c r="W281" s="270" t="s">
        <v>145</v>
      </c>
      <c r="X281" s="270" t="s">
        <v>309</v>
      </c>
      <c r="Y281" s="273">
        <v>45078</v>
      </c>
      <c r="Z281" s="288" t="s">
        <v>1875</v>
      </c>
      <c r="AA281" s="288" t="s">
        <v>2479</v>
      </c>
      <c r="AB281" s="288" t="s">
        <v>139</v>
      </c>
      <c r="AC281" s="288" t="s">
        <v>1875</v>
      </c>
      <c r="AD281" s="288" t="s">
        <v>1805</v>
      </c>
      <c r="AE281" s="288" t="s">
        <v>1805</v>
      </c>
      <c r="AF281" s="288" t="s">
        <v>2479</v>
      </c>
      <c r="AG281" s="288" t="s">
        <v>2479</v>
      </c>
      <c r="AH281" s="288" t="s">
        <v>2479</v>
      </c>
      <c r="AI281" s="288" t="s">
        <v>2479</v>
      </c>
      <c r="AJ281" s="303" t="s">
        <v>2191</v>
      </c>
      <c r="AK281" s="288" t="s">
        <v>2479</v>
      </c>
      <c r="AL281" s="303" t="s">
        <v>2190</v>
      </c>
      <c r="AM281" s="288" t="s">
        <v>1975</v>
      </c>
      <c r="AN281" s="207" t="b">
        <v>0</v>
      </c>
      <c r="AY281" s="288" t="s">
        <v>2479</v>
      </c>
      <c r="AZ281" s="288" t="s">
        <v>2479</v>
      </c>
      <c r="BA281" s="288" t="s">
        <v>373</v>
      </c>
      <c r="BB281" s="288" t="s">
        <v>1610</v>
      </c>
      <c r="BC281" s="288" t="s">
        <v>2192</v>
      </c>
    </row>
    <row r="282" spans="1:55" ht="45" customHeight="1">
      <c r="A282" s="271">
        <f t="shared" si="4"/>
        <v>281</v>
      </c>
      <c r="B282" s="284" t="s">
        <v>2519</v>
      </c>
      <c r="C282" s="270" t="s">
        <v>2520</v>
      </c>
      <c r="D282" s="270" t="s">
        <v>8</v>
      </c>
      <c r="E282" s="270" t="s">
        <v>9</v>
      </c>
      <c r="F282" s="270" t="s">
        <v>1771</v>
      </c>
      <c r="G282" s="302">
        <v>44607</v>
      </c>
      <c r="L282" s="270" t="s">
        <v>2479</v>
      </c>
      <c r="M282" s="270" t="s">
        <v>2479</v>
      </c>
      <c r="N282" s="272" t="s">
        <v>122</v>
      </c>
      <c r="O282" s="270" t="s">
        <v>2479</v>
      </c>
      <c r="P282" s="270" t="s">
        <v>1554</v>
      </c>
      <c r="Q282" s="270" t="s">
        <v>2198</v>
      </c>
      <c r="R282" s="306">
        <v>44571.620972222219</v>
      </c>
      <c r="S282" s="285">
        <v>2022</v>
      </c>
      <c r="T282" s="270" t="s">
        <v>2001</v>
      </c>
      <c r="U282" s="270" t="s">
        <v>678</v>
      </c>
      <c r="V282" s="270" t="s">
        <v>679</v>
      </c>
      <c r="W282" s="270" t="s">
        <v>145</v>
      </c>
      <c r="X282" s="270" t="s">
        <v>309</v>
      </c>
      <c r="Y282" s="273">
        <v>45078</v>
      </c>
      <c r="Z282" s="288" t="s">
        <v>1875</v>
      </c>
      <c r="AA282" s="288" t="s">
        <v>2479</v>
      </c>
      <c r="AB282" s="288" t="s">
        <v>139</v>
      </c>
      <c r="AC282" s="288" t="s">
        <v>1875</v>
      </c>
      <c r="AD282" s="288" t="s">
        <v>1805</v>
      </c>
      <c r="AE282" s="288" t="s">
        <v>1805</v>
      </c>
      <c r="AF282" s="288" t="s">
        <v>2479</v>
      </c>
      <c r="AG282" s="288" t="s">
        <v>2479</v>
      </c>
      <c r="AH282" s="288" t="s">
        <v>2479</v>
      </c>
      <c r="AI282" s="288" t="s">
        <v>2479</v>
      </c>
      <c r="AJ282" s="303" t="s">
        <v>2191</v>
      </c>
      <c r="AK282" s="288" t="s">
        <v>2479</v>
      </c>
      <c r="AL282" s="303" t="s">
        <v>2190</v>
      </c>
      <c r="AM282" s="288" t="s">
        <v>1975</v>
      </c>
      <c r="AN282" s="207" t="b">
        <v>0</v>
      </c>
      <c r="AY282" s="288" t="s">
        <v>2479</v>
      </c>
      <c r="AZ282" s="288" t="s">
        <v>2479</v>
      </c>
      <c r="BA282" s="288" t="s">
        <v>373</v>
      </c>
      <c r="BB282" s="288" t="s">
        <v>1610</v>
      </c>
      <c r="BC282" s="288" t="s">
        <v>2192</v>
      </c>
    </row>
    <row r="283" spans="1:55" ht="45" customHeight="1">
      <c r="A283" s="271">
        <f t="shared" si="4"/>
        <v>282</v>
      </c>
      <c r="B283" s="284" t="s">
        <v>2475</v>
      </c>
      <c r="C283" s="270" t="s">
        <v>2521</v>
      </c>
      <c r="D283" s="270" t="s">
        <v>8</v>
      </c>
      <c r="E283" s="270" t="s">
        <v>9</v>
      </c>
      <c r="F283" s="270" t="s">
        <v>1771</v>
      </c>
      <c r="G283" s="302">
        <v>44627</v>
      </c>
      <c r="L283" s="270" t="s">
        <v>2479</v>
      </c>
      <c r="M283" s="270" t="s">
        <v>2479</v>
      </c>
      <c r="N283" s="272" t="s">
        <v>122</v>
      </c>
      <c r="O283" s="270" t="s">
        <v>2479</v>
      </c>
      <c r="P283" s="270" t="s">
        <v>1554</v>
      </c>
      <c r="Q283" s="270" t="s">
        <v>2198</v>
      </c>
      <c r="R283" s="306">
        <v>44571.622650462959</v>
      </c>
      <c r="S283" s="285">
        <v>2022</v>
      </c>
      <c r="T283" s="270" t="s">
        <v>2001</v>
      </c>
      <c r="U283" s="270" t="s">
        <v>678</v>
      </c>
      <c r="V283" s="270" t="s">
        <v>679</v>
      </c>
      <c r="W283" s="270" t="s">
        <v>145</v>
      </c>
      <c r="X283" s="270" t="s">
        <v>309</v>
      </c>
      <c r="Y283" s="273">
        <v>45078</v>
      </c>
      <c r="Z283" s="288" t="s">
        <v>1875</v>
      </c>
      <c r="AA283" s="288" t="s">
        <v>2479</v>
      </c>
      <c r="AB283" s="288" t="s">
        <v>139</v>
      </c>
      <c r="AC283" s="288" t="s">
        <v>1875</v>
      </c>
      <c r="AD283" s="288" t="s">
        <v>1805</v>
      </c>
      <c r="AE283" s="288" t="s">
        <v>1805</v>
      </c>
      <c r="AF283" s="288" t="s">
        <v>2479</v>
      </c>
      <c r="AG283" s="288" t="s">
        <v>2479</v>
      </c>
      <c r="AH283" s="288" t="s">
        <v>2479</v>
      </c>
      <c r="AI283" s="288" t="s">
        <v>2479</v>
      </c>
      <c r="AJ283" s="303" t="s">
        <v>2191</v>
      </c>
      <c r="AK283" s="288" t="s">
        <v>2479</v>
      </c>
      <c r="AL283" s="303" t="s">
        <v>2190</v>
      </c>
      <c r="AM283" s="288" t="s">
        <v>1975</v>
      </c>
      <c r="AN283" s="207" t="b">
        <v>0</v>
      </c>
      <c r="AY283" s="288" t="s">
        <v>2479</v>
      </c>
      <c r="AZ283" s="288" t="s">
        <v>2479</v>
      </c>
      <c r="BA283" s="288" t="s">
        <v>373</v>
      </c>
      <c r="BB283" s="288" t="s">
        <v>1610</v>
      </c>
      <c r="BC283" s="288" t="s">
        <v>2192</v>
      </c>
    </row>
    <row r="284" spans="1:55" ht="45" customHeight="1">
      <c r="A284" s="271">
        <f t="shared" si="4"/>
        <v>283</v>
      </c>
      <c r="B284" s="284" t="s">
        <v>2522</v>
      </c>
      <c r="C284" s="270" t="s">
        <v>2523</v>
      </c>
      <c r="D284" s="270" t="s">
        <v>8</v>
      </c>
      <c r="E284" s="270" t="s">
        <v>9</v>
      </c>
      <c r="F284" s="270" t="s">
        <v>1771</v>
      </c>
      <c r="G284" s="302">
        <v>44644</v>
      </c>
      <c r="L284" s="270" t="s">
        <v>2479</v>
      </c>
      <c r="M284" s="270" t="s">
        <v>2479</v>
      </c>
      <c r="N284" s="272" t="s">
        <v>122</v>
      </c>
      <c r="O284" s="270" t="s">
        <v>2479</v>
      </c>
      <c r="P284" s="270" t="s">
        <v>1554</v>
      </c>
      <c r="Q284" s="270" t="s">
        <v>2198</v>
      </c>
      <c r="R284" s="306">
        <v>44571.623020833336</v>
      </c>
      <c r="S284" s="285">
        <v>2022</v>
      </c>
      <c r="T284" s="270" t="s">
        <v>2001</v>
      </c>
      <c r="U284" s="270" t="s">
        <v>678</v>
      </c>
      <c r="V284" s="270" t="s">
        <v>679</v>
      </c>
      <c r="W284" s="270" t="s">
        <v>145</v>
      </c>
      <c r="X284" s="270" t="s">
        <v>309</v>
      </c>
      <c r="Y284" s="273">
        <v>45078</v>
      </c>
      <c r="Z284" s="288" t="s">
        <v>1875</v>
      </c>
      <c r="AA284" s="288" t="s">
        <v>2479</v>
      </c>
      <c r="AB284" s="288" t="s">
        <v>139</v>
      </c>
      <c r="AC284" s="288" t="s">
        <v>1875</v>
      </c>
      <c r="AD284" s="288" t="s">
        <v>1805</v>
      </c>
      <c r="AE284" s="288" t="s">
        <v>1805</v>
      </c>
      <c r="AF284" s="288" t="s">
        <v>2479</v>
      </c>
      <c r="AG284" s="288" t="s">
        <v>2479</v>
      </c>
      <c r="AH284" s="288" t="s">
        <v>2479</v>
      </c>
      <c r="AI284" s="288" t="s">
        <v>2479</v>
      </c>
      <c r="AJ284" s="303" t="s">
        <v>2191</v>
      </c>
      <c r="AK284" s="288" t="s">
        <v>2479</v>
      </c>
      <c r="AL284" s="303" t="s">
        <v>2190</v>
      </c>
      <c r="AM284" s="288" t="s">
        <v>1975</v>
      </c>
      <c r="AN284" s="207" t="b">
        <v>0</v>
      </c>
      <c r="AY284" s="288" t="s">
        <v>2479</v>
      </c>
      <c r="AZ284" s="288" t="s">
        <v>2479</v>
      </c>
      <c r="BA284" s="288" t="s">
        <v>373</v>
      </c>
      <c r="BB284" s="288" t="s">
        <v>1610</v>
      </c>
      <c r="BC284" s="288" t="s">
        <v>2192</v>
      </c>
    </row>
    <row r="285" spans="1:55" ht="45" customHeight="1">
      <c r="A285" s="271">
        <f t="shared" si="4"/>
        <v>284</v>
      </c>
      <c r="B285" s="284" t="s">
        <v>2453</v>
      </c>
      <c r="C285" s="270" t="s">
        <v>2526</v>
      </c>
      <c r="D285" s="270" t="s">
        <v>8</v>
      </c>
      <c r="E285" s="270" t="s">
        <v>9</v>
      </c>
      <c r="F285" s="270" t="s">
        <v>1771</v>
      </c>
      <c r="G285" s="302">
        <v>44664</v>
      </c>
      <c r="L285" s="270" t="s">
        <v>2479</v>
      </c>
      <c r="M285" s="270" t="s">
        <v>2479</v>
      </c>
      <c r="N285" s="272" t="s">
        <v>122</v>
      </c>
      <c r="O285" s="270" t="s">
        <v>2479</v>
      </c>
      <c r="P285" s="270" t="s">
        <v>1554</v>
      </c>
      <c r="Q285" s="270" t="s">
        <v>2198</v>
      </c>
      <c r="R285" s="306">
        <v>44571.623680555553</v>
      </c>
      <c r="S285" s="285">
        <v>2022</v>
      </c>
      <c r="T285" s="270" t="s">
        <v>2001</v>
      </c>
      <c r="U285" s="270" t="s">
        <v>678</v>
      </c>
      <c r="V285" s="270" t="s">
        <v>679</v>
      </c>
      <c r="W285" s="270" t="s">
        <v>145</v>
      </c>
      <c r="X285" s="270" t="s">
        <v>309</v>
      </c>
      <c r="Y285" s="273">
        <v>45078</v>
      </c>
      <c r="Z285" s="288" t="s">
        <v>1875</v>
      </c>
      <c r="AA285" s="288" t="s">
        <v>2479</v>
      </c>
      <c r="AB285" s="288" t="s">
        <v>139</v>
      </c>
      <c r="AC285" s="288" t="s">
        <v>1875</v>
      </c>
      <c r="AD285" s="288" t="s">
        <v>1805</v>
      </c>
      <c r="AE285" s="288" t="s">
        <v>1805</v>
      </c>
      <c r="AF285" s="288" t="s">
        <v>2479</v>
      </c>
      <c r="AG285" s="288" t="s">
        <v>2479</v>
      </c>
      <c r="AH285" s="288" t="s">
        <v>2479</v>
      </c>
      <c r="AI285" s="288" t="s">
        <v>2479</v>
      </c>
      <c r="AJ285" s="303" t="s">
        <v>2191</v>
      </c>
      <c r="AK285" s="288" t="s">
        <v>2479</v>
      </c>
      <c r="AL285" s="303" t="s">
        <v>2190</v>
      </c>
      <c r="AM285" s="288" t="s">
        <v>1975</v>
      </c>
      <c r="AN285" s="207" t="b">
        <v>0</v>
      </c>
      <c r="AY285" s="288" t="s">
        <v>2479</v>
      </c>
      <c r="AZ285" s="288" t="s">
        <v>2479</v>
      </c>
      <c r="BA285" s="288" t="s">
        <v>373</v>
      </c>
      <c r="BB285" s="288" t="s">
        <v>1610</v>
      </c>
      <c r="BC285" s="288" t="s">
        <v>2192</v>
      </c>
    </row>
    <row r="286" spans="1:55" ht="45" customHeight="1">
      <c r="A286" s="271">
        <f t="shared" si="4"/>
        <v>285</v>
      </c>
      <c r="B286" s="284" t="s">
        <v>2454</v>
      </c>
      <c r="C286" s="270" t="s">
        <v>2527</v>
      </c>
      <c r="D286" s="270" t="s">
        <v>8</v>
      </c>
      <c r="E286" s="270" t="s">
        <v>9</v>
      </c>
      <c r="F286" s="270" t="s">
        <v>1771</v>
      </c>
      <c r="G286" s="302">
        <v>44664</v>
      </c>
      <c r="L286" s="270" t="s">
        <v>2479</v>
      </c>
      <c r="M286" s="270" t="s">
        <v>2479</v>
      </c>
      <c r="N286" s="272" t="s">
        <v>122</v>
      </c>
      <c r="O286" s="270" t="s">
        <v>2479</v>
      </c>
      <c r="P286" s="270" t="s">
        <v>1554</v>
      </c>
      <c r="Q286" s="270" t="s">
        <v>2198</v>
      </c>
      <c r="R286" s="306">
        <v>44571.624131944445</v>
      </c>
      <c r="S286" s="285">
        <v>2022</v>
      </c>
      <c r="T286" s="270" t="s">
        <v>2001</v>
      </c>
      <c r="U286" s="270" t="s">
        <v>678</v>
      </c>
      <c r="V286" s="270" t="s">
        <v>679</v>
      </c>
      <c r="W286" s="270" t="s">
        <v>145</v>
      </c>
      <c r="X286" s="270" t="s">
        <v>309</v>
      </c>
      <c r="Y286" s="273">
        <v>45078</v>
      </c>
      <c r="Z286" s="288" t="s">
        <v>1875</v>
      </c>
      <c r="AA286" s="288" t="s">
        <v>2479</v>
      </c>
      <c r="AB286" s="288" t="s">
        <v>139</v>
      </c>
      <c r="AC286" s="288" t="s">
        <v>1875</v>
      </c>
      <c r="AD286" s="288" t="s">
        <v>1805</v>
      </c>
      <c r="AE286" s="288" t="s">
        <v>1805</v>
      </c>
      <c r="AF286" s="288" t="s">
        <v>2479</v>
      </c>
      <c r="AG286" s="288" t="s">
        <v>2479</v>
      </c>
      <c r="AH286" s="288" t="s">
        <v>2479</v>
      </c>
      <c r="AI286" s="288" t="s">
        <v>2479</v>
      </c>
      <c r="AJ286" s="303" t="s">
        <v>2191</v>
      </c>
      <c r="AK286" s="288" t="s">
        <v>2479</v>
      </c>
      <c r="AL286" s="303" t="s">
        <v>2190</v>
      </c>
      <c r="AM286" s="288" t="s">
        <v>1975</v>
      </c>
      <c r="AN286" s="207" t="b">
        <v>0</v>
      </c>
      <c r="AY286" s="288" t="s">
        <v>2479</v>
      </c>
      <c r="AZ286" s="288" t="s">
        <v>2479</v>
      </c>
      <c r="BA286" s="288" t="s">
        <v>373</v>
      </c>
      <c r="BB286" s="288" t="s">
        <v>1610</v>
      </c>
      <c r="BC286" s="288" t="s">
        <v>2192</v>
      </c>
    </row>
    <row r="287" spans="1:55" ht="45" customHeight="1">
      <c r="A287" s="271">
        <f t="shared" si="4"/>
        <v>286</v>
      </c>
      <c r="B287" s="284" t="s">
        <v>2528</v>
      </c>
      <c r="C287" s="270" t="s">
        <v>2529</v>
      </c>
      <c r="D287" s="270" t="s">
        <v>8</v>
      </c>
      <c r="E287" s="270" t="s">
        <v>9</v>
      </c>
      <c r="F287" s="270" t="s">
        <v>1771</v>
      </c>
      <c r="G287" s="302">
        <v>44664</v>
      </c>
      <c r="L287" s="270" t="s">
        <v>2479</v>
      </c>
      <c r="M287" s="270" t="s">
        <v>2479</v>
      </c>
      <c r="N287" s="272" t="s">
        <v>122</v>
      </c>
      <c r="O287" s="270" t="s">
        <v>2479</v>
      </c>
      <c r="P287" s="270" t="s">
        <v>1554</v>
      </c>
      <c r="Q287" s="270" t="s">
        <v>2198</v>
      </c>
      <c r="R287" s="306">
        <v>44571.624560185184</v>
      </c>
      <c r="S287" s="285">
        <v>2022</v>
      </c>
      <c r="T287" s="270" t="s">
        <v>2001</v>
      </c>
      <c r="U287" s="270" t="s">
        <v>678</v>
      </c>
      <c r="V287" s="270" t="s">
        <v>679</v>
      </c>
      <c r="W287" s="270" t="s">
        <v>145</v>
      </c>
      <c r="X287" s="270" t="s">
        <v>309</v>
      </c>
      <c r="Y287" s="273">
        <v>45078</v>
      </c>
      <c r="Z287" s="288" t="s">
        <v>1875</v>
      </c>
      <c r="AA287" s="288" t="s">
        <v>2479</v>
      </c>
      <c r="AB287" s="288" t="s">
        <v>139</v>
      </c>
      <c r="AC287" s="288" t="s">
        <v>1875</v>
      </c>
      <c r="AD287" s="288" t="s">
        <v>1805</v>
      </c>
      <c r="AE287" s="288" t="s">
        <v>1805</v>
      </c>
      <c r="AF287" s="288" t="s">
        <v>2479</v>
      </c>
      <c r="AG287" s="288" t="s">
        <v>2479</v>
      </c>
      <c r="AH287" s="288" t="s">
        <v>2479</v>
      </c>
      <c r="AI287" s="288" t="s">
        <v>2479</v>
      </c>
      <c r="AJ287" s="303" t="s">
        <v>2191</v>
      </c>
      <c r="AK287" s="288" t="s">
        <v>2479</v>
      </c>
      <c r="AL287" s="303" t="s">
        <v>2190</v>
      </c>
      <c r="AM287" s="288" t="s">
        <v>1975</v>
      </c>
      <c r="AN287" s="207" t="b">
        <v>0</v>
      </c>
      <c r="AY287" s="288" t="s">
        <v>2479</v>
      </c>
      <c r="AZ287" s="288" t="s">
        <v>2479</v>
      </c>
      <c r="BA287" s="288" t="s">
        <v>373</v>
      </c>
      <c r="BB287" s="288" t="s">
        <v>1610</v>
      </c>
      <c r="BC287" s="288" t="s">
        <v>2192</v>
      </c>
    </row>
    <row r="288" spans="1:55" ht="45" customHeight="1">
      <c r="A288" s="271">
        <f t="shared" si="4"/>
        <v>287</v>
      </c>
      <c r="B288" s="284" t="s">
        <v>2477</v>
      </c>
      <c r="C288" s="270" t="s">
        <v>2530</v>
      </c>
      <c r="D288" s="270" t="s">
        <v>8</v>
      </c>
      <c r="E288" s="270" t="s">
        <v>9</v>
      </c>
      <c r="F288" s="270" t="s">
        <v>1771</v>
      </c>
      <c r="G288" s="302">
        <v>44677</v>
      </c>
      <c r="L288" s="270" t="s">
        <v>2479</v>
      </c>
      <c r="M288" s="270" t="s">
        <v>2479</v>
      </c>
      <c r="N288" s="272" t="s">
        <v>122</v>
      </c>
      <c r="O288" s="270" t="s">
        <v>2479</v>
      </c>
      <c r="P288" s="270" t="s">
        <v>1554</v>
      </c>
      <c r="Q288" s="270" t="s">
        <v>2198</v>
      </c>
      <c r="R288" s="306">
        <v>44571.625057870369</v>
      </c>
      <c r="S288" s="285">
        <v>2022</v>
      </c>
      <c r="T288" s="270" t="s">
        <v>2001</v>
      </c>
      <c r="U288" s="270" t="s">
        <v>678</v>
      </c>
      <c r="V288" s="270" t="s">
        <v>679</v>
      </c>
      <c r="W288" s="270" t="s">
        <v>145</v>
      </c>
      <c r="X288" s="270" t="s">
        <v>309</v>
      </c>
      <c r="Y288" s="273">
        <v>45078</v>
      </c>
      <c r="Z288" s="288" t="s">
        <v>1875</v>
      </c>
      <c r="AA288" s="288" t="s">
        <v>2479</v>
      </c>
      <c r="AB288" s="288" t="s">
        <v>139</v>
      </c>
      <c r="AC288" s="288" t="s">
        <v>1875</v>
      </c>
      <c r="AD288" s="288" t="s">
        <v>1805</v>
      </c>
      <c r="AE288" s="288" t="s">
        <v>1805</v>
      </c>
      <c r="AF288" s="288" t="s">
        <v>2479</v>
      </c>
      <c r="AG288" s="288" t="s">
        <v>2479</v>
      </c>
      <c r="AH288" s="288" t="s">
        <v>2479</v>
      </c>
      <c r="AI288" s="288" t="s">
        <v>2479</v>
      </c>
      <c r="AJ288" s="303" t="s">
        <v>2191</v>
      </c>
      <c r="AK288" s="288" t="s">
        <v>2479</v>
      </c>
      <c r="AL288" s="303" t="s">
        <v>2190</v>
      </c>
      <c r="AM288" s="288" t="s">
        <v>1975</v>
      </c>
      <c r="AN288" s="207" t="b">
        <v>0</v>
      </c>
      <c r="AY288" s="288" t="s">
        <v>2479</v>
      </c>
      <c r="AZ288" s="288" t="s">
        <v>2479</v>
      </c>
      <c r="BA288" s="288" t="s">
        <v>373</v>
      </c>
      <c r="BB288" s="288" t="s">
        <v>1610</v>
      </c>
      <c r="BC288" s="288" t="s">
        <v>2192</v>
      </c>
    </row>
    <row r="289" spans="1:55" ht="45" customHeight="1">
      <c r="A289" s="271">
        <f t="shared" si="4"/>
        <v>288</v>
      </c>
      <c r="B289" s="284" t="s">
        <v>2480</v>
      </c>
      <c r="C289" s="270" t="s">
        <v>2532</v>
      </c>
      <c r="D289" s="270" t="s">
        <v>8</v>
      </c>
      <c r="E289" s="270" t="s">
        <v>9</v>
      </c>
      <c r="F289" s="270" t="s">
        <v>1771</v>
      </c>
      <c r="G289" s="302">
        <v>44694</v>
      </c>
      <c r="L289" s="270" t="s">
        <v>2479</v>
      </c>
      <c r="M289" s="270" t="s">
        <v>2479</v>
      </c>
      <c r="N289" s="272" t="s">
        <v>122</v>
      </c>
      <c r="O289" s="270" t="s">
        <v>2479</v>
      </c>
      <c r="P289" s="270" t="s">
        <v>1554</v>
      </c>
      <c r="Q289" s="270" t="s">
        <v>2198</v>
      </c>
      <c r="R289" s="306">
        <v>44571.626157407409</v>
      </c>
      <c r="S289" s="285">
        <v>2022</v>
      </c>
      <c r="T289" s="270" t="s">
        <v>2001</v>
      </c>
      <c r="U289" s="270" t="s">
        <v>678</v>
      </c>
      <c r="V289" s="270" t="s">
        <v>679</v>
      </c>
      <c r="W289" s="270" t="s">
        <v>145</v>
      </c>
      <c r="X289" s="270" t="s">
        <v>309</v>
      </c>
      <c r="Y289" s="273">
        <v>45078</v>
      </c>
      <c r="Z289" s="288" t="s">
        <v>1875</v>
      </c>
      <c r="AA289" s="288" t="s">
        <v>2479</v>
      </c>
      <c r="AB289" s="288" t="s">
        <v>139</v>
      </c>
      <c r="AC289" s="288" t="s">
        <v>1875</v>
      </c>
      <c r="AD289" s="288" t="s">
        <v>1805</v>
      </c>
      <c r="AE289" s="288" t="s">
        <v>1805</v>
      </c>
      <c r="AF289" s="288" t="s">
        <v>2479</v>
      </c>
      <c r="AG289" s="288" t="s">
        <v>2479</v>
      </c>
      <c r="AH289" s="288" t="s">
        <v>2479</v>
      </c>
      <c r="AI289" s="288" t="s">
        <v>2479</v>
      </c>
      <c r="AJ289" s="303" t="s">
        <v>2191</v>
      </c>
      <c r="AK289" s="288" t="s">
        <v>2479</v>
      </c>
      <c r="AL289" s="303" t="s">
        <v>2190</v>
      </c>
      <c r="AM289" s="288" t="s">
        <v>1975</v>
      </c>
      <c r="AN289" s="207" t="b">
        <v>0</v>
      </c>
      <c r="AY289" s="288" t="s">
        <v>2479</v>
      </c>
      <c r="AZ289" s="288" t="s">
        <v>2479</v>
      </c>
      <c r="BA289" s="288" t="s">
        <v>373</v>
      </c>
      <c r="BB289" s="288" t="s">
        <v>1610</v>
      </c>
      <c r="BC289" s="288" t="s">
        <v>2192</v>
      </c>
    </row>
    <row r="290" spans="1:55" ht="45" customHeight="1">
      <c r="A290" s="271">
        <f t="shared" si="4"/>
        <v>289</v>
      </c>
      <c r="B290" s="284" t="s">
        <v>2537</v>
      </c>
      <c r="C290" s="270" t="s">
        <v>2538</v>
      </c>
      <c r="D290" s="270" t="s">
        <v>8</v>
      </c>
      <c r="E290" s="270" t="s">
        <v>9</v>
      </c>
      <c r="F290" s="270" t="s">
        <v>1771</v>
      </c>
      <c r="G290" s="302">
        <v>44706</v>
      </c>
      <c r="L290" s="270" t="s">
        <v>2479</v>
      </c>
      <c r="M290" s="270" t="s">
        <v>2479</v>
      </c>
      <c r="N290" s="272" t="s">
        <v>122</v>
      </c>
      <c r="O290" s="270" t="s">
        <v>2479</v>
      </c>
      <c r="P290" s="270" t="s">
        <v>1554</v>
      </c>
      <c r="Q290" s="270" t="s">
        <v>2198</v>
      </c>
      <c r="R290" s="306">
        <v>44571.627662037034</v>
      </c>
      <c r="S290" s="285">
        <v>2022</v>
      </c>
      <c r="T290" s="270" t="s">
        <v>2001</v>
      </c>
      <c r="U290" s="270" t="s">
        <v>678</v>
      </c>
      <c r="V290" s="270" t="s">
        <v>679</v>
      </c>
      <c r="W290" s="270" t="s">
        <v>145</v>
      </c>
      <c r="X290" s="270" t="s">
        <v>309</v>
      </c>
      <c r="Y290" s="273">
        <v>45078</v>
      </c>
      <c r="Z290" s="288" t="s">
        <v>1875</v>
      </c>
      <c r="AA290" s="288" t="s">
        <v>2479</v>
      </c>
      <c r="AB290" s="288" t="s">
        <v>139</v>
      </c>
      <c r="AC290" s="288" t="s">
        <v>1875</v>
      </c>
      <c r="AD290" s="288" t="s">
        <v>1805</v>
      </c>
      <c r="AE290" s="288" t="s">
        <v>1805</v>
      </c>
      <c r="AF290" s="288" t="s">
        <v>2479</v>
      </c>
      <c r="AG290" s="288" t="s">
        <v>2479</v>
      </c>
      <c r="AH290" s="288" t="s">
        <v>2479</v>
      </c>
      <c r="AI290" s="288" t="s">
        <v>2479</v>
      </c>
      <c r="AJ290" s="303" t="s">
        <v>2191</v>
      </c>
      <c r="AK290" s="288" t="s">
        <v>2479</v>
      </c>
      <c r="AL290" s="303" t="s">
        <v>2190</v>
      </c>
      <c r="AM290" s="288" t="s">
        <v>1975</v>
      </c>
      <c r="AN290" s="207" t="b">
        <v>0</v>
      </c>
      <c r="AY290" s="288" t="s">
        <v>2479</v>
      </c>
      <c r="AZ290" s="288" t="s">
        <v>2479</v>
      </c>
      <c r="BA290" s="288" t="s">
        <v>373</v>
      </c>
      <c r="BB290" s="288" t="s">
        <v>1610</v>
      </c>
      <c r="BC290" s="288" t="s">
        <v>2192</v>
      </c>
    </row>
    <row r="291" spans="1:55" ht="45" customHeight="1">
      <c r="A291" s="271">
        <f t="shared" si="4"/>
        <v>290</v>
      </c>
      <c r="B291" s="284" t="s">
        <v>2539</v>
      </c>
      <c r="C291" s="270" t="s">
        <v>2540</v>
      </c>
      <c r="D291" s="270" t="s">
        <v>8</v>
      </c>
      <c r="E291" s="270" t="s">
        <v>9</v>
      </c>
      <c r="F291" s="270" t="s">
        <v>1771</v>
      </c>
      <c r="G291" s="302">
        <v>44706</v>
      </c>
      <c r="L291" s="270" t="s">
        <v>2479</v>
      </c>
      <c r="M291" s="270" t="s">
        <v>2479</v>
      </c>
      <c r="N291" s="272" t="s">
        <v>122</v>
      </c>
      <c r="O291" s="270" t="s">
        <v>2479</v>
      </c>
      <c r="P291" s="270" t="s">
        <v>1554</v>
      </c>
      <c r="Q291" s="270" t="s">
        <v>2198</v>
      </c>
      <c r="R291" s="306">
        <v>44571.628136574072</v>
      </c>
      <c r="S291" s="285">
        <v>2022</v>
      </c>
      <c r="T291" s="270" t="s">
        <v>2001</v>
      </c>
      <c r="U291" s="270" t="s">
        <v>678</v>
      </c>
      <c r="V291" s="270" t="s">
        <v>679</v>
      </c>
      <c r="W291" s="270" t="s">
        <v>145</v>
      </c>
      <c r="X291" s="270" t="s">
        <v>309</v>
      </c>
      <c r="Y291" s="273">
        <v>45078</v>
      </c>
      <c r="Z291" s="288" t="s">
        <v>1875</v>
      </c>
      <c r="AA291" s="288" t="s">
        <v>2479</v>
      </c>
      <c r="AB291" s="288" t="s">
        <v>139</v>
      </c>
      <c r="AC291" s="288" t="s">
        <v>1875</v>
      </c>
      <c r="AD291" s="288" t="s">
        <v>1805</v>
      </c>
      <c r="AE291" s="288" t="s">
        <v>1805</v>
      </c>
      <c r="AF291" s="288" t="s">
        <v>2479</v>
      </c>
      <c r="AG291" s="288" t="s">
        <v>2479</v>
      </c>
      <c r="AH291" s="288" t="s">
        <v>2479</v>
      </c>
      <c r="AI291" s="288" t="s">
        <v>2479</v>
      </c>
      <c r="AJ291" s="303" t="s">
        <v>2191</v>
      </c>
      <c r="AK291" s="288" t="s">
        <v>2479</v>
      </c>
      <c r="AL291" s="303" t="s">
        <v>2190</v>
      </c>
      <c r="AM291" s="288" t="s">
        <v>1975</v>
      </c>
      <c r="AN291" s="207" t="b">
        <v>0</v>
      </c>
      <c r="AY291" s="288" t="s">
        <v>2479</v>
      </c>
      <c r="AZ291" s="288" t="s">
        <v>2479</v>
      </c>
      <c r="BA291" s="288" t="s">
        <v>373</v>
      </c>
      <c r="BB291" s="288" t="s">
        <v>1610</v>
      </c>
      <c r="BC291" s="288" t="s">
        <v>2192</v>
      </c>
    </row>
    <row r="292" spans="1:55" ht="45" customHeight="1">
      <c r="A292" s="271">
        <f t="shared" si="4"/>
        <v>291</v>
      </c>
      <c r="B292" s="284" t="s">
        <v>2448</v>
      </c>
      <c r="C292" s="270" t="s">
        <v>2542</v>
      </c>
      <c r="D292" s="270" t="s">
        <v>8</v>
      </c>
      <c r="E292" s="270" t="s">
        <v>9</v>
      </c>
      <c r="F292" s="270" t="s">
        <v>1771</v>
      </c>
      <c r="G292" s="302">
        <v>44728</v>
      </c>
      <c r="L292" s="270" t="s">
        <v>2479</v>
      </c>
      <c r="M292" s="270" t="s">
        <v>2479</v>
      </c>
      <c r="N292" s="272" t="s">
        <v>122</v>
      </c>
      <c r="O292" s="270" t="s">
        <v>2479</v>
      </c>
      <c r="P292" s="270" t="s">
        <v>1554</v>
      </c>
      <c r="Q292" s="270" t="s">
        <v>2198</v>
      </c>
      <c r="R292" s="306">
        <v>44571.628935185188</v>
      </c>
      <c r="S292" s="285">
        <v>2022</v>
      </c>
      <c r="T292" s="270" t="s">
        <v>2001</v>
      </c>
      <c r="U292" s="270" t="s">
        <v>678</v>
      </c>
      <c r="V292" s="270" t="s">
        <v>679</v>
      </c>
      <c r="W292" s="270" t="s">
        <v>145</v>
      </c>
      <c r="X292" s="270" t="s">
        <v>309</v>
      </c>
      <c r="Y292" s="273">
        <v>45078</v>
      </c>
      <c r="Z292" s="288" t="s">
        <v>1875</v>
      </c>
      <c r="AA292" s="288" t="s">
        <v>2479</v>
      </c>
      <c r="AB292" s="288" t="s">
        <v>139</v>
      </c>
      <c r="AC292" s="288" t="s">
        <v>1875</v>
      </c>
      <c r="AD292" s="288" t="s">
        <v>1805</v>
      </c>
      <c r="AE292" s="288" t="s">
        <v>1805</v>
      </c>
      <c r="AF292" s="288" t="s">
        <v>2479</v>
      </c>
      <c r="AG292" s="288" t="s">
        <v>2479</v>
      </c>
      <c r="AH292" s="288" t="s">
        <v>2479</v>
      </c>
      <c r="AI292" s="288" t="s">
        <v>2479</v>
      </c>
      <c r="AJ292" s="303" t="s">
        <v>2191</v>
      </c>
      <c r="AK292" s="288" t="s">
        <v>2479</v>
      </c>
      <c r="AL292" s="303" t="s">
        <v>2190</v>
      </c>
      <c r="AM292" s="288" t="s">
        <v>1975</v>
      </c>
      <c r="AN292" s="207" t="b">
        <v>0</v>
      </c>
      <c r="AY292" s="288" t="s">
        <v>2479</v>
      </c>
      <c r="AZ292" s="288" t="s">
        <v>2479</v>
      </c>
      <c r="BA292" s="288" t="s">
        <v>373</v>
      </c>
      <c r="BB292" s="288" t="s">
        <v>1610</v>
      </c>
      <c r="BC292" s="288" t="s">
        <v>2192</v>
      </c>
    </row>
    <row r="293" spans="1:55" ht="45" customHeight="1">
      <c r="A293" s="271">
        <f t="shared" si="4"/>
        <v>292</v>
      </c>
      <c r="B293" s="284" t="s">
        <v>2449</v>
      </c>
      <c r="C293" s="270" t="s">
        <v>2543</v>
      </c>
      <c r="D293" s="270" t="s">
        <v>8</v>
      </c>
      <c r="E293" s="270" t="s">
        <v>9</v>
      </c>
      <c r="F293" s="270" t="s">
        <v>1771</v>
      </c>
      <c r="G293" s="302">
        <v>44733</v>
      </c>
      <c r="L293" s="270" t="s">
        <v>2479</v>
      </c>
      <c r="M293" s="270" t="s">
        <v>2479</v>
      </c>
      <c r="N293" s="272" t="s">
        <v>122</v>
      </c>
      <c r="O293" s="270" t="s">
        <v>2479</v>
      </c>
      <c r="P293" s="270" t="s">
        <v>1554</v>
      </c>
      <c r="Q293" s="270" t="s">
        <v>2198</v>
      </c>
      <c r="R293" s="306">
        <v>44571.629386574074</v>
      </c>
      <c r="S293" s="285">
        <v>2022</v>
      </c>
      <c r="T293" s="270" t="s">
        <v>2001</v>
      </c>
      <c r="U293" s="270" t="s">
        <v>678</v>
      </c>
      <c r="V293" s="270" t="s">
        <v>679</v>
      </c>
      <c r="W293" s="270" t="s">
        <v>145</v>
      </c>
      <c r="X293" s="270" t="s">
        <v>309</v>
      </c>
      <c r="Y293" s="273">
        <v>45078</v>
      </c>
      <c r="Z293" s="288" t="s">
        <v>1875</v>
      </c>
      <c r="AA293" s="288" t="s">
        <v>2479</v>
      </c>
      <c r="AB293" s="288" t="s">
        <v>139</v>
      </c>
      <c r="AC293" s="288" t="s">
        <v>1875</v>
      </c>
      <c r="AD293" s="288" t="s">
        <v>1805</v>
      </c>
      <c r="AE293" s="288" t="s">
        <v>1805</v>
      </c>
      <c r="AF293" s="288" t="s">
        <v>2479</v>
      </c>
      <c r="AG293" s="288" t="s">
        <v>2479</v>
      </c>
      <c r="AH293" s="288" t="s">
        <v>2479</v>
      </c>
      <c r="AI293" s="288" t="s">
        <v>2479</v>
      </c>
      <c r="AJ293" s="303" t="s">
        <v>2191</v>
      </c>
      <c r="AK293" s="288" t="s">
        <v>2479</v>
      </c>
      <c r="AL293" s="303" t="s">
        <v>2190</v>
      </c>
      <c r="AM293" s="288" t="s">
        <v>1975</v>
      </c>
      <c r="AN293" s="207" t="b">
        <v>0</v>
      </c>
      <c r="AY293" s="288" t="s">
        <v>2479</v>
      </c>
      <c r="AZ293" s="288" t="s">
        <v>2479</v>
      </c>
      <c r="BA293" s="288" t="s">
        <v>373</v>
      </c>
      <c r="BB293" s="288" t="s">
        <v>1610</v>
      </c>
      <c r="BC293" s="288" t="s">
        <v>2192</v>
      </c>
    </row>
    <row r="294" spans="1:55" ht="45" customHeight="1">
      <c r="A294" s="271">
        <f>ROW()-1</f>
        <v>293</v>
      </c>
      <c r="B294" s="284" t="s">
        <v>2544</v>
      </c>
      <c r="C294" s="270" t="s">
        <v>2545</v>
      </c>
      <c r="D294" s="270" t="s">
        <v>8</v>
      </c>
      <c r="E294" s="270" t="s">
        <v>9</v>
      </c>
      <c r="F294" s="270" t="s">
        <v>1771</v>
      </c>
      <c r="G294" s="302">
        <v>44746</v>
      </c>
      <c r="L294" s="270" t="s">
        <v>2479</v>
      </c>
      <c r="M294" s="270" t="s">
        <v>2479</v>
      </c>
      <c r="N294" s="272" t="s">
        <v>122</v>
      </c>
      <c r="O294" s="270" t="s">
        <v>2479</v>
      </c>
      <c r="P294" s="270" t="s">
        <v>1554</v>
      </c>
      <c r="Q294" s="270" t="s">
        <v>2198</v>
      </c>
      <c r="R294" s="306">
        <v>44571.62976851852</v>
      </c>
      <c r="S294" s="285">
        <v>2022</v>
      </c>
      <c r="T294" s="270" t="s">
        <v>2001</v>
      </c>
      <c r="U294" s="270" t="s">
        <v>678</v>
      </c>
      <c r="V294" s="270" t="s">
        <v>679</v>
      </c>
      <c r="W294" s="270" t="s">
        <v>145</v>
      </c>
      <c r="X294" s="270" t="s">
        <v>309</v>
      </c>
      <c r="Y294" s="273">
        <v>45078</v>
      </c>
      <c r="Z294" s="288" t="s">
        <v>1875</v>
      </c>
      <c r="AA294" s="288" t="s">
        <v>2479</v>
      </c>
      <c r="AB294" s="288" t="s">
        <v>139</v>
      </c>
      <c r="AC294" s="288" t="s">
        <v>1875</v>
      </c>
      <c r="AD294" s="288" t="s">
        <v>1805</v>
      </c>
      <c r="AE294" s="288" t="s">
        <v>1805</v>
      </c>
      <c r="AF294" s="288" t="s">
        <v>2479</v>
      </c>
      <c r="AG294" s="288" t="s">
        <v>2479</v>
      </c>
      <c r="AH294" s="288" t="s">
        <v>2479</v>
      </c>
      <c r="AI294" s="288" t="s">
        <v>2479</v>
      </c>
      <c r="AJ294" s="303" t="s">
        <v>2191</v>
      </c>
      <c r="AK294" s="288" t="s">
        <v>2479</v>
      </c>
      <c r="AL294" s="303" t="s">
        <v>2190</v>
      </c>
      <c r="AM294" s="288" t="s">
        <v>1975</v>
      </c>
      <c r="AN294" s="207" t="b">
        <v>0</v>
      </c>
      <c r="AY294" s="288" t="s">
        <v>2479</v>
      </c>
      <c r="AZ294" s="288" t="s">
        <v>2479</v>
      </c>
      <c r="BA294" s="288" t="s">
        <v>373</v>
      </c>
      <c r="BB294" s="288" t="s">
        <v>1610</v>
      </c>
      <c r="BC294" s="288" t="s">
        <v>2192</v>
      </c>
    </row>
    <row r="295" spans="1:55" ht="45" customHeight="1">
      <c r="A295" s="271">
        <f t="shared" si="4"/>
        <v>294</v>
      </c>
      <c r="B295" s="284" t="s">
        <v>2549</v>
      </c>
      <c r="C295" s="270" t="s">
        <v>2550</v>
      </c>
      <c r="D295" s="270" t="s">
        <v>8</v>
      </c>
      <c r="E295" s="270" t="s">
        <v>9</v>
      </c>
      <c r="F295" s="270" t="s">
        <v>1771</v>
      </c>
      <c r="G295" s="302">
        <v>44748</v>
      </c>
      <c r="L295" s="270" t="s">
        <v>2479</v>
      </c>
      <c r="M295" s="270" t="s">
        <v>2479</v>
      </c>
      <c r="N295" s="272" t="s">
        <v>122</v>
      </c>
      <c r="O295" s="270" t="s">
        <v>2479</v>
      </c>
      <c r="P295" s="270" t="s">
        <v>1554</v>
      </c>
      <c r="Q295" s="270" t="s">
        <v>2198</v>
      </c>
      <c r="R295" s="306">
        <v>44571.631168981483</v>
      </c>
      <c r="S295" s="285">
        <v>2022</v>
      </c>
      <c r="T295" s="270" t="s">
        <v>2001</v>
      </c>
      <c r="U295" s="270" t="s">
        <v>678</v>
      </c>
      <c r="V295" s="270" t="s">
        <v>679</v>
      </c>
      <c r="W295" s="270" t="s">
        <v>145</v>
      </c>
      <c r="X295" s="270" t="s">
        <v>309</v>
      </c>
      <c r="Y295" s="273">
        <v>45078</v>
      </c>
      <c r="Z295" s="288" t="s">
        <v>1875</v>
      </c>
      <c r="AA295" s="288" t="s">
        <v>2479</v>
      </c>
      <c r="AB295" s="288" t="s">
        <v>139</v>
      </c>
      <c r="AC295" s="288" t="s">
        <v>1875</v>
      </c>
      <c r="AD295" s="288" t="s">
        <v>1805</v>
      </c>
      <c r="AE295" s="288" t="s">
        <v>1805</v>
      </c>
      <c r="AF295" s="288" t="s">
        <v>2479</v>
      </c>
      <c r="AG295" s="288" t="s">
        <v>2479</v>
      </c>
      <c r="AH295" s="288" t="s">
        <v>2479</v>
      </c>
      <c r="AI295" s="288" t="s">
        <v>2479</v>
      </c>
      <c r="AJ295" s="303" t="s">
        <v>2191</v>
      </c>
      <c r="AK295" s="288" t="s">
        <v>2479</v>
      </c>
      <c r="AL295" s="303" t="s">
        <v>2190</v>
      </c>
      <c r="AM295" s="288" t="s">
        <v>1975</v>
      </c>
      <c r="AN295" s="207" t="b">
        <v>0</v>
      </c>
      <c r="AY295" s="288" t="s">
        <v>2479</v>
      </c>
      <c r="AZ295" s="288" t="s">
        <v>2479</v>
      </c>
      <c r="BA295" s="288" t="s">
        <v>373</v>
      </c>
      <c r="BB295" s="288" t="s">
        <v>1610</v>
      </c>
      <c r="BC295" s="288" t="s">
        <v>2192</v>
      </c>
    </row>
    <row r="296" spans="1:55" ht="45" customHeight="1">
      <c r="A296" s="271">
        <f t="shared" si="4"/>
        <v>295</v>
      </c>
      <c r="B296" s="276" t="s">
        <v>2824</v>
      </c>
      <c r="C296" s="277" t="s">
        <v>2825</v>
      </c>
      <c r="D296" s="277" t="s">
        <v>8</v>
      </c>
      <c r="E296" s="277" t="s">
        <v>9</v>
      </c>
      <c r="F296" s="277" t="s">
        <v>1771</v>
      </c>
      <c r="G296" s="307">
        <v>44807</v>
      </c>
      <c r="H296" s="308"/>
      <c r="I296" s="308"/>
      <c r="J296" s="277"/>
      <c r="K296" s="279"/>
      <c r="L296" s="277" t="s">
        <v>2479</v>
      </c>
      <c r="M296" s="277" t="s">
        <v>2479</v>
      </c>
      <c r="N296" s="277" t="s">
        <v>122</v>
      </c>
      <c r="O296" s="277" t="s">
        <v>2479</v>
      </c>
      <c r="P296" s="277" t="s">
        <v>1554</v>
      </c>
      <c r="Q296" s="277" t="s">
        <v>2198</v>
      </c>
      <c r="R296" s="279">
        <v>44630.545960648145</v>
      </c>
      <c r="S296" s="286">
        <v>2022</v>
      </c>
      <c r="T296" s="277" t="s">
        <v>2001</v>
      </c>
      <c r="U296" s="277" t="s">
        <v>678</v>
      </c>
      <c r="V296" s="277" t="s">
        <v>679</v>
      </c>
      <c r="W296" s="277" t="s">
        <v>145</v>
      </c>
      <c r="X296" s="277" t="s">
        <v>309</v>
      </c>
      <c r="Y296" s="278">
        <v>45078</v>
      </c>
      <c r="Z296" s="287" t="s">
        <v>1875</v>
      </c>
      <c r="AA296" s="287" t="s">
        <v>2479</v>
      </c>
      <c r="AB296" s="287" t="s">
        <v>139</v>
      </c>
      <c r="AC296" s="287" t="s">
        <v>1875</v>
      </c>
      <c r="AD296" s="287" t="s">
        <v>1805</v>
      </c>
      <c r="AE296" s="287" t="s">
        <v>1805</v>
      </c>
      <c r="AF296" s="287" t="s">
        <v>2479</v>
      </c>
      <c r="AG296" s="287" t="s">
        <v>2479</v>
      </c>
      <c r="AH296" s="287" t="s">
        <v>2479</v>
      </c>
      <c r="AI296" s="287" t="s">
        <v>2479</v>
      </c>
      <c r="AJ296" s="304" t="s">
        <v>2191</v>
      </c>
      <c r="AK296" s="287" t="s">
        <v>2479</v>
      </c>
      <c r="AL296" s="304" t="s">
        <v>2190</v>
      </c>
      <c r="AM296" s="289" t="s">
        <v>1975</v>
      </c>
      <c r="AN296" s="281" t="b">
        <v>0</v>
      </c>
      <c r="AO296" s="305"/>
      <c r="AP296" s="291"/>
      <c r="AQ296" s="291"/>
      <c r="AR296" s="291"/>
      <c r="AS296" s="291"/>
      <c r="AT296" s="291"/>
      <c r="AU296" s="291"/>
      <c r="AV296" s="305"/>
      <c r="AW296" s="281"/>
      <c r="AX296" s="281"/>
      <c r="AY296" s="289" t="s">
        <v>2479</v>
      </c>
      <c r="AZ296" s="289" t="s">
        <v>2479</v>
      </c>
      <c r="BA296" s="289" t="s">
        <v>373</v>
      </c>
      <c r="BB296" s="289" t="s">
        <v>1610</v>
      </c>
      <c r="BC296" s="292" t="s">
        <v>2192</v>
      </c>
    </row>
    <row r="297" spans="1:55" ht="45" customHeight="1">
      <c r="A297" s="271">
        <f t="shared" si="4"/>
        <v>296</v>
      </c>
      <c r="B297" s="276" t="s">
        <v>2828</v>
      </c>
      <c r="C297" s="277" t="s">
        <v>2829</v>
      </c>
      <c r="D297" s="277" t="s">
        <v>8</v>
      </c>
      <c r="E297" s="277" t="s">
        <v>9</v>
      </c>
      <c r="F297" s="277" t="s">
        <v>1771</v>
      </c>
      <c r="G297" s="307">
        <v>44809</v>
      </c>
      <c r="H297" s="308"/>
      <c r="I297" s="308"/>
      <c r="J297" s="277"/>
      <c r="K297" s="279"/>
      <c r="L297" s="277" t="s">
        <v>2479</v>
      </c>
      <c r="M297" s="277" t="s">
        <v>2479</v>
      </c>
      <c r="N297" s="277" t="s">
        <v>122</v>
      </c>
      <c r="O297" s="277" t="s">
        <v>2479</v>
      </c>
      <c r="P297" s="277" t="s">
        <v>1554</v>
      </c>
      <c r="Q297" s="277" t="s">
        <v>2198</v>
      </c>
      <c r="R297" s="279">
        <v>44630.5471875</v>
      </c>
      <c r="S297" s="286">
        <v>2022</v>
      </c>
      <c r="T297" s="277" t="s">
        <v>2001</v>
      </c>
      <c r="U297" s="277" t="s">
        <v>678</v>
      </c>
      <c r="V297" s="277" t="s">
        <v>679</v>
      </c>
      <c r="W297" s="277" t="s">
        <v>145</v>
      </c>
      <c r="X297" s="277" t="s">
        <v>309</v>
      </c>
      <c r="Y297" s="278">
        <v>45078</v>
      </c>
      <c r="Z297" s="287" t="s">
        <v>1875</v>
      </c>
      <c r="AA297" s="287" t="s">
        <v>2479</v>
      </c>
      <c r="AB297" s="287" t="s">
        <v>139</v>
      </c>
      <c r="AC297" s="287" t="s">
        <v>1875</v>
      </c>
      <c r="AD297" s="287" t="s">
        <v>1805</v>
      </c>
      <c r="AE297" s="287" t="s">
        <v>1805</v>
      </c>
      <c r="AF297" s="287" t="s">
        <v>2479</v>
      </c>
      <c r="AG297" s="287" t="s">
        <v>2479</v>
      </c>
      <c r="AH297" s="287" t="s">
        <v>2479</v>
      </c>
      <c r="AI297" s="287" t="s">
        <v>2479</v>
      </c>
      <c r="AJ297" s="304" t="s">
        <v>2191</v>
      </c>
      <c r="AK297" s="287" t="s">
        <v>2479</v>
      </c>
      <c r="AL297" s="304" t="s">
        <v>2190</v>
      </c>
      <c r="AM297" s="289" t="s">
        <v>1975</v>
      </c>
      <c r="AN297" s="281" t="b">
        <v>0</v>
      </c>
      <c r="AO297" s="305"/>
      <c r="AP297" s="291"/>
      <c r="AQ297" s="291"/>
      <c r="AR297" s="291"/>
      <c r="AS297" s="291"/>
      <c r="AT297" s="291"/>
      <c r="AU297" s="291"/>
      <c r="AV297" s="305"/>
      <c r="AW297" s="281"/>
      <c r="AX297" s="281"/>
      <c r="AY297" s="289" t="s">
        <v>2479</v>
      </c>
      <c r="AZ297" s="289" t="s">
        <v>2479</v>
      </c>
      <c r="BA297" s="289" t="s">
        <v>373</v>
      </c>
      <c r="BB297" s="289" t="s">
        <v>1610</v>
      </c>
      <c r="BC297" s="292" t="s">
        <v>2192</v>
      </c>
    </row>
    <row r="298" spans="1:55" ht="45" customHeight="1">
      <c r="A298" s="271">
        <f t="shared" si="4"/>
        <v>297</v>
      </c>
      <c r="B298" s="276" t="s">
        <v>2830</v>
      </c>
      <c r="C298" s="277" t="s">
        <v>2831</v>
      </c>
      <c r="D298" s="277" t="s">
        <v>8</v>
      </c>
      <c r="E298" s="277" t="s">
        <v>9</v>
      </c>
      <c r="F298" s="277" t="s">
        <v>1771</v>
      </c>
      <c r="G298" s="307">
        <v>44809</v>
      </c>
      <c r="H298" s="308"/>
      <c r="I298" s="308"/>
      <c r="J298" s="277"/>
      <c r="K298" s="279"/>
      <c r="L298" s="277" t="s">
        <v>2479</v>
      </c>
      <c r="M298" s="277" t="s">
        <v>2479</v>
      </c>
      <c r="N298" s="277" t="s">
        <v>122</v>
      </c>
      <c r="O298" s="277" t="s">
        <v>2479</v>
      </c>
      <c r="P298" s="277" t="s">
        <v>1554</v>
      </c>
      <c r="Q298" s="277" t="s">
        <v>2198</v>
      </c>
      <c r="R298" s="279">
        <v>44630.54792824074</v>
      </c>
      <c r="S298" s="286">
        <v>2022</v>
      </c>
      <c r="T298" s="277" t="s">
        <v>2001</v>
      </c>
      <c r="U298" s="277" t="s">
        <v>678</v>
      </c>
      <c r="V298" s="277" t="s">
        <v>679</v>
      </c>
      <c r="W298" s="277" t="s">
        <v>145</v>
      </c>
      <c r="X298" s="277" t="s">
        <v>309</v>
      </c>
      <c r="Y298" s="278">
        <v>45078</v>
      </c>
      <c r="Z298" s="287" t="s">
        <v>1875</v>
      </c>
      <c r="AA298" s="287" t="s">
        <v>2479</v>
      </c>
      <c r="AB298" s="287" t="s">
        <v>139</v>
      </c>
      <c r="AC298" s="287" t="s">
        <v>1875</v>
      </c>
      <c r="AD298" s="287" t="s">
        <v>1805</v>
      </c>
      <c r="AE298" s="287" t="s">
        <v>1805</v>
      </c>
      <c r="AF298" s="287" t="s">
        <v>2479</v>
      </c>
      <c r="AG298" s="287" t="s">
        <v>2479</v>
      </c>
      <c r="AH298" s="287" t="s">
        <v>2479</v>
      </c>
      <c r="AI298" s="287" t="s">
        <v>2479</v>
      </c>
      <c r="AJ298" s="304" t="s">
        <v>2191</v>
      </c>
      <c r="AK298" s="287" t="s">
        <v>2479</v>
      </c>
      <c r="AL298" s="304" t="s">
        <v>2190</v>
      </c>
      <c r="AM298" s="289" t="s">
        <v>1975</v>
      </c>
      <c r="AN298" s="281" t="b">
        <v>0</v>
      </c>
      <c r="AO298" s="305"/>
      <c r="AP298" s="291"/>
      <c r="AQ298" s="291"/>
      <c r="AR298" s="291"/>
      <c r="AS298" s="291"/>
      <c r="AT298" s="291"/>
      <c r="AU298" s="291"/>
      <c r="AV298" s="305"/>
      <c r="AW298" s="281"/>
      <c r="AX298" s="281"/>
      <c r="AY298" s="289" t="s">
        <v>2479</v>
      </c>
      <c r="AZ298" s="289" t="s">
        <v>2479</v>
      </c>
      <c r="BA298" s="289" t="s">
        <v>373</v>
      </c>
      <c r="BB298" s="289" t="s">
        <v>1610</v>
      </c>
      <c r="BC298" s="292" t="s">
        <v>2192</v>
      </c>
    </row>
    <row r="299" spans="1:55" ht="45" customHeight="1">
      <c r="A299" s="271">
        <f t="shared" si="4"/>
        <v>298</v>
      </c>
      <c r="B299" s="276" t="s">
        <v>2832</v>
      </c>
      <c r="C299" s="277" t="s">
        <v>2833</v>
      </c>
      <c r="D299" s="277" t="s">
        <v>8</v>
      </c>
      <c r="E299" s="277" t="s">
        <v>9</v>
      </c>
      <c r="F299" s="277" t="s">
        <v>1771</v>
      </c>
      <c r="G299" s="307">
        <v>44809</v>
      </c>
      <c r="H299" s="308"/>
      <c r="I299" s="308"/>
      <c r="J299" s="277"/>
      <c r="K299" s="279"/>
      <c r="L299" s="277" t="s">
        <v>2479</v>
      </c>
      <c r="M299" s="277" t="s">
        <v>2479</v>
      </c>
      <c r="N299" s="277" t="s">
        <v>122</v>
      </c>
      <c r="O299" s="277" t="s">
        <v>2479</v>
      </c>
      <c r="P299" s="277" t="s">
        <v>1554</v>
      </c>
      <c r="Q299" s="277" t="s">
        <v>2198</v>
      </c>
      <c r="R299" s="279">
        <v>44630.548391203702</v>
      </c>
      <c r="S299" s="286">
        <v>2022</v>
      </c>
      <c r="T299" s="277" t="s">
        <v>2001</v>
      </c>
      <c r="U299" s="277" t="s">
        <v>678</v>
      </c>
      <c r="V299" s="277" t="s">
        <v>679</v>
      </c>
      <c r="W299" s="277" t="s">
        <v>145</v>
      </c>
      <c r="X299" s="277" t="s">
        <v>309</v>
      </c>
      <c r="Y299" s="278">
        <v>45078</v>
      </c>
      <c r="Z299" s="287" t="s">
        <v>1875</v>
      </c>
      <c r="AA299" s="287" t="s">
        <v>2479</v>
      </c>
      <c r="AB299" s="287" t="s">
        <v>139</v>
      </c>
      <c r="AC299" s="287" t="s">
        <v>1875</v>
      </c>
      <c r="AD299" s="287" t="s">
        <v>1805</v>
      </c>
      <c r="AE299" s="287" t="s">
        <v>1805</v>
      </c>
      <c r="AF299" s="287" t="s">
        <v>2479</v>
      </c>
      <c r="AG299" s="287" t="s">
        <v>2479</v>
      </c>
      <c r="AH299" s="287" t="s">
        <v>2479</v>
      </c>
      <c r="AI299" s="287" t="s">
        <v>2479</v>
      </c>
      <c r="AJ299" s="304" t="s">
        <v>2191</v>
      </c>
      <c r="AK299" s="287" t="s">
        <v>2479</v>
      </c>
      <c r="AL299" s="304" t="s">
        <v>2190</v>
      </c>
      <c r="AM299" s="289" t="s">
        <v>1975</v>
      </c>
      <c r="AN299" s="281" t="b">
        <v>0</v>
      </c>
      <c r="AO299" s="305"/>
      <c r="AP299" s="291"/>
      <c r="AQ299" s="291"/>
      <c r="AR299" s="291"/>
      <c r="AS299" s="291"/>
      <c r="AT299" s="291"/>
      <c r="AU299" s="291"/>
      <c r="AV299" s="305"/>
      <c r="AW299" s="281"/>
      <c r="AX299" s="281"/>
      <c r="AY299" s="289" t="s">
        <v>2479</v>
      </c>
      <c r="AZ299" s="289" t="s">
        <v>2479</v>
      </c>
      <c r="BA299" s="289" t="s">
        <v>373</v>
      </c>
      <c r="BB299" s="289" t="s">
        <v>1610</v>
      </c>
      <c r="BC299" s="292" t="s">
        <v>2192</v>
      </c>
    </row>
    <row r="300" spans="1:55" ht="45" customHeight="1">
      <c r="A300" s="271">
        <f t="shared" si="4"/>
        <v>299</v>
      </c>
      <c r="B300" s="276" t="s">
        <v>2834</v>
      </c>
      <c r="C300" s="277" t="s">
        <v>2835</v>
      </c>
      <c r="D300" s="277" t="s">
        <v>8</v>
      </c>
      <c r="E300" s="277" t="s">
        <v>9</v>
      </c>
      <c r="F300" s="277" t="s">
        <v>1771</v>
      </c>
      <c r="G300" s="307">
        <v>44826</v>
      </c>
      <c r="H300" s="308"/>
      <c r="I300" s="308"/>
      <c r="J300" s="277"/>
      <c r="K300" s="279"/>
      <c r="L300" s="277" t="s">
        <v>2479</v>
      </c>
      <c r="M300" s="277" t="s">
        <v>2479</v>
      </c>
      <c r="N300" s="277" t="s">
        <v>122</v>
      </c>
      <c r="O300" s="277" t="s">
        <v>2479</v>
      </c>
      <c r="P300" s="277" t="s">
        <v>1554</v>
      </c>
      <c r="Q300" s="277" t="s">
        <v>2198</v>
      </c>
      <c r="R300" s="279">
        <v>44630.548900462964</v>
      </c>
      <c r="S300" s="286">
        <v>2022</v>
      </c>
      <c r="T300" s="277" t="s">
        <v>2001</v>
      </c>
      <c r="U300" s="277" t="s">
        <v>678</v>
      </c>
      <c r="V300" s="277" t="s">
        <v>679</v>
      </c>
      <c r="W300" s="277" t="s">
        <v>145</v>
      </c>
      <c r="X300" s="277" t="s">
        <v>309</v>
      </c>
      <c r="Y300" s="278">
        <v>45078</v>
      </c>
      <c r="Z300" s="287" t="s">
        <v>1875</v>
      </c>
      <c r="AA300" s="287" t="s">
        <v>2479</v>
      </c>
      <c r="AB300" s="287" t="s">
        <v>139</v>
      </c>
      <c r="AC300" s="287" t="s">
        <v>1875</v>
      </c>
      <c r="AD300" s="287" t="s">
        <v>1805</v>
      </c>
      <c r="AE300" s="287" t="s">
        <v>1805</v>
      </c>
      <c r="AF300" s="287" t="s">
        <v>2479</v>
      </c>
      <c r="AG300" s="287" t="s">
        <v>2479</v>
      </c>
      <c r="AH300" s="287" t="s">
        <v>2479</v>
      </c>
      <c r="AI300" s="287" t="s">
        <v>2479</v>
      </c>
      <c r="AJ300" s="304" t="s">
        <v>2191</v>
      </c>
      <c r="AK300" s="287" t="s">
        <v>2479</v>
      </c>
      <c r="AL300" s="304" t="s">
        <v>2190</v>
      </c>
      <c r="AM300" s="289" t="s">
        <v>1975</v>
      </c>
      <c r="AN300" s="281" t="b">
        <v>0</v>
      </c>
      <c r="AO300" s="305"/>
      <c r="AP300" s="291"/>
      <c r="AQ300" s="291"/>
      <c r="AR300" s="291"/>
      <c r="AS300" s="291"/>
      <c r="AT300" s="291"/>
      <c r="AU300" s="291"/>
      <c r="AV300" s="305"/>
      <c r="AW300" s="281"/>
      <c r="AX300" s="281"/>
      <c r="AY300" s="289" t="s">
        <v>2479</v>
      </c>
      <c r="AZ300" s="289" t="s">
        <v>2479</v>
      </c>
      <c r="BA300" s="289" t="s">
        <v>373</v>
      </c>
      <c r="BB300" s="289" t="s">
        <v>1610</v>
      </c>
      <c r="BC300" s="292" t="s">
        <v>2192</v>
      </c>
    </row>
    <row r="301" spans="1:55" ht="45" customHeight="1">
      <c r="A301" s="271">
        <f t="shared" si="4"/>
        <v>300</v>
      </c>
      <c r="B301" s="276" t="s">
        <v>2838</v>
      </c>
      <c r="C301" s="277" t="s">
        <v>2839</v>
      </c>
      <c r="D301" s="277" t="s">
        <v>8</v>
      </c>
      <c r="E301" s="277" t="s">
        <v>9</v>
      </c>
      <c r="F301" s="277" t="s">
        <v>1771</v>
      </c>
      <c r="G301" s="307">
        <v>44834</v>
      </c>
      <c r="H301" s="308"/>
      <c r="I301" s="308"/>
      <c r="J301" s="277"/>
      <c r="K301" s="279"/>
      <c r="L301" s="277" t="s">
        <v>2479</v>
      </c>
      <c r="M301" s="277" t="s">
        <v>2479</v>
      </c>
      <c r="N301" s="277" t="s">
        <v>122</v>
      </c>
      <c r="O301" s="277" t="s">
        <v>2479</v>
      </c>
      <c r="P301" s="277" t="s">
        <v>1554</v>
      </c>
      <c r="Q301" s="277" t="s">
        <v>2198</v>
      </c>
      <c r="R301" s="279">
        <v>44630.550451388888</v>
      </c>
      <c r="S301" s="286">
        <v>2022</v>
      </c>
      <c r="T301" s="277" t="s">
        <v>2001</v>
      </c>
      <c r="U301" s="277" t="s">
        <v>678</v>
      </c>
      <c r="V301" s="277" t="s">
        <v>679</v>
      </c>
      <c r="W301" s="277" t="s">
        <v>145</v>
      </c>
      <c r="X301" s="277" t="s">
        <v>309</v>
      </c>
      <c r="Y301" s="278">
        <v>45078</v>
      </c>
      <c r="Z301" s="287" t="s">
        <v>1875</v>
      </c>
      <c r="AA301" s="287" t="s">
        <v>2479</v>
      </c>
      <c r="AB301" s="287" t="s">
        <v>139</v>
      </c>
      <c r="AC301" s="287" t="s">
        <v>1875</v>
      </c>
      <c r="AD301" s="287" t="s">
        <v>1805</v>
      </c>
      <c r="AE301" s="287" t="s">
        <v>1805</v>
      </c>
      <c r="AF301" s="287" t="s">
        <v>2479</v>
      </c>
      <c r="AG301" s="287" t="s">
        <v>2479</v>
      </c>
      <c r="AH301" s="287" t="s">
        <v>2479</v>
      </c>
      <c r="AI301" s="287" t="s">
        <v>2479</v>
      </c>
      <c r="AJ301" s="304" t="s">
        <v>2191</v>
      </c>
      <c r="AK301" s="287" t="s">
        <v>2479</v>
      </c>
      <c r="AL301" s="304" t="s">
        <v>2190</v>
      </c>
      <c r="AM301" s="289" t="s">
        <v>1975</v>
      </c>
      <c r="AN301" s="281" t="b">
        <v>0</v>
      </c>
      <c r="AO301" s="305"/>
      <c r="AP301" s="291"/>
      <c r="AQ301" s="291"/>
      <c r="AR301" s="291"/>
      <c r="AS301" s="291"/>
      <c r="AT301" s="291"/>
      <c r="AU301" s="291"/>
      <c r="AV301" s="305"/>
      <c r="AW301" s="281"/>
      <c r="AX301" s="281"/>
      <c r="AY301" s="289" t="s">
        <v>2479</v>
      </c>
      <c r="AZ301" s="289" t="s">
        <v>2479</v>
      </c>
      <c r="BA301" s="289" t="s">
        <v>373</v>
      </c>
      <c r="BB301" s="289" t="s">
        <v>1610</v>
      </c>
      <c r="BC301" s="292" t="s">
        <v>2192</v>
      </c>
    </row>
    <row r="302" spans="1:55" ht="45" customHeight="1">
      <c r="A302" s="271">
        <f t="shared" si="4"/>
        <v>301</v>
      </c>
      <c r="B302" s="276" t="s">
        <v>2840</v>
      </c>
      <c r="C302" s="277" t="s">
        <v>2841</v>
      </c>
      <c r="D302" s="277" t="s">
        <v>8</v>
      </c>
      <c r="E302" s="277" t="s">
        <v>9</v>
      </c>
      <c r="F302" s="277" t="s">
        <v>1771</v>
      </c>
      <c r="G302" s="307">
        <v>44834</v>
      </c>
      <c r="H302" s="308"/>
      <c r="I302" s="308"/>
      <c r="J302" s="277"/>
      <c r="K302" s="279"/>
      <c r="L302" s="277" t="s">
        <v>2479</v>
      </c>
      <c r="M302" s="277" t="s">
        <v>2479</v>
      </c>
      <c r="N302" s="277" t="s">
        <v>122</v>
      </c>
      <c r="O302" s="277" t="s">
        <v>2479</v>
      </c>
      <c r="P302" s="277" t="s">
        <v>1554</v>
      </c>
      <c r="Q302" s="277" t="s">
        <v>2198</v>
      </c>
      <c r="R302" s="279">
        <v>44630.551006944443</v>
      </c>
      <c r="S302" s="286">
        <v>2022</v>
      </c>
      <c r="T302" s="277" t="s">
        <v>2001</v>
      </c>
      <c r="U302" s="277" t="s">
        <v>678</v>
      </c>
      <c r="V302" s="277" t="s">
        <v>679</v>
      </c>
      <c r="W302" s="277" t="s">
        <v>145</v>
      </c>
      <c r="X302" s="277" t="s">
        <v>309</v>
      </c>
      <c r="Y302" s="278">
        <v>45078</v>
      </c>
      <c r="Z302" s="287" t="s">
        <v>1875</v>
      </c>
      <c r="AA302" s="287" t="s">
        <v>2479</v>
      </c>
      <c r="AB302" s="287" t="s">
        <v>139</v>
      </c>
      <c r="AC302" s="287" t="s">
        <v>1875</v>
      </c>
      <c r="AD302" s="287" t="s">
        <v>1805</v>
      </c>
      <c r="AE302" s="287" t="s">
        <v>1805</v>
      </c>
      <c r="AF302" s="287" t="s">
        <v>2479</v>
      </c>
      <c r="AG302" s="287" t="s">
        <v>2479</v>
      </c>
      <c r="AH302" s="287" t="s">
        <v>2479</v>
      </c>
      <c r="AI302" s="287" t="s">
        <v>2479</v>
      </c>
      <c r="AJ302" s="304" t="s">
        <v>2191</v>
      </c>
      <c r="AK302" s="287" t="s">
        <v>2479</v>
      </c>
      <c r="AL302" s="304" t="s">
        <v>2190</v>
      </c>
      <c r="AM302" s="289" t="s">
        <v>1975</v>
      </c>
      <c r="AN302" s="281" t="b">
        <v>0</v>
      </c>
      <c r="AO302" s="305"/>
      <c r="AP302" s="291"/>
      <c r="AQ302" s="291"/>
      <c r="AR302" s="291"/>
      <c r="AS302" s="291"/>
      <c r="AT302" s="291"/>
      <c r="AU302" s="291"/>
      <c r="AV302" s="305"/>
      <c r="AW302" s="281"/>
      <c r="AX302" s="281"/>
      <c r="AY302" s="289" t="s">
        <v>2479</v>
      </c>
      <c r="AZ302" s="289" t="s">
        <v>2479</v>
      </c>
      <c r="BA302" s="289" t="s">
        <v>373</v>
      </c>
      <c r="BB302" s="289" t="s">
        <v>1610</v>
      </c>
      <c r="BC302" s="292" t="s">
        <v>2192</v>
      </c>
    </row>
    <row r="303" spans="1:55" ht="45" customHeight="1">
      <c r="A303" s="271">
        <f t="shared" si="4"/>
        <v>302</v>
      </c>
      <c r="B303" s="276" t="s">
        <v>2906</v>
      </c>
      <c r="C303" s="277" t="s">
        <v>2907</v>
      </c>
      <c r="D303" s="277" t="s">
        <v>8</v>
      </c>
      <c r="E303" s="277" t="s">
        <v>9</v>
      </c>
      <c r="F303" s="277" t="s">
        <v>1771</v>
      </c>
      <c r="G303" s="307">
        <v>44839</v>
      </c>
      <c r="H303" s="308"/>
      <c r="I303" s="308"/>
      <c r="J303" s="277"/>
      <c r="K303" s="279"/>
      <c r="L303" s="277" t="s">
        <v>2479</v>
      </c>
      <c r="M303" s="277" t="s">
        <v>2479</v>
      </c>
      <c r="N303" s="277" t="s">
        <v>122</v>
      </c>
      <c r="O303" s="277" t="s">
        <v>2479</v>
      </c>
      <c r="P303" s="277" t="s">
        <v>1554</v>
      </c>
      <c r="Q303" s="277" t="s">
        <v>2198</v>
      </c>
      <c r="R303" s="279" t="s">
        <v>2908</v>
      </c>
      <c r="S303" s="286">
        <v>2022</v>
      </c>
      <c r="T303" s="277" t="s">
        <v>2001</v>
      </c>
      <c r="U303" s="277" t="s">
        <v>678</v>
      </c>
      <c r="V303" s="277" t="s">
        <v>679</v>
      </c>
      <c r="W303" s="277" t="s">
        <v>145</v>
      </c>
      <c r="X303" s="277" t="s">
        <v>309</v>
      </c>
      <c r="Y303" s="278">
        <v>45078</v>
      </c>
      <c r="Z303" s="287" t="s">
        <v>1875</v>
      </c>
      <c r="AA303" s="287" t="s">
        <v>2479</v>
      </c>
      <c r="AB303" s="287" t="s">
        <v>139</v>
      </c>
      <c r="AC303" s="287" t="s">
        <v>1875</v>
      </c>
      <c r="AD303" s="287" t="s">
        <v>1805</v>
      </c>
      <c r="AE303" s="287" t="s">
        <v>1805</v>
      </c>
      <c r="AF303" s="287" t="s">
        <v>2479</v>
      </c>
      <c r="AG303" s="287" t="s">
        <v>2479</v>
      </c>
      <c r="AH303" s="287" t="s">
        <v>2479</v>
      </c>
      <c r="AI303" s="287" t="s">
        <v>2479</v>
      </c>
      <c r="AJ303" s="304" t="s">
        <v>2191</v>
      </c>
      <c r="AK303" s="287" t="s">
        <v>2479</v>
      </c>
      <c r="AL303" s="304" t="s">
        <v>2190</v>
      </c>
      <c r="AM303" s="289" t="s">
        <v>1975</v>
      </c>
      <c r="AN303" s="281" t="b">
        <v>0</v>
      </c>
      <c r="AO303" s="305"/>
      <c r="AP303" s="291"/>
      <c r="AQ303" s="291"/>
      <c r="AR303" s="291"/>
      <c r="AS303" s="291"/>
      <c r="AT303" s="291"/>
      <c r="AU303" s="291"/>
      <c r="AV303" s="305"/>
      <c r="AW303" s="281"/>
      <c r="AX303" s="281"/>
      <c r="AY303" s="289" t="s">
        <v>2479</v>
      </c>
      <c r="AZ303" s="289" t="s">
        <v>2479</v>
      </c>
      <c r="BA303" s="289" t="s">
        <v>373</v>
      </c>
      <c r="BB303" s="289" t="s">
        <v>1610</v>
      </c>
      <c r="BC303" s="292" t="s">
        <v>2192</v>
      </c>
    </row>
    <row r="304" spans="1:55" ht="45" customHeight="1">
      <c r="A304" s="271">
        <f t="shared" si="4"/>
        <v>303</v>
      </c>
      <c r="B304" s="276" t="s">
        <v>2909</v>
      </c>
      <c r="C304" s="277" t="s">
        <v>2910</v>
      </c>
      <c r="D304" s="277" t="s">
        <v>8</v>
      </c>
      <c r="E304" s="277" t="s">
        <v>9</v>
      </c>
      <c r="F304" s="277" t="s">
        <v>1771</v>
      </c>
      <c r="G304" s="307">
        <v>44839</v>
      </c>
      <c r="H304" s="308"/>
      <c r="I304" s="308"/>
      <c r="J304" s="277"/>
      <c r="K304" s="279">
        <v>45101</v>
      </c>
      <c r="L304" s="277" t="s">
        <v>2193</v>
      </c>
      <c r="M304" s="277" t="s">
        <v>115</v>
      </c>
      <c r="N304" s="277" t="s">
        <v>2479</v>
      </c>
      <c r="O304" s="277" t="s">
        <v>2479</v>
      </c>
      <c r="P304" s="277" t="s">
        <v>1554</v>
      </c>
      <c r="Q304" s="277" t="s">
        <v>2198</v>
      </c>
      <c r="R304" s="279">
        <v>44992.547858796293</v>
      </c>
      <c r="S304" s="286">
        <v>2022</v>
      </c>
      <c r="T304" s="277" t="s">
        <v>2194</v>
      </c>
      <c r="U304" s="277" t="s">
        <v>678</v>
      </c>
      <c r="V304" s="277" t="s">
        <v>679</v>
      </c>
      <c r="W304" s="277" t="s">
        <v>145</v>
      </c>
      <c r="X304" s="277" t="s">
        <v>309</v>
      </c>
      <c r="Y304" s="278">
        <v>45078</v>
      </c>
      <c r="Z304" s="287" t="s">
        <v>1875</v>
      </c>
      <c r="AA304" s="287" t="s">
        <v>2479</v>
      </c>
      <c r="AB304" s="287" t="s">
        <v>139</v>
      </c>
      <c r="AC304" s="287" t="s">
        <v>1875</v>
      </c>
      <c r="AD304" s="287" t="s">
        <v>1805</v>
      </c>
      <c r="AE304" s="287" t="s">
        <v>1805</v>
      </c>
      <c r="AF304" s="287" t="s">
        <v>2479</v>
      </c>
      <c r="AG304" s="287" t="s">
        <v>2479</v>
      </c>
      <c r="AH304" s="287" t="s">
        <v>2479</v>
      </c>
      <c r="AI304" s="287" t="s">
        <v>2479</v>
      </c>
      <c r="AJ304" s="304" t="s">
        <v>2191</v>
      </c>
      <c r="AK304" s="287" t="s">
        <v>2479</v>
      </c>
      <c r="AL304" s="304" t="s">
        <v>2190</v>
      </c>
      <c r="AM304" s="289" t="s">
        <v>1975</v>
      </c>
      <c r="AN304" s="281" t="b">
        <v>0</v>
      </c>
      <c r="AO304" s="305"/>
      <c r="AP304" s="291"/>
      <c r="AQ304" s="291"/>
      <c r="AR304" s="291"/>
      <c r="AS304" s="291"/>
      <c r="AT304" s="291"/>
      <c r="AU304" s="291"/>
      <c r="AV304" s="305"/>
      <c r="AW304" s="281"/>
      <c r="AX304" s="281"/>
      <c r="AY304" s="289" t="s">
        <v>2479</v>
      </c>
      <c r="AZ304" s="289" t="s">
        <v>2479</v>
      </c>
      <c r="BA304" s="289" t="s">
        <v>373</v>
      </c>
      <c r="BB304" s="289" t="s">
        <v>139</v>
      </c>
      <c r="BC304" s="292" t="s">
        <v>2192</v>
      </c>
    </row>
    <row r="305" spans="1:55" ht="45" customHeight="1">
      <c r="A305" s="271">
        <f t="shared" si="4"/>
        <v>304</v>
      </c>
      <c r="B305" s="276" t="s">
        <v>2501</v>
      </c>
      <c r="C305" s="277" t="s">
        <v>2914</v>
      </c>
      <c r="D305" s="277" t="s">
        <v>8</v>
      </c>
      <c r="E305" s="277" t="s">
        <v>9</v>
      </c>
      <c r="F305" s="277" t="s">
        <v>1771</v>
      </c>
      <c r="G305" s="307">
        <v>44839</v>
      </c>
      <c r="H305" s="308"/>
      <c r="I305" s="308"/>
      <c r="J305" s="277"/>
      <c r="K305" s="279">
        <v>45097</v>
      </c>
      <c r="L305" s="277" t="s">
        <v>2193</v>
      </c>
      <c r="M305" s="277" t="s">
        <v>116</v>
      </c>
      <c r="N305" s="277" t="s">
        <v>2479</v>
      </c>
      <c r="O305" s="277" t="s">
        <v>2479</v>
      </c>
      <c r="P305" s="277" t="s">
        <v>1554</v>
      </c>
      <c r="Q305" s="277" t="s">
        <v>2198</v>
      </c>
      <c r="R305" s="279">
        <v>44992.548229166663</v>
      </c>
      <c r="S305" s="286">
        <v>2022</v>
      </c>
      <c r="T305" s="277" t="s">
        <v>2194</v>
      </c>
      <c r="U305" s="277" t="s">
        <v>678</v>
      </c>
      <c r="V305" s="277" t="s">
        <v>679</v>
      </c>
      <c r="W305" s="277" t="s">
        <v>145</v>
      </c>
      <c r="X305" s="277" t="s">
        <v>309</v>
      </c>
      <c r="Y305" s="278">
        <v>45078</v>
      </c>
      <c r="Z305" s="287" t="s">
        <v>1875</v>
      </c>
      <c r="AA305" s="287" t="s">
        <v>2479</v>
      </c>
      <c r="AB305" s="287" t="s">
        <v>139</v>
      </c>
      <c r="AC305" s="287" t="s">
        <v>1875</v>
      </c>
      <c r="AD305" s="287" t="s">
        <v>1805</v>
      </c>
      <c r="AE305" s="287" t="s">
        <v>1805</v>
      </c>
      <c r="AF305" s="287" t="s">
        <v>2479</v>
      </c>
      <c r="AG305" s="287" t="s">
        <v>2479</v>
      </c>
      <c r="AH305" s="287" t="s">
        <v>2479</v>
      </c>
      <c r="AI305" s="287" t="s">
        <v>2479</v>
      </c>
      <c r="AJ305" s="304" t="s">
        <v>2191</v>
      </c>
      <c r="AK305" s="287" t="s">
        <v>2479</v>
      </c>
      <c r="AL305" s="304" t="s">
        <v>2190</v>
      </c>
      <c r="AM305" s="289" t="s">
        <v>1975</v>
      </c>
      <c r="AN305" s="281" t="b">
        <v>0</v>
      </c>
      <c r="AO305" s="305"/>
      <c r="AP305" s="291"/>
      <c r="AQ305" s="291"/>
      <c r="AR305" s="291"/>
      <c r="AS305" s="291"/>
      <c r="AT305" s="291"/>
      <c r="AU305" s="291"/>
      <c r="AV305" s="305"/>
      <c r="AW305" s="281"/>
      <c r="AX305" s="281"/>
      <c r="AY305" s="289" t="s">
        <v>2479</v>
      </c>
      <c r="AZ305" s="289" t="s">
        <v>2479</v>
      </c>
      <c r="BA305" s="289" t="s">
        <v>373</v>
      </c>
      <c r="BB305" s="289" t="s">
        <v>139</v>
      </c>
      <c r="BC305" s="292" t="s">
        <v>2192</v>
      </c>
    </row>
    <row r="306" spans="1:55" ht="45" customHeight="1">
      <c r="A306" s="271">
        <f t="shared" si="4"/>
        <v>305</v>
      </c>
      <c r="B306" s="276" t="s">
        <v>2911</v>
      </c>
      <c r="C306" s="277" t="s">
        <v>2912</v>
      </c>
      <c r="D306" s="277" t="s">
        <v>8</v>
      </c>
      <c r="E306" s="277" t="s">
        <v>9</v>
      </c>
      <c r="F306" s="277" t="s">
        <v>1771</v>
      </c>
      <c r="G306" s="307">
        <v>44840</v>
      </c>
      <c r="H306" s="308"/>
      <c r="I306" s="308"/>
      <c r="J306" s="277"/>
      <c r="K306" s="279"/>
      <c r="L306" s="277" t="s">
        <v>2479</v>
      </c>
      <c r="M306" s="277" t="s">
        <v>2479</v>
      </c>
      <c r="N306" s="277" t="s">
        <v>122</v>
      </c>
      <c r="O306" s="277" t="s">
        <v>2479</v>
      </c>
      <c r="P306" s="277" t="s">
        <v>1554</v>
      </c>
      <c r="Q306" s="277" t="s">
        <v>2198</v>
      </c>
      <c r="R306" s="279" t="s">
        <v>2913</v>
      </c>
      <c r="S306" s="286">
        <v>2022</v>
      </c>
      <c r="T306" s="277" t="s">
        <v>2001</v>
      </c>
      <c r="U306" s="277" t="s">
        <v>678</v>
      </c>
      <c r="V306" s="277" t="s">
        <v>679</v>
      </c>
      <c r="W306" s="277" t="s">
        <v>145</v>
      </c>
      <c r="X306" s="277" t="s">
        <v>309</v>
      </c>
      <c r="Y306" s="278">
        <v>45078</v>
      </c>
      <c r="Z306" s="287" t="s">
        <v>1875</v>
      </c>
      <c r="AA306" s="287" t="s">
        <v>2479</v>
      </c>
      <c r="AB306" s="287" t="s">
        <v>139</v>
      </c>
      <c r="AC306" s="287" t="s">
        <v>1875</v>
      </c>
      <c r="AD306" s="287" t="s">
        <v>1805</v>
      </c>
      <c r="AE306" s="287" t="s">
        <v>1805</v>
      </c>
      <c r="AF306" s="287" t="s">
        <v>2479</v>
      </c>
      <c r="AG306" s="287" t="s">
        <v>2479</v>
      </c>
      <c r="AH306" s="287" t="s">
        <v>2479</v>
      </c>
      <c r="AI306" s="287" t="s">
        <v>2479</v>
      </c>
      <c r="AJ306" s="304" t="s">
        <v>2191</v>
      </c>
      <c r="AK306" s="287" t="s">
        <v>2479</v>
      </c>
      <c r="AL306" s="304" t="s">
        <v>2190</v>
      </c>
      <c r="AM306" s="289" t="s">
        <v>1975</v>
      </c>
      <c r="AN306" s="281" t="b">
        <v>0</v>
      </c>
      <c r="AO306" s="305"/>
      <c r="AP306" s="291"/>
      <c r="AQ306" s="291"/>
      <c r="AR306" s="291"/>
      <c r="AS306" s="291"/>
      <c r="AT306" s="291"/>
      <c r="AU306" s="291"/>
      <c r="AV306" s="305"/>
      <c r="AW306" s="281"/>
      <c r="AX306" s="281"/>
      <c r="AY306" s="289" t="s">
        <v>2479</v>
      </c>
      <c r="AZ306" s="289" t="s">
        <v>2479</v>
      </c>
      <c r="BA306" s="289" t="s">
        <v>373</v>
      </c>
      <c r="BB306" s="289" t="s">
        <v>1610</v>
      </c>
      <c r="BC306" s="292" t="s">
        <v>2192</v>
      </c>
    </row>
    <row r="307" spans="1:55" ht="45" customHeight="1">
      <c r="A307" s="271">
        <f t="shared" si="4"/>
        <v>306</v>
      </c>
      <c r="B307" s="276" t="s">
        <v>2463</v>
      </c>
      <c r="C307" s="277" t="s">
        <v>2915</v>
      </c>
      <c r="D307" s="277" t="s">
        <v>8</v>
      </c>
      <c r="E307" s="277" t="s">
        <v>9</v>
      </c>
      <c r="F307" s="277" t="s">
        <v>1771</v>
      </c>
      <c r="G307" s="307">
        <v>44841</v>
      </c>
      <c r="H307" s="308"/>
      <c r="I307" s="308"/>
      <c r="J307" s="277"/>
      <c r="K307" s="279"/>
      <c r="L307" s="277" t="s">
        <v>2479</v>
      </c>
      <c r="M307" s="277" t="s">
        <v>2479</v>
      </c>
      <c r="N307" s="277" t="s">
        <v>122</v>
      </c>
      <c r="O307" s="277" t="s">
        <v>2479</v>
      </c>
      <c r="P307" s="277" t="s">
        <v>1554</v>
      </c>
      <c r="Q307" s="277" t="s">
        <v>2198</v>
      </c>
      <c r="R307" s="279" t="s">
        <v>2916</v>
      </c>
      <c r="S307" s="286">
        <v>2022</v>
      </c>
      <c r="T307" s="277" t="s">
        <v>2001</v>
      </c>
      <c r="U307" s="277" t="s">
        <v>678</v>
      </c>
      <c r="V307" s="277" t="s">
        <v>679</v>
      </c>
      <c r="W307" s="277" t="s">
        <v>145</v>
      </c>
      <c r="X307" s="277" t="s">
        <v>309</v>
      </c>
      <c r="Y307" s="278">
        <v>45078</v>
      </c>
      <c r="Z307" s="287" t="s">
        <v>1875</v>
      </c>
      <c r="AA307" s="287" t="s">
        <v>2479</v>
      </c>
      <c r="AB307" s="287" t="s">
        <v>139</v>
      </c>
      <c r="AC307" s="287" t="s">
        <v>1875</v>
      </c>
      <c r="AD307" s="287" t="s">
        <v>1805</v>
      </c>
      <c r="AE307" s="287" t="s">
        <v>1805</v>
      </c>
      <c r="AF307" s="287" t="s">
        <v>2479</v>
      </c>
      <c r="AG307" s="287" t="s">
        <v>2479</v>
      </c>
      <c r="AH307" s="287" t="s">
        <v>2479</v>
      </c>
      <c r="AI307" s="287" t="s">
        <v>2479</v>
      </c>
      <c r="AJ307" s="304" t="s">
        <v>2191</v>
      </c>
      <c r="AK307" s="287" t="s">
        <v>2479</v>
      </c>
      <c r="AL307" s="304" t="s">
        <v>2190</v>
      </c>
      <c r="AM307" s="289" t="s">
        <v>1975</v>
      </c>
      <c r="AN307" s="281" t="b">
        <v>0</v>
      </c>
      <c r="AO307" s="305"/>
      <c r="AP307" s="291"/>
      <c r="AQ307" s="291"/>
      <c r="AR307" s="291"/>
      <c r="AS307" s="291"/>
      <c r="AT307" s="291"/>
      <c r="AU307" s="291"/>
      <c r="AV307" s="305"/>
      <c r="AW307" s="281"/>
      <c r="AX307" s="281"/>
      <c r="AY307" s="289" t="s">
        <v>2479</v>
      </c>
      <c r="AZ307" s="289" t="s">
        <v>2479</v>
      </c>
      <c r="BA307" s="289" t="s">
        <v>373</v>
      </c>
      <c r="BB307" s="289" t="s">
        <v>1610</v>
      </c>
      <c r="BC307" s="292" t="s">
        <v>2192</v>
      </c>
    </row>
    <row r="308" spans="1:55" ht="45" customHeight="1">
      <c r="A308" s="271">
        <f t="shared" si="4"/>
        <v>307</v>
      </c>
      <c r="B308" s="276" t="s">
        <v>2467</v>
      </c>
      <c r="C308" s="277" t="s">
        <v>2917</v>
      </c>
      <c r="D308" s="277" t="s">
        <v>8</v>
      </c>
      <c r="E308" s="277" t="s">
        <v>9</v>
      </c>
      <c r="F308" s="277" t="s">
        <v>1771</v>
      </c>
      <c r="G308" s="308">
        <v>44847</v>
      </c>
      <c r="H308" s="308"/>
      <c r="I308" s="308"/>
      <c r="J308" s="277"/>
      <c r="K308" s="279"/>
      <c r="L308" s="277" t="s">
        <v>2479</v>
      </c>
      <c r="M308" s="277" t="s">
        <v>2479</v>
      </c>
      <c r="N308" s="277" t="s">
        <v>122</v>
      </c>
      <c r="O308" s="277" t="s">
        <v>2479</v>
      </c>
      <c r="P308" s="277" t="s">
        <v>1554</v>
      </c>
      <c r="Q308" s="277" t="s">
        <v>2198</v>
      </c>
      <c r="R308" s="279" t="s">
        <v>2918</v>
      </c>
      <c r="S308" s="286">
        <v>2022</v>
      </c>
      <c r="T308" s="277" t="s">
        <v>2001</v>
      </c>
      <c r="U308" s="277" t="s">
        <v>678</v>
      </c>
      <c r="V308" s="277" t="s">
        <v>679</v>
      </c>
      <c r="W308" s="277" t="s">
        <v>145</v>
      </c>
      <c r="X308" s="277" t="s">
        <v>309</v>
      </c>
      <c r="Y308" s="278">
        <v>45078</v>
      </c>
      <c r="Z308" s="287" t="s">
        <v>1875</v>
      </c>
      <c r="AA308" s="287" t="s">
        <v>2479</v>
      </c>
      <c r="AB308" s="287" t="s">
        <v>139</v>
      </c>
      <c r="AC308" s="287" t="s">
        <v>1875</v>
      </c>
      <c r="AD308" s="287" t="s">
        <v>1805</v>
      </c>
      <c r="AE308" s="287" t="s">
        <v>1805</v>
      </c>
      <c r="AF308" s="287" t="s">
        <v>2479</v>
      </c>
      <c r="AG308" s="287" t="s">
        <v>2479</v>
      </c>
      <c r="AH308" s="287" t="s">
        <v>2479</v>
      </c>
      <c r="AI308" s="287" t="s">
        <v>2479</v>
      </c>
      <c r="AJ308" s="304" t="s">
        <v>2191</v>
      </c>
      <c r="AK308" s="287" t="s">
        <v>2479</v>
      </c>
      <c r="AL308" s="304" t="s">
        <v>2190</v>
      </c>
      <c r="AM308" s="289" t="s">
        <v>1975</v>
      </c>
      <c r="AN308" s="281" t="b">
        <v>0</v>
      </c>
      <c r="AO308" s="305"/>
      <c r="AP308" s="291"/>
      <c r="AQ308" s="291"/>
      <c r="AR308" s="291"/>
      <c r="AS308" s="291"/>
      <c r="AT308" s="291"/>
      <c r="AU308" s="291"/>
      <c r="AV308" s="305"/>
      <c r="AW308" s="281"/>
      <c r="AX308" s="281"/>
      <c r="AY308" s="289" t="s">
        <v>2479</v>
      </c>
      <c r="AZ308" s="289" t="s">
        <v>2479</v>
      </c>
      <c r="BA308" s="289" t="s">
        <v>373</v>
      </c>
      <c r="BB308" s="289" t="s">
        <v>1610</v>
      </c>
      <c r="BC308" s="292" t="s">
        <v>2192</v>
      </c>
    </row>
    <row r="309" spans="1:55" ht="45" customHeight="1">
      <c r="A309" s="271">
        <f t="shared" si="4"/>
        <v>308</v>
      </c>
      <c r="B309" s="276" t="s">
        <v>2939</v>
      </c>
      <c r="C309" s="277" t="s">
        <v>2940</v>
      </c>
      <c r="D309" s="277" t="s">
        <v>8</v>
      </c>
      <c r="E309" s="277" t="s">
        <v>9</v>
      </c>
      <c r="F309" s="277" t="s">
        <v>1771</v>
      </c>
      <c r="G309" s="307">
        <v>44853</v>
      </c>
      <c r="H309" s="308"/>
      <c r="I309" s="308"/>
      <c r="J309" s="277"/>
      <c r="K309" s="279"/>
      <c r="L309" s="277" t="s">
        <v>2479</v>
      </c>
      <c r="M309" s="277" t="s">
        <v>2479</v>
      </c>
      <c r="N309" s="277" t="s">
        <v>122</v>
      </c>
      <c r="O309" s="277" t="s">
        <v>2479</v>
      </c>
      <c r="P309" s="277" t="s">
        <v>1554</v>
      </c>
      <c r="Q309" s="277" t="s">
        <v>2198</v>
      </c>
      <c r="R309" s="279" t="s">
        <v>2941</v>
      </c>
      <c r="S309" s="286">
        <v>2022</v>
      </c>
      <c r="T309" s="277" t="s">
        <v>2001</v>
      </c>
      <c r="U309" s="277" t="s">
        <v>678</v>
      </c>
      <c r="V309" s="277" t="s">
        <v>679</v>
      </c>
      <c r="W309" s="277" t="s">
        <v>145</v>
      </c>
      <c r="X309" s="277" t="s">
        <v>309</v>
      </c>
      <c r="Y309" s="278">
        <v>45078</v>
      </c>
      <c r="Z309" s="287" t="s">
        <v>1875</v>
      </c>
      <c r="AA309" s="287" t="s">
        <v>2479</v>
      </c>
      <c r="AB309" s="287" t="s">
        <v>139</v>
      </c>
      <c r="AC309" s="287" t="s">
        <v>1875</v>
      </c>
      <c r="AD309" s="287" t="s">
        <v>1805</v>
      </c>
      <c r="AE309" s="287" t="s">
        <v>1805</v>
      </c>
      <c r="AF309" s="287" t="s">
        <v>2479</v>
      </c>
      <c r="AG309" s="287" t="s">
        <v>2479</v>
      </c>
      <c r="AH309" s="287" t="s">
        <v>2479</v>
      </c>
      <c r="AI309" s="287" t="s">
        <v>2479</v>
      </c>
      <c r="AJ309" s="304" t="s">
        <v>2191</v>
      </c>
      <c r="AK309" s="287" t="s">
        <v>2479</v>
      </c>
      <c r="AL309" s="304" t="s">
        <v>2190</v>
      </c>
      <c r="AM309" s="289" t="s">
        <v>1975</v>
      </c>
      <c r="AN309" s="281" t="b">
        <v>0</v>
      </c>
      <c r="AO309" s="305"/>
      <c r="AP309" s="291"/>
      <c r="AQ309" s="291"/>
      <c r="AR309" s="291"/>
      <c r="AS309" s="291"/>
      <c r="AT309" s="291"/>
      <c r="AU309" s="291"/>
      <c r="AV309" s="305"/>
      <c r="AW309" s="281"/>
      <c r="AX309" s="281"/>
      <c r="AY309" s="289" t="s">
        <v>2479</v>
      </c>
      <c r="AZ309" s="289" t="s">
        <v>2479</v>
      </c>
      <c r="BA309" s="289" t="s">
        <v>373</v>
      </c>
      <c r="BB309" s="289" t="s">
        <v>1610</v>
      </c>
      <c r="BC309" s="292" t="s">
        <v>2192</v>
      </c>
    </row>
    <row r="310" spans="1:55" ht="45" customHeight="1">
      <c r="A310" s="271">
        <f t="shared" si="4"/>
        <v>309</v>
      </c>
      <c r="B310" s="276" t="s">
        <v>2473</v>
      </c>
      <c r="C310" s="277" t="s">
        <v>2942</v>
      </c>
      <c r="D310" s="277" t="s">
        <v>8</v>
      </c>
      <c r="E310" s="277" t="s">
        <v>9</v>
      </c>
      <c r="F310" s="277" t="s">
        <v>1771</v>
      </c>
      <c r="G310" s="307">
        <v>44859</v>
      </c>
      <c r="H310" s="308"/>
      <c r="I310" s="308"/>
      <c r="J310" s="277"/>
      <c r="K310" s="279"/>
      <c r="L310" s="277" t="s">
        <v>2479</v>
      </c>
      <c r="M310" s="277" t="s">
        <v>2479</v>
      </c>
      <c r="N310" s="277" t="s">
        <v>122</v>
      </c>
      <c r="O310" s="277" t="s">
        <v>2479</v>
      </c>
      <c r="P310" s="277" t="s">
        <v>1554</v>
      </c>
      <c r="Q310" s="277" t="s">
        <v>2198</v>
      </c>
      <c r="R310" s="279" t="s">
        <v>2943</v>
      </c>
      <c r="S310" s="286">
        <v>2022</v>
      </c>
      <c r="T310" s="277" t="s">
        <v>2001</v>
      </c>
      <c r="U310" s="277" t="s">
        <v>678</v>
      </c>
      <c r="V310" s="277" t="s">
        <v>679</v>
      </c>
      <c r="W310" s="277" t="s">
        <v>145</v>
      </c>
      <c r="X310" s="277" t="s">
        <v>309</v>
      </c>
      <c r="Y310" s="278">
        <v>45078</v>
      </c>
      <c r="Z310" s="287" t="s">
        <v>1875</v>
      </c>
      <c r="AA310" s="287" t="s">
        <v>2479</v>
      </c>
      <c r="AB310" s="287" t="s">
        <v>139</v>
      </c>
      <c r="AC310" s="287" t="s">
        <v>1875</v>
      </c>
      <c r="AD310" s="287" t="s">
        <v>1805</v>
      </c>
      <c r="AE310" s="287" t="s">
        <v>1805</v>
      </c>
      <c r="AF310" s="287" t="s">
        <v>2479</v>
      </c>
      <c r="AG310" s="287" t="s">
        <v>2479</v>
      </c>
      <c r="AH310" s="287" t="s">
        <v>2479</v>
      </c>
      <c r="AI310" s="287" t="s">
        <v>2479</v>
      </c>
      <c r="AJ310" s="304" t="s">
        <v>2191</v>
      </c>
      <c r="AK310" s="287" t="s">
        <v>2479</v>
      </c>
      <c r="AL310" s="304" t="s">
        <v>2190</v>
      </c>
      <c r="AM310" s="289" t="s">
        <v>1975</v>
      </c>
      <c r="AN310" s="281" t="b">
        <v>0</v>
      </c>
      <c r="AO310" s="305"/>
      <c r="AP310" s="291"/>
      <c r="AQ310" s="291"/>
      <c r="AR310" s="291"/>
      <c r="AS310" s="291"/>
      <c r="AT310" s="291"/>
      <c r="AU310" s="291"/>
      <c r="AV310" s="305"/>
      <c r="AW310" s="281"/>
      <c r="AX310" s="281"/>
      <c r="AY310" s="289" t="s">
        <v>2479</v>
      </c>
      <c r="AZ310" s="289" t="s">
        <v>2479</v>
      </c>
      <c r="BA310" s="289" t="s">
        <v>373</v>
      </c>
      <c r="BB310" s="289" t="s">
        <v>1610</v>
      </c>
      <c r="BC310" s="292" t="s">
        <v>2192</v>
      </c>
    </row>
    <row r="311" spans="1:55" ht="45" customHeight="1">
      <c r="A311" s="271">
        <f t="shared" si="4"/>
        <v>310</v>
      </c>
      <c r="B311" s="276" t="s">
        <v>2471</v>
      </c>
      <c r="C311" s="277" t="s">
        <v>2944</v>
      </c>
      <c r="D311" s="277" t="s">
        <v>8</v>
      </c>
      <c r="E311" s="277" t="s">
        <v>9</v>
      </c>
      <c r="F311" s="277" t="s">
        <v>1771</v>
      </c>
      <c r="G311" s="307">
        <v>44863</v>
      </c>
      <c r="H311" s="308"/>
      <c r="I311" s="308"/>
      <c r="J311" s="277"/>
      <c r="K311" s="279"/>
      <c r="L311" s="277" t="s">
        <v>2479</v>
      </c>
      <c r="M311" s="277" t="s">
        <v>2479</v>
      </c>
      <c r="N311" s="277" t="s">
        <v>122</v>
      </c>
      <c r="O311" s="277" t="s">
        <v>2479</v>
      </c>
      <c r="P311" s="277" t="s">
        <v>1554</v>
      </c>
      <c r="Q311" s="277" t="s">
        <v>2198</v>
      </c>
      <c r="R311" s="279" t="s">
        <v>2945</v>
      </c>
      <c r="S311" s="286">
        <v>2022</v>
      </c>
      <c r="T311" s="277" t="s">
        <v>2001</v>
      </c>
      <c r="U311" s="277" t="s">
        <v>678</v>
      </c>
      <c r="V311" s="277" t="s">
        <v>679</v>
      </c>
      <c r="W311" s="277" t="s">
        <v>145</v>
      </c>
      <c r="X311" s="277" t="s">
        <v>309</v>
      </c>
      <c r="Y311" s="278">
        <v>45078</v>
      </c>
      <c r="Z311" s="287" t="s">
        <v>1875</v>
      </c>
      <c r="AA311" s="287" t="s">
        <v>2479</v>
      </c>
      <c r="AB311" s="287" t="s">
        <v>139</v>
      </c>
      <c r="AC311" s="287" t="s">
        <v>1875</v>
      </c>
      <c r="AD311" s="287" t="s">
        <v>1805</v>
      </c>
      <c r="AE311" s="287" t="s">
        <v>1805</v>
      </c>
      <c r="AF311" s="287" t="s">
        <v>2479</v>
      </c>
      <c r="AG311" s="287" t="s">
        <v>2479</v>
      </c>
      <c r="AH311" s="287" t="s">
        <v>2479</v>
      </c>
      <c r="AI311" s="287" t="s">
        <v>2479</v>
      </c>
      <c r="AJ311" s="304" t="s">
        <v>2191</v>
      </c>
      <c r="AK311" s="287" t="s">
        <v>2479</v>
      </c>
      <c r="AL311" s="304" t="s">
        <v>2190</v>
      </c>
      <c r="AM311" s="289" t="s">
        <v>1975</v>
      </c>
      <c r="AN311" s="281" t="b">
        <v>0</v>
      </c>
      <c r="AO311" s="305"/>
      <c r="AP311" s="291"/>
      <c r="AQ311" s="291"/>
      <c r="AR311" s="291"/>
      <c r="AS311" s="291"/>
      <c r="AT311" s="291"/>
      <c r="AU311" s="291"/>
      <c r="AV311" s="305"/>
      <c r="AW311" s="281"/>
      <c r="AX311" s="281"/>
      <c r="AY311" s="289" t="s">
        <v>2479</v>
      </c>
      <c r="AZ311" s="289" t="s">
        <v>2479</v>
      </c>
      <c r="BA311" s="289" t="s">
        <v>373</v>
      </c>
      <c r="BB311" s="289" t="s">
        <v>1610</v>
      </c>
      <c r="BC311" s="292" t="s">
        <v>2192</v>
      </c>
    </row>
    <row r="312" spans="1:55" ht="45" customHeight="1">
      <c r="A312" s="271">
        <f t="shared" si="4"/>
        <v>311</v>
      </c>
      <c r="B312" s="276" t="s">
        <v>3142</v>
      </c>
      <c r="C312" s="277" t="s">
        <v>3143</v>
      </c>
      <c r="D312" s="277" t="s">
        <v>8</v>
      </c>
      <c r="E312" s="277" t="s">
        <v>9</v>
      </c>
      <c r="F312" s="277" t="s">
        <v>1771</v>
      </c>
      <c r="G312" s="307">
        <v>44873</v>
      </c>
      <c r="H312" s="308"/>
      <c r="I312" s="308"/>
      <c r="J312" s="277"/>
      <c r="K312" s="279"/>
      <c r="L312" s="277" t="s">
        <v>2479</v>
      </c>
      <c r="M312" s="277" t="s">
        <v>2479</v>
      </c>
      <c r="N312" s="277" t="s">
        <v>122</v>
      </c>
      <c r="O312" s="277" t="s">
        <v>2479</v>
      </c>
      <c r="P312" s="277" t="s">
        <v>1554</v>
      </c>
      <c r="Q312" s="277" t="s">
        <v>2198</v>
      </c>
      <c r="R312" s="279" t="s">
        <v>3144</v>
      </c>
      <c r="S312" s="286">
        <v>2022</v>
      </c>
      <c r="T312" s="277" t="s">
        <v>2001</v>
      </c>
      <c r="U312" s="277" t="s">
        <v>678</v>
      </c>
      <c r="V312" s="277" t="s">
        <v>679</v>
      </c>
      <c r="W312" s="277" t="s">
        <v>145</v>
      </c>
      <c r="X312" s="277" t="s">
        <v>309</v>
      </c>
      <c r="Y312" s="278">
        <v>45078</v>
      </c>
      <c r="Z312" s="287" t="s">
        <v>1875</v>
      </c>
      <c r="AA312" s="287" t="s">
        <v>2479</v>
      </c>
      <c r="AB312" s="287" t="s">
        <v>139</v>
      </c>
      <c r="AC312" s="287" t="s">
        <v>1875</v>
      </c>
      <c r="AD312" s="287" t="s">
        <v>1805</v>
      </c>
      <c r="AE312" s="287" t="s">
        <v>1805</v>
      </c>
      <c r="AF312" s="287" t="s">
        <v>2479</v>
      </c>
      <c r="AG312" s="287" t="s">
        <v>2479</v>
      </c>
      <c r="AH312" s="287" t="s">
        <v>2479</v>
      </c>
      <c r="AI312" s="287" t="s">
        <v>2479</v>
      </c>
      <c r="AJ312" s="304" t="s">
        <v>2191</v>
      </c>
      <c r="AK312" s="287" t="s">
        <v>2479</v>
      </c>
      <c r="AL312" s="304" t="s">
        <v>2190</v>
      </c>
      <c r="AM312" s="289" t="s">
        <v>1975</v>
      </c>
      <c r="AN312" s="281" t="b">
        <v>0</v>
      </c>
      <c r="AO312" s="305"/>
      <c r="AP312" s="291"/>
      <c r="AQ312" s="291"/>
      <c r="AR312" s="291"/>
      <c r="AS312" s="291"/>
      <c r="AT312" s="291"/>
      <c r="AU312" s="291"/>
      <c r="AV312" s="305"/>
      <c r="AW312" s="281"/>
      <c r="AX312" s="281"/>
      <c r="AY312" s="289" t="s">
        <v>2479</v>
      </c>
      <c r="AZ312" s="289" t="s">
        <v>2479</v>
      </c>
      <c r="BA312" s="289" t="s">
        <v>373</v>
      </c>
      <c r="BB312" s="289" t="s">
        <v>1610</v>
      </c>
      <c r="BC312" s="292" t="s">
        <v>2192</v>
      </c>
    </row>
    <row r="313" spans="1:55" ht="45" customHeight="1">
      <c r="A313" s="271">
        <f t="shared" si="4"/>
        <v>312</v>
      </c>
      <c r="B313" s="276" t="s">
        <v>3145</v>
      </c>
      <c r="C313" s="277" t="s">
        <v>3146</v>
      </c>
      <c r="D313" s="277" t="s">
        <v>8</v>
      </c>
      <c r="E313" s="277" t="s">
        <v>9</v>
      </c>
      <c r="F313" s="277" t="s">
        <v>1771</v>
      </c>
      <c r="G313" s="307">
        <v>44881</v>
      </c>
      <c r="H313" s="308"/>
      <c r="I313" s="308"/>
      <c r="J313" s="277"/>
      <c r="K313" s="279"/>
      <c r="L313" s="277" t="s">
        <v>2479</v>
      </c>
      <c r="M313" s="277" t="s">
        <v>2479</v>
      </c>
      <c r="N313" s="277" t="s">
        <v>122</v>
      </c>
      <c r="O313" s="277" t="s">
        <v>2479</v>
      </c>
      <c r="P313" s="277" t="s">
        <v>1554</v>
      </c>
      <c r="Q313" s="277" t="s">
        <v>2198</v>
      </c>
      <c r="R313" s="279" t="s">
        <v>3147</v>
      </c>
      <c r="S313" s="286">
        <v>2022</v>
      </c>
      <c r="T313" s="277" t="s">
        <v>2001</v>
      </c>
      <c r="U313" s="277" t="s">
        <v>678</v>
      </c>
      <c r="V313" s="277" t="s">
        <v>679</v>
      </c>
      <c r="W313" s="277" t="s">
        <v>145</v>
      </c>
      <c r="X313" s="277" t="s">
        <v>309</v>
      </c>
      <c r="Y313" s="278">
        <v>45078</v>
      </c>
      <c r="Z313" s="287" t="s">
        <v>1875</v>
      </c>
      <c r="AA313" s="287" t="s">
        <v>2479</v>
      </c>
      <c r="AB313" s="287" t="s">
        <v>139</v>
      </c>
      <c r="AC313" s="287" t="s">
        <v>1875</v>
      </c>
      <c r="AD313" s="287" t="s">
        <v>1805</v>
      </c>
      <c r="AE313" s="287" t="s">
        <v>1805</v>
      </c>
      <c r="AF313" s="287" t="s">
        <v>2479</v>
      </c>
      <c r="AG313" s="287" t="s">
        <v>2479</v>
      </c>
      <c r="AH313" s="287" t="s">
        <v>2479</v>
      </c>
      <c r="AI313" s="287" t="s">
        <v>2479</v>
      </c>
      <c r="AJ313" s="304" t="s">
        <v>2191</v>
      </c>
      <c r="AK313" s="287" t="s">
        <v>2479</v>
      </c>
      <c r="AL313" s="304" t="s">
        <v>2190</v>
      </c>
      <c r="AM313" s="289" t="s">
        <v>1975</v>
      </c>
      <c r="AN313" s="281" t="b">
        <v>0</v>
      </c>
      <c r="AO313" s="305"/>
      <c r="AP313" s="291"/>
      <c r="AQ313" s="291"/>
      <c r="AR313" s="291"/>
      <c r="AS313" s="291"/>
      <c r="AT313" s="291"/>
      <c r="AU313" s="291"/>
      <c r="AV313" s="305"/>
      <c r="AW313" s="281"/>
      <c r="AX313" s="281"/>
      <c r="AY313" s="289" t="s">
        <v>2479</v>
      </c>
      <c r="AZ313" s="289" t="s">
        <v>2479</v>
      </c>
      <c r="BA313" s="289" t="s">
        <v>373</v>
      </c>
      <c r="BB313" s="289" t="s">
        <v>1610</v>
      </c>
      <c r="BC313" s="292" t="s">
        <v>2192</v>
      </c>
    </row>
    <row r="314" spans="1:55" ht="45" customHeight="1">
      <c r="A314" s="271">
        <f>ROW()-1</f>
        <v>313</v>
      </c>
      <c r="B314" s="276" t="s">
        <v>3154</v>
      </c>
      <c r="C314" s="277" t="s">
        <v>3155</v>
      </c>
      <c r="D314" s="277" t="s">
        <v>8</v>
      </c>
      <c r="E314" s="277" t="s">
        <v>9</v>
      </c>
      <c r="F314" s="277" t="s">
        <v>1771</v>
      </c>
      <c r="G314" s="308">
        <v>44895</v>
      </c>
      <c r="H314" s="308"/>
      <c r="I314" s="308"/>
      <c r="J314" s="277"/>
      <c r="K314" s="279">
        <v>45098</v>
      </c>
      <c r="L314" s="277" t="s">
        <v>2193</v>
      </c>
      <c r="M314" s="277" t="s">
        <v>113</v>
      </c>
      <c r="N314" s="277" t="s">
        <v>2479</v>
      </c>
      <c r="O314" s="277" t="s">
        <v>2479</v>
      </c>
      <c r="P314" s="277" t="s">
        <v>1554</v>
      </c>
      <c r="Q314" s="277" t="s">
        <v>2198</v>
      </c>
      <c r="R314" s="279">
        <v>44992.61246527778</v>
      </c>
      <c r="S314" s="286">
        <v>2022</v>
      </c>
      <c r="T314" s="277" t="s">
        <v>2194</v>
      </c>
      <c r="U314" s="277" t="s">
        <v>678</v>
      </c>
      <c r="V314" s="277" t="s">
        <v>679</v>
      </c>
      <c r="W314" s="277" t="s">
        <v>145</v>
      </c>
      <c r="X314" s="277" t="s">
        <v>309</v>
      </c>
      <c r="Y314" s="278">
        <v>45078</v>
      </c>
      <c r="Z314" s="287" t="s">
        <v>1875</v>
      </c>
      <c r="AA314" s="287" t="s">
        <v>2479</v>
      </c>
      <c r="AB314" s="287" t="s">
        <v>139</v>
      </c>
      <c r="AC314" s="287" t="s">
        <v>1875</v>
      </c>
      <c r="AD314" s="287" t="s">
        <v>1805</v>
      </c>
      <c r="AE314" s="287" t="s">
        <v>1805</v>
      </c>
      <c r="AF314" s="287" t="s">
        <v>2479</v>
      </c>
      <c r="AG314" s="287" t="s">
        <v>2479</v>
      </c>
      <c r="AH314" s="287" t="s">
        <v>2479</v>
      </c>
      <c r="AI314" s="287" t="s">
        <v>2479</v>
      </c>
      <c r="AJ314" s="304" t="s">
        <v>2191</v>
      </c>
      <c r="AK314" s="287" t="s">
        <v>2479</v>
      </c>
      <c r="AL314" s="304" t="s">
        <v>2190</v>
      </c>
      <c r="AM314" s="289" t="s">
        <v>1975</v>
      </c>
      <c r="AN314" s="281" t="b">
        <v>0</v>
      </c>
      <c r="AO314" s="305"/>
      <c r="AP314" s="291"/>
      <c r="AQ314" s="291"/>
      <c r="AR314" s="291"/>
      <c r="AS314" s="291"/>
      <c r="AT314" s="291"/>
      <c r="AU314" s="291"/>
      <c r="AV314" s="305"/>
      <c r="AW314" s="281"/>
      <c r="AX314" s="281"/>
      <c r="AY314" s="289" t="s">
        <v>2479</v>
      </c>
      <c r="AZ314" s="289" t="s">
        <v>2479</v>
      </c>
      <c r="BA314" s="289" t="s">
        <v>373</v>
      </c>
      <c r="BB314" s="289" t="s">
        <v>139</v>
      </c>
      <c r="BC314" s="292" t="s">
        <v>2192</v>
      </c>
    </row>
    <row r="315" spans="1:55" ht="45" customHeight="1">
      <c r="A315" s="271">
        <f t="shared" si="4"/>
        <v>314</v>
      </c>
      <c r="B315" s="276" t="s">
        <v>3175</v>
      </c>
      <c r="C315" s="277" t="s">
        <v>3176</v>
      </c>
      <c r="D315" s="277" t="s">
        <v>8</v>
      </c>
      <c r="E315" s="277" t="s">
        <v>9</v>
      </c>
      <c r="F315" s="277" t="s">
        <v>1771</v>
      </c>
      <c r="G315" s="307">
        <v>44897</v>
      </c>
      <c r="H315" s="308"/>
      <c r="I315" s="308"/>
      <c r="J315" s="277"/>
      <c r="K315" s="279"/>
      <c r="L315" s="277" t="s">
        <v>2479</v>
      </c>
      <c r="M315" s="277" t="s">
        <v>2479</v>
      </c>
      <c r="N315" s="277" t="s">
        <v>122</v>
      </c>
      <c r="O315" s="277" t="s">
        <v>2479</v>
      </c>
      <c r="P315" s="277" t="s">
        <v>1554</v>
      </c>
      <c r="Q315" s="277" t="s">
        <v>2198</v>
      </c>
      <c r="R315" s="279" t="s">
        <v>3177</v>
      </c>
      <c r="S315" s="286">
        <v>2022</v>
      </c>
      <c r="T315" s="277" t="s">
        <v>2001</v>
      </c>
      <c r="U315" s="277" t="s">
        <v>678</v>
      </c>
      <c r="V315" s="277" t="s">
        <v>679</v>
      </c>
      <c r="W315" s="277" t="s">
        <v>145</v>
      </c>
      <c r="X315" s="277" t="s">
        <v>309</v>
      </c>
      <c r="Y315" s="278">
        <v>45078</v>
      </c>
      <c r="Z315" s="287" t="s">
        <v>1875</v>
      </c>
      <c r="AA315" s="287" t="s">
        <v>2479</v>
      </c>
      <c r="AB315" s="287" t="s">
        <v>139</v>
      </c>
      <c r="AC315" s="287" t="s">
        <v>1875</v>
      </c>
      <c r="AD315" s="287" t="s">
        <v>1805</v>
      </c>
      <c r="AE315" s="287" t="s">
        <v>1805</v>
      </c>
      <c r="AF315" s="287" t="s">
        <v>2479</v>
      </c>
      <c r="AG315" s="287" t="s">
        <v>2479</v>
      </c>
      <c r="AH315" s="287" t="s">
        <v>2479</v>
      </c>
      <c r="AI315" s="287" t="s">
        <v>2479</v>
      </c>
      <c r="AJ315" s="304" t="s">
        <v>2191</v>
      </c>
      <c r="AK315" s="287" t="s">
        <v>2479</v>
      </c>
      <c r="AL315" s="304" t="s">
        <v>2190</v>
      </c>
      <c r="AM315" s="289" t="s">
        <v>1975</v>
      </c>
      <c r="AN315" s="281" t="b">
        <v>0</v>
      </c>
      <c r="AO315" s="305"/>
      <c r="AP315" s="291"/>
      <c r="AQ315" s="291"/>
      <c r="AR315" s="291"/>
      <c r="AS315" s="291"/>
      <c r="AT315" s="291"/>
      <c r="AU315" s="291"/>
      <c r="AV315" s="305"/>
      <c r="AW315" s="281"/>
      <c r="AX315" s="281"/>
      <c r="AY315" s="289" t="s">
        <v>2479</v>
      </c>
      <c r="AZ315" s="289" t="s">
        <v>2479</v>
      </c>
      <c r="BA315" s="289" t="s">
        <v>373</v>
      </c>
      <c r="BB315" s="289" t="s">
        <v>1610</v>
      </c>
      <c r="BC315" s="292" t="s">
        <v>2192</v>
      </c>
    </row>
    <row r="316" spans="1:55" ht="45" customHeight="1">
      <c r="A316" s="271">
        <f t="shared" si="4"/>
        <v>315</v>
      </c>
      <c r="B316" s="284" t="s">
        <v>3178</v>
      </c>
      <c r="C316" s="270" t="s">
        <v>3179</v>
      </c>
      <c r="D316" s="270" t="s">
        <v>8</v>
      </c>
      <c r="E316" s="270" t="s">
        <v>9</v>
      </c>
      <c r="F316" s="270" t="s">
        <v>1771</v>
      </c>
      <c r="G316" s="302">
        <v>44901</v>
      </c>
      <c r="L316" s="270" t="s">
        <v>2479</v>
      </c>
      <c r="M316" s="270" t="s">
        <v>2479</v>
      </c>
      <c r="N316" s="272" t="s">
        <v>122</v>
      </c>
      <c r="O316" s="270" t="s">
        <v>2479</v>
      </c>
      <c r="P316" s="270" t="s">
        <v>1554</v>
      </c>
      <c r="Q316" s="270" t="s">
        <v>2198</v>
      </c>
      <c r="R316" s="306" t="s">
        <v>3180</v>
      </c>
      <c r="S316" s="285">
        <v>2022</v>
      </c>
      <c r="T316" s="270" t="s">
        <v>2001</v>
      </c>
      <c r="U316" s="270" t="s">
        <v>678</v>
      </c>
      <c r="V316" s="270" t="s">
        <v>679</v>
      </c>
      <c r="W316" s="270" t="s">
        <v>145</v>
      </c>
      <c r="X316" s="270" t="s">
        <v>309</v>
      </c>
      <c r="Y316" s="273">
        <v>45078</v>
      </c>
      <c r="Z316" s="288" t="s">
        <v>1875</v>
      </c>
      <c r="AA316" s="288" t="s">
        <v>2479</v>
      </c>
      <c r="AB316" s="288" t="s">
        <v>139</v>
      </c>
      <c r="AC316" s="288" t="s">
        <v>1875</v>
      </c>
      <c r="AD316" s="288" t="s">
        <v>1805</v>
      </c>
      <c r="AE316" s="288" t="s">
        <v>1805</v>
      </c>
      <c r="AF316" s="288" t="s">
        <v>2479</v>
      </c>
      <c r="AG316" s="288" t="s">
        <v>2479</v>
      </c>
      <c r="AH316" s="288" t="s">
        <v>2479</v>
      </c>
      <c r="AI316" s="288" t="s">
        <v>2479</v>
      </c>
      <c r="AJ316" s="303" t="s">
        <v>2191</v>
      </c>
      <c r="AK316" s="288" t="s">
        <v>2479</v>
      </c>
      <c r="AL316" s="303" t="s">
        <v>2190</v>
      </c>
      <c r="AM316" s="288" t="s">
        <v>1975</v>
      </c>
      <c r="AN316" s="207" t="b">
        <v>0</v>
      </c>
      <c r="AY316" s="288" t="s">
        <v>2479</v>
      </c>
      <c r="AZ316" s="288" t="s">
        <v>2479</v>
      </c>
      <c r="BA316" s="288" t="s">
        <v>373</v>
      </c>
      <c r="BB316" s="288" t="s">
        <v>1610</v>
      </c>
      <c r="BC316" s="288" t="s">
        <v>2192</v>
      </c>
    </row>
    <row r="317" spans="1:55" ht="45" customHeight="1">
      <c r="A317" s="271">
        <f t="shared" si="4"/>
        <v>316</v>
      </c>
      <c r="B317" s="284" t="s">
        <v>3202</v>
      </c>
      <c r="C317" s="270" t="s">
        <v>3203</v>
      </c>
      <c r="D317" s="270" t="s">
        <v>8</v>
      </c>
      <c r="E317" s="270" t="s">
        <v>9</v>
      </c>
      <c r="F317" s="270" t="s">
        <v>1771</v>
      </c>
      <c r="G317" s="302">
        <v>44907</v>
      </c>
      <c r="L317" s="270" t="s">
        <v>2479</v>
      </c>
      <c r="M317" s="270" t="s">
        <v>2479</v>
      </c>
      <c r="N317" s="272" t="s">
        <v>122</v>
      </c>
      <c r="O317" s="270" t="s">
        <v>2479</v>
      </c>
      <c r="P317" s="270" t="s">
        <v>1554</v>
      </c>
      <c r="Q317" s="270" t="s">
        <v>2198</v>
      </c>
      <c r="R317" s="306" t="s">
        <v>3204</v>
      </c>
      <c r="S317" s="285">
        <v>2022</v>
      </c>
      <c r="T317" s="270" t="s">
        <v>2001</v>
      </c>
      <c r="U317" s="270" t="s">
        <v>678</v>
      </c>
      <c r="V317" s="270" t="s">
        <v>679</v>
      </c>
      <c r="W317" s="270" t="s">
        <v>145</v>
      </c>
      <c r="X317" s="270" t="s">
        <v>309</v>
      </c>
      <c r="Y317" s="273">
        <v>45078</v>
      </c>
      <c r="Z317" s="288" t="s">
        <v>1875</v>
      </c>
      <c r="AA317" s="288" t="s">
        <v>2479</v>
      </c>
      <c r="AB317" s="288" t="s">
        <v>139</v>
      </c>
      <c r="AC317" s="288" t="s">
        <v>1875</v>
      </c>
      <c r="AD317" s="288" t="s">
        <v>1805</v>
      </c>
      <c r="AE317" s="288" t="s">
        <v>1805</v>
      </c>
      <c r="AF317" s="288" t="s">
        <v>2479</v>
      </c>
      <c r="AG317" s="288" t="s">
        <v>2479</v>
      </c>
      <c r="AH317" s="288" t="s">
        <v>2479</v>
      </c>
      <c r="AI317" s="288" t="s">
        <v>2479</v>
      </c>
      <c r="AJ317" s="303" t="s">
        <v>2191</v>
      </c>
      <c r="AK317" s="288" t="s">
        <v>2479</v>
      </c>
      <c r="AL317" s="303" t="s">
        <v>2190</v>
      </c>
      <c r="AM317" s="288" t="s">
        <v>1975</v>
      </c>
      <c r="AN317" s="207" t="b">
        <v>0</v>
      </c>
      <c r="AY317" s="288" t="s">
        <v>2479</v>
      </c>
      <c r="AZ317" s="288" t="s">
        <v>2479</v>
      </c>
      <c r="BA317" s="288" t="s">
        <v>373</v>
      </c>
      <c r="BB317" s="288" t="s">
        <v>1610</v>
      </c>
      <c r="BC317" s="288" t="s">
        <v>2192</v>
      </c>
    </row>
    <row r="318" spans="1:55" ht="45" customHeight="1">
      <c r="A318" s="271">
        <f t="shared" si="4"/>
        <v>317</v>
      </c>
      <c r="B318" s="284" t="s">
        <v>3196</v>
      </c>
      <c r="C318" s="270" t="s">
        <v>3197</v>
      </c>
      <c r="D318" s="270" t="s">
        <v>8</v>
      </c>
      <c r="E318" s="270" t="s">
        <v>9</v>
      </c>
      <c r="F318" s="270" t="s">
        <v>1771</v>
      </c>
      <c r="G318" s="302">
        <v>44907</v>
      </c>
      <c r="L318" s="270" t="s">
        <v>2479</v>
      </c>
      <c r="M318" s="270" t="s">
        <v>2479</v>
      </c>
      <c r="N318" s="272" t="s">
        <v>122</v>
      </c>
      <c r="O318" s="270" t="s">
        <v>2479</v>
      </c>
      <c r="P318" s="270" t="s">
        <v>1554</v>
      </c>
      <c r="Q318" s="270" t="s">
        <v>2198</v>
      </c>
      <c r="R318" s="306" t="s">
        <v>3198</v>
      </c>
      <c r="S318" s="285">
        <v>2022</v>
      </c>
      <c r="T318" s="270" t="s">
        <v>2001</v>
      </c>
      <c r="U318" s="270" t="s">
        <v>678</v>
      </c>
      <c r="V318" s="270" t="s">
        <v>679</v>
      </c>
      <c r="W318" s="270" t="s">
        <v>145</v>
      </c>
      <c r="X318" s="270" t="s">
        <v>309</v>
      </c>
      <c r="Y318" s="273">
        <v>45078</v>
      </c>
      <c r="Z318" s="288" t="s">
        <v>1875</v>
      </c>
      <c r="AA318" s="288" t="s">
        <v>2479</v>
      </c>
      <c r="AB318" s="288" t="s">
        <v>139</v>
      </c>
      <c r="AC318" s="288" t="s">
        <v>1875</v>
      </c>
      <c r="AD318" s="288" t="s">
        <v>1805</v>
      </c>
      <c r="AE318" s="288" t="s">
        <v>1805</v>
      </c>
      <c r="AF318" s="288" t="s">
        <v>2479</v>
      </c>
      <c r="AG318" s="288" t="s">
        <v>2479</v>
      </c>
      <c r="AH318" s="288" t="s">
        <v>2479</v>
      </c>
      <c r="AI318" s="288" t="s">
        <v>2479</v>
      </c>
      <c r="AJ318" s="303" t="s">
        <v>2191</v>
      </c>
      <c r="AK318" s="288" t="s">
        <v>2479</v>
      </c>
      <c r="AL318" s="303" t="s">
        <v>2190</v>
      </c>
      <c r="AM318" s="288" t="s">
        <v>1975</v>
      </c>
      <c r="AN318" s="207" t="b">
        <v>0</v>
      </c>
      <c r="AY318" s="288" t="s">
        <v>2479</v>
      </c>
      <c r="AZ318" s="288" t="s">
        <v>2479</v>
      </c>
      <c r="BA318" s="288" t="s">
        <v>373</v>
      </c>
      <c r="BB318" s="288" t="s">
        <v>1610</v>
      </c>
      <c r="BC318" s="288" t="s">
        <v>2192</v>
      </c>
    </row>
    <row r="319" spans="1:55" ht="45" customHeight="1">
      <c r="A319" s="271">
        <f t="shared" si="4"/>
        <v>318</v>
      </c>
      <c r="B319" s="284" t="s">
        <v>3181</v>
      </c>
      <c r="C319" s="270" t="s">
        <v>3182</v>
      </c>
      <c r="D319" s="270" t="s">
        <v>8</v>
      </c>
      <c r="E319" s="270" t="s">
        <v>9</v>
      </c>
      <c r="F319" s="270" t="s">
        <v>1771</v>
      </c>
      <c r="G319" s="302">
        <v>44907</v>
      </c>
      <c r="L319" s="270" t="s">
        <v>2479</v>
      </c>
      <c r="M319" s="270" t="s">
        <v>2479</v>
      </c>
      <c r="N319" s="272" t="s">
        <v>122</v>
      </c>
      <c r="O319" s="270" t="s">
        <v>2479</v>
      </c>
      <c r="P319" s="270" t="s">
        <v>1554</v>
      </c>
      <c r="Q319" s="270" t="s">
        <v>2198</v>
      </c>
      <c r="R319" s="306" t="s">
        <v>3183</v>
      </c>
      <c r="S319" s="285">
        <v>2022</v>
      </c>
      <c r="T319" s="270" t="s">
        <v>2001</v>
      </c>
      <c r="U319" s="270" t="s">
        <v>678</v>
      </c>
      <c r="V319" s="270" t="s">
        <v>679</v>
      </c>
      <c r="W319" s="270" t="s">
        <v>145</v>
      </c>
      <c r="X319" s="270" t="s">
        <v>309</v>
      </c>
      <c r="Y319" s="273">
        <v>45078</v>
      </c>
      <c r="Z319" s="288" t="s">
        <v>1875</v>
      </c>
      <c r="AA319" s="288" t="s">
        <v>2479</v>
      </c>
      <c r="AB319" s="288" t="s">
        <v>139</v>
      </c>
      <c r="AC319" s="288" t="s">
        <v>1875</v>
      </c>
      <c r="AD319" s="288" t="s">
        <v>1805</v>
      </c>
      <c r="AE319" s="288" t="s">
        <v>1805</v>
      </c>
      <c r="AF319" s="288" t="s">
        <v>2479</v>
      </c>
      <c r="AG319" s="288" t="s">
        <v>2479</v>
      </c>
      <c r="AH319" s="288" t="s">
        <v>2479</v>
      </c>
      <c r="AI319" s="288" t="s">
        <v>2479</v>
      </c>
      <c r="AJ319" s="303" t="s">
        <v>2191</v>
      </c>
      <c r="AK319" s="288" t="s">
        <v>2479</v>
      </c>
      <c r="AL319" s="303" t="s">
        <v>2190</v>
      </c>
      <c r="AM319" s="288" t="s">
        <v>1975</v>
      </c>
      <c r="AN319" s="207" t="b">
        <v>0</v>
      </c>
      <c r="AY319" s="288" t="s">
        <v>2479</v>
      </c>
      <c r="AZ319" s="288" t="s">
        <v>2479</v>
      </c>
      <c r="BA319" s="288" t="s">
        <v>373</v>
      </c>
      <c r="BB319" s="288" t="s">
        <v>1610</v>
      </c>
      <c r="BC319" s="288" t="s">
        <v>2192</v>
      </c>
    </row>
    <row r="320" spans="1:55" ht="45" customHeight="1">
      <c r="A320" s="271">
        <f t="shared" si="4"/>
        <v>319</v>
      </c>
      <c r="B320" s="284" t="s">
        <v>3190</v>
      </c>
      <c r="C320" s="270" t="s">
        <v>3191</v>
      </c>
      <c r="D320" s="270" t="s">
        <v>8</v>
      </c>
      <c r="E320" s="270" t="s">
        <v>9</v>
      </c>
      <c r="F320" s="270" t="s">
        <v>1771</v>
      </c>
      <c r="G320" s="302">
        <v>44911</v>
      </c>
      <c r="L320" s="270" t="s">
        <v>2479</v>
      </c>
      <c r="M320" s="270" t="s">
        <v>2479</v>
      </c>
      <c r="N320" s="272" t="s">
        <v>122</v>
      </c>
      <c r="O320" s="270" t="s">
        <v>2479</v>
      </c>
      <c r="P320" s="270" t="s">
        <v>1554</v>
      </c>
      <c r="Q320" s="270" t="s">
        <v>2198</v>
      </c>
      <c r="R320" s="306" t="s">
        <v>3192</v>
      </c>
      <c r="S320" s="285">
        <v>2022</v>
      </c>
      <c r="T320" s="270" t="s">
        <v>2001</v>
      </c>
      <c r="U320" s="270" t="s">
        <v>678</v>
      </c>
      <c r="V320" s="270" t="s">
        <v>679</v>
      </c>
      <c r="W320" s="270" t="s">
        <v>145</v>
      </c>
      <c r="X320" s="270" t="s">
        <v>309</v>
      </c>
      <c r="Y320" s="273">
        <v>45078</v>
      </c>
      <c r="Z320" s="288" t="s">
        <v>1875</v>
      </c>
      <c r="AA320" s="288" t="s">
        <v>2479</v>
      </c>
      <c r="AB320" s="288" t="s">
        <v>139</v>
      </c>
      <c r="AC320" s="288" t="s">
        <v>1875</v>
      </c>
      <c r="AD320" s="288" t="s">
        <v>1805</v>
      </c>
      <c r="AE320" s="288" t="s">
        <v>1805</v>
      </c>
      <c r="AF320" s="288" t="s">
        <v>2479</v>
      </c>
      <c r="AG320" s="288" t="s">
        <v>2479</v>
      </c>
      <c r="AH320" s="288" t="s">
        <v>2479</v>
      </c>
      <c r="AI320" s="288" t="s">
        <v>2479</v>
      </c>
      <c r="AJ320" s="303" t="s">
        <v>2191</v>
      </c>
      <c r="AK320" s="288" t="s">
        <v>2479</v>
      </c>
      <c r="AL320" s="303" t="s">
        <v>2190</v>
      </c>
      <c r="AM320" s="288" t="s">
        <v>1975</v>
      </c>
      <c r="AN320" s="207" t="b">
        <v>0</v>
      </c>
      <c r="AY320" s="288" t="s">
        <v>2479</v>
      </c>
      <c r="AZ320" s="288" t="s">
        <v>2479</v>
      </c>
      <c r="BA320" s="288" t="s">
        <v>373</v>
      </c>
      <c r="BB320" s="288" t="s">
        <v>1610</v>
      </c>
      <c r="BC320" s="288" t="s">
        <v>2192</v>
      </c>
    </row>
    <row r="321" spans="1:55" ht="45" customHeight="1">
      <c r="A321" s="271">
        <f t="shared" si="4"/>
        <v>320</v>
      </c>
      <c r="B321" s="284" t="s">
        <v>3184</v>
      </c>
      <c r="C321" s="270" t="s">
        <v>3185</v>
      </c>
      <c r="D321" s="270" t="s">
        <v>8</v>
      </c>
      <c r="E321" s="270" t="s">
        <v>9</v>
      </c>
      <c r="F321" s="270" t="s">
        <v>1771</v>
      </c>
      <c r="G321" s="302">
        <v>44914</v>
      </c>
      <c r="L321" s="270" t="s">
        <v>2479</v>
      </c>
      <c r="M321" s="270" t="s">
        <v>2479</v>
      </c>
      <c r="N321" s="272" t="s">
        <v>122</v>
      </c>
      <c r="O321" s="270" t="s">
        <v>2479</v>
      </c>
      <c r="P321" s="270" t="s">
        <v>1554</v>
      </c>
      <c r="Q321" s="270" t="s">
        <v>2198</v>
      </c>
      <c r="R321" s="306" t="s">
        <v>3186</v>
      </c>
      <c r="S321" s="285">
        <v>2022</v>
      </c>
      <c r="T321" s="270" t="s">
        <v>2001</v>
      </c>
      <c r="U321" s="270" t="s">
        <v>678</v>
      </c>
      <c r="V321" s="270" t="s">
        <v>679</v>
      </c>
      <c r="W321" s="270" t="s">
        <v>145</v>
      </c>
      <c r="X321" s="270" t="s">
        <v>309</v>
      </c>
      <c r="Y321" s="273">
        <v>45078</v>
      </c>
      <c r="Z321" s="288" t="s">
        <v>1875</v>
      </c>
      <c r="AA321" s="288" t="s">
        <v>2479</v>
      </c>
      <c r="AB321" s="288" t="s">
        <v>139</v>
      </c>
      <c r="AC321" s="288" t="s">
        <v>1875</v>
      </c>
      <c r="AD321" s="288" t="s">
        <v>1805</v>
      </c>
      <c r="AE321" s="288" t="s">
        <v>1805</v>
      </c>
      <c r="AF321" s="288" t="s">
        <v>2479</v>
      </c>
      <c r="AG321" s="288" t="s">
        <v>2479</v>
      </c>
      <c r="AH321" s="288" t="s">
        <v>2479</v>
      </c>
      <c r="AI321" s="288" t="s">
        <v>2479</v>
      </c>
      <c r="AJ321" s="303" t="s">
        <v>2191</v>
      </c>
      <c r="AK321" s="288" t="s">
        <v>2479</v>
      </c>
      <c r="AL321" s="303" t="s">
        <v>2190</v>
      </c>
      <c r="AM321" s="288" t="s">
        <v>1975</v>
      </c>
      <c r="AN321" s="207" t="b">
        <v>0</v>
      </c>
      <c r="AY321" s="288" t="s">
        <v>2479</v>
      </c>
      <c r="AZ321" s="288" t="s">
        <v>2479</v>
      </c>
      <c r="BA321" s="288" t="s">
        <v>373</v>
      </c>
      <c r="BB321" s="288" t="s">
        <v>1610</v>
      </c>
      <c r="BC321" s="288" t="s">
        <v>2192</v>
      </c>
    </row>
    <row r="322" spans="1:55" ht="45" customHeight="1">
      <c r="A322" s="271">
        <f t="shared" si="4"/>
        <v>321</v>
      </c>
      <c r="B322" s="284" t="s">
        <v>3187</v>
      </c>
      <c r="C322" s="270" t="s">
        <v>3188</v>
      </c>
      <c r="D322" s="270" t="s">
        <v>8</v>
      </c>
      <c r="E322" s="270" t="s">
        <v>9</v>
      </c>
      <c r="F322" s="270" t="s">
        <v>1771</v>
      </c>
      <c r="G322" s="302">
        <v>44914</v>
      </c>
      <c r="L322" s="270" t="s">
        <v>2479</v>
      </c>
      <c r="M322" s="270" t="s">
        <v>2479</v>
      </c>
      <c r="N322" s="272" t="s">
        <v>122</v>
      </c>
      <c r="O322" s="270" t="s">
        <v>2479</v>
      </c>
      <c r="P322" s="270" t="s">
        <v>1554</v>
      </c>
      <c r="Q322" s="270" t="s">
        <v>2198</v>
      </c>
      <c r="R322" s="306" t="s">
        <v>3189</v>
      </c>
      <c r="S322" s="285">
        <v>2022</v>
      </c>
      <c r="T322" s="270" t="s">
        <v>2001</v>
      </c>
      <c r="U322" s="270" t="s">
        <v>678</v>
      </c>
      <c r="V322" s="270" t="s">
        <v>679</v>
      </c>
      <c r="W322" s="270" t="s">
        <v>145</v>
      </c>
      <c r="X322" s="270" t="s">
        <v>309</v>
      </c>
      <c r="Y322" s="273">
        <v>45078</v>
      </c>
      <c r="Z322" s="288" t="s">
        <v>1875</v>
      </c>
      <c r="AA322" s="288" t="s">
        <v>2479</v>
      </c>
      <c r="AB322" s="288" t="s">
        <v>139</v>
      </c>
      <c r="AC322" s="288" t="s">
        <v>1875</v>
      </c>
      <c r="AD322" s="288" t="s">
        <v>1805</v>
      </c>
      <c r="AE322" s="288" t="s">
        <v>1805</v>
      </c>
      <c r="AF322" s="288" t="s">
        <v>2479</v>
      </c>
      <c r="AG322" s="288" t="s">
        <v>2479</v>
      </c>
      <c r="AH322" s="288" t="s">
        <v>2479</v>
      </c>
      <c r="AI322" s="288" t="s">
        <v>2479</v>
      </c>
      <c r="AJ322" s="303" t="s">
        <v>2191</v>
      </c>
      <c r="AK322" s="288" t="s">
        <v>2479</v>
      </c>
      <c r="AL322" s="303" t="s">
        <v>2190</v>
      </c>
      <c r="AM322" s="288" t="s">
        <v>1975</v>
      </c>
      <c r="AN322" s="207" t="b">
        <v>0</v>
      </c>
      <c r="AY322" s="288" t="s">
        <v>2479</v>
      </c>
      <c r="AZ322" s="288" t="s">
        <v>2479</v>
      </c>
      <c r="BA322" s="288" t="s">
        <v>373</v>
      </c>
      <c r="BB322" s="288" t="s">
        <v>1610</v>
      </c>
      <c r="BC322" s="288" t="s">
        <v>2192</v>
      </c>
    </row>
    <row r="323" spans="1:55" ht="45" customHeight="1">
      <c r="A323" s="271">
        <f t="shared" ref="A323:A384" si="5">ROW()-1</f>
        <v>322</v>
      </c>
      <c r="B323" s="284" t="s">
        <v>3193</v>
      </c>
      <c r="C323" s="270" t="s">
        <v>3194</v>
      </c>
      <c r="D323" s="270" t="s">
        <v>8</v>
      </c>
      <c r="E323" s="270" t="s">
        <v>9</v>
      </c>
      <c r="F323" s="270" t="s">
        <v>1771</v>
      </c>
      <c r="G323" s="302">
        <v>44916</v>
      </c>
      <c r="L323" s="270" t="s">
        <v>2479</v>
      </c>
      <c r="M323" s="270" t="s">
        <v>2479</v>
      </c>
      <c r="N323" s="272" t="s">
        <v>122</v>
      </c>
      <c r="O323" s="270" t="s">
        <v>2479</v>
      </c>
      <c r="P323" s="270" t="s">
        <v>1554</v>
      </c>
      <c r="Q323" s="270" t="s">
        <v>2198</v>
      </c>
      <c r="R323" s="306" t="s">
        <v>3195</v>
      </c>
      <c r="S323" s="285">
        <v>2022</v>
      </c>
      <c r="T323" s="270" t="s">
        <v>2001</v>
      </c>
      <c r="U323" s="270" t="s">
        <v>678</v>
      </c>
      <c r="V323" s="270" t="s">
        <v>679</v>
      </c>
      <c r="W323" s="270" t="s">
        <v>145</v>
      </c>
      <c r="X323" s="270" t="s">
        <v>309</v>
      </c>
      <c r="Y323" s="273">
        <v>45078</v>
      </c>
      <c r="Z323" s="288" t="s">
        <v>1875</v>
      </c>
      <c r="AA323" s="288" t="s">
        <v>2479</v>
      </c>
      <c r="AB323" s="288" t="s">
        <v>139</v>
      </c>
      <c r="AC323" s="288" t="s">
        <v>1875</v>
      </c>
      <c r="AD323" s="288" t="s">
        <v>1805</v>
      </c>
      <c r="AE323" s="288" t="s">
        <v>1805</v>
      </c>
      <c r="AF323" s="288" t="s">
        <v>2479</v>
      </c>
      <c r="AG323" s="288" t="s">
        <v>2479</v>
      </c>
      <c r="AH323" s="288" t="s">
        <v>2479</v>
      </c>
      <c r="AI323" s="288" t="s">
        <v>2479</v>
      </c>
      <c r="AJ323" s="303" t="s">
        <v>2191</v>
      </c>
      <c r="AK323" s="288" t="s">
        <v>2479</v>
      </c>
      <c r="AL323" s="303" t="s">
        <v>2190</v>
      </c>
      <c r="AM323" s="288" t="s">
        <v>1975</v>
      </c>
      <c r="AN323" s="207" t="b">
        <v>0</v>
      </c>
      <c r="AY323" s="288" t="s">
        <v>2479</v>
      </c>
      <c r="AZ323" s="288" t="s">
        <v>2479</v>
      </c>
      <c r="BA323" s="288" t="s">
        <v>373</v>
      </c>
      <c r="BB323" s="288" t="s">
        <v>1610</v>
      </c>
      <c r="BC323" s="288" t="s">
        <v>2192</v>
      </c>
    </row>
    <row r="324" spans="1:55" ht="45" customHeight="1">
      <c r="A324" s="271">
        <f t="shared" si="5"/>
        <v>323</v>
      </c>
      <c r="B324" s="284" t="s">
        <v>3205</v>
      </c>
      <c r="C324" s="270" t="s">
        <v>3206</v>
      </c>
      <c r="D324" s="270" t="s">
        <v>8</v>
      </c>
      <c r="E324" s="270" t="s">
        <v>9</v>
      </c>
      <c r="F324" s="270" t="s">
        <v>1771</v>
      </c>
      <c r="G324" s="302">
        <v>44917</v>
      </c>
      <c r="L324" s="270" t="s">
        <v>2479</v>
      </c>
      <c r="M324" s="270" t="s">
        <v>2479</v>
      </c>
      <c r="N324" s="272" t="s">
        <v>122</v>
      </c>
      <c r="O324" s="270" t="s">
        <v>2479</v>
      </c>
      <c r="P324" s="270" t="s">
        <v>1554</v>
      </c>
      <c r="Q324" s="270" t="s">
        <v>2198</v>
      </c>
      <c r="R324" s="306" t="s">
        <v>3207</v>
      </c>
      <c r="S324" s="285">
        <v>2022</v>
      </c>
      <c r="T324" s="270" t="s">
        <v>2001</v>
      </c>
      <c r="U324" s="270" t="s">
        <v>678</v>
      </c>
      <c r="V324" s="270" t="s">
        <v>679</v>
      </c>
      <c r="W324" s="270" t="s">
        <v>145</v>
      </c>
      <c r="X324" s="270" t="s">
        <v>309</v>
      </c>
      <c r="Y324" s="273">
        <v>45078</v>
      </c>
      <c r="Z324" s="288" t="s">
        <v>1875</v>
      </c>
      <c r="AA324" s="288" t="s">
        <v>2479</v>
      </c>
      <c r="AB324" s="288" t="s">
        <v>139</v>
      </c>
      <c r="AC324" s="288" t="s">
        <v>1875</v>
      </c>
      <c r="AD324" s="288" t="s">
        <v>1805</v>
      </c>
      <c r="AE324" s="288" t="s">
        <v>1805</v>
      </c>
      <c r="AF324" s="288" t="s">
        <v>2479</v>
      </c>
      <c r="AG324" s="288" t="s">
        <v>2479</v>
      </c>
      <c r="AH324" s="288" t="s">
        <v>2479</v>
      </c>
      <c r="AI324" s="288" t="s">
        <v>2479</v>
      </c>
      <c r="AJ324" s="303" t="s">
        <v>2191</v>
      </c>
      <c r="AK324" s="288" t="s">
        <v>2479</v>
      </c>
      <c r="AL324" s="303" t="s">
        <v>2190</v>
      </c>
      <c r="AM324" s="288" t="s">
        <v>1975</v>
      </c>
      <c r="AN324" s="207" t="b">
        <v>0</v>
      </c>
      <c r="AY324" s="288" t="s">
        <v>2479</v>
      </c>
      <c r="AZ324" s="288" t="s">
        <v>2479</v>
      </c>
      <c r="BA324" s="288" t="s">
        <v>373</v>
      </c>
      <c r="BB324" s="288" t="s">
        <v>1610</v>
      </c>
      <c r="BC324" s="288" t="s">
        <v>2192</v>
      </c>
    </row>
    <row r="325" spans="1:55" ht="45" customHeight="1">
      <c r="A325" s="271">
        <f t="shared" si="5"/>
        <v>324</v>
      </c>
      <c r="B325" s="284" t="s">
        <v>3199</v>
      </c>
      <c r="C325" s="270" t="s">
        <v>3200</v>
      </c>
      <c r="D325" s="270" t="s">
        <v>8</v>
      </c>
      <c r="E325" s="270" t="s">
        <v>9</v>
      </c>
      <c r="F325" s="270" t="s">
        <v>1771</v>
      </c>
      <c r="G325" s="302">
        <v>44918</v>
      </c>
      <c r="L325" s="270" t="s">
        <v>2479</v>
      </c>
      <c r="M325" s="270" t="s">
        <v>2479</v>
      </c>
      <c r="N325" s="272" t="s">
        <v>122</v>
      </c>
      <c r="O325" s="270" t="s">
        <v>2479</v>
      </c>
      <c r="P325" s="270" t="s">
        <v>1554</v>
      </c>
      <c r="Q325" s="270" t="s">
        <v>2198</v>
      </c>
      <c r="R325" s="306" t="s">
        <v>3201</v>
      </c>
      <c r="S325" s="285">
        <v>2022</v>
      </c>
      <c r="T325" s="270" t="s">
        <v>2001</v>
      </c>
      <c r="U325" s="270" t="s">
        <v>678</v>
      </c>
      <c r="V325" s="270" t="s">
        <v>679</v>
      </c>
      <c r="W325" s="270" t="s">
        <v>145</v>
      </c>
      <c r="X325" s="270" t="s">
        <v>309</v>
      </c>
      <c r="Y325" s="273">
        <v>45078</v>
      </c>
      <c r="Z325" s="288" t="s">
        <v>1875</v>
      </c>
      <c r="AA325" s="288" t="s">
        <v>2479</v>
      </c>
      <c r="AB325" s="288" t="s">
        <v>139</v>
      </c>
      <c r="AC325" s="288" t="s">
        <v>1875</v>
      </c>
      <c r="AD325" s="288" t="s">
        <v>1805</v>
      </c>
      <c r="AE325" s="288" t="s">
        <v>1805</v>
      </c>
      <c r="AF325" s="288" t="s">
        <v>2479</v>
      </c>
      <c r="AG325" s="288" t="s">
        <v>2479</v>
      </c>
      <c r="AH325" s="288" t="s">
        <v>2479</v>
      </c>
      <c r="AI325" s="288" t="s">
        <v>2479</v>
      </c>
      <c r="AJ325" s="303" t="s">
        <v>2191</v>
      </c>
      <c r="AK325" s="288" t="s">
        <v>2479</v>
      </c>
      <c r="AL325" s="303" t="s">
        <v>2190</v>
      </c>
      <c r="AM325" s="288" t="s">
        <v>1975</v>
      </c>
      <c r="AN325" s="207" t="b">
        <v>0</v>
      </c>
      <c r="AY325" s="288" t="s">
        <v>2479</v>
      </c>
      <c r="AZ325" s="288" t="s">
        <v>2479</v>
      </c>
      <c r="BA325" s="288" t="s">
        <v>373</v>
      </c>
      <c r="BB325" s="288" t="s">
        <v>1610</v>
      </c>
      <c r="BC325" s="288" t="s">
        <v>2192</v>
      </c>
    </row>
    <row r="326" spans="1:55" ht="45" customHeight="1">
      <c r="A326" s="271">
        <f t="shared" si="5"/>
        <v>325</v>
      </c>
      <c r="B326" s="284" t="s">
        <v>2515</v>
      </c>
      <c r="C326" s="270" t="s">
        <v>3333</v>
      </c>
      <c r="D326" s="270" t="s">
        <v>8</v>
      </c>
      <c r="E326" s="270" t="s">
        <v>9</v>
      </c>
      <c r="F326" s="270" t="s">
        <v>1771</v>
      </c>
      <c r="G326" s="302">
        <v>44930</v>
      </c>
      <c r="L326" s="270" t="s">
        <v>2479</v>
      </c>
      <c r="M326" s="270" t="s">
        <v>2479</v>
      </c>
      <c r="N326" s="272" t="s">
        <v>122</v>
      </c>
      <c r="O326" s="270" t="s">
        <v>2479</v>
      </c>
      <c r="P326" s="270" t="s">
        <v>1554</v>
      </c>
      <c r="Q326" s="270" t="s">
        <v>2198</v>
      </c>
      <c r="R326" s="306" t="s">
        <v>3334</v>
      </c>
      <c r="S326" s="285">
        <v>2023</v>
      </c>
      <c r="T326" s="270" t="s">
        <v>2001</v>
      </c>
      <c r="U326" s="270" t="s">
        <v>678</v>
      </c>
      <c r="V326" s="270" t="s">
        <v>679</v>
      </c>
      <c r="W326" s="270" t="s">
        <v>145</v>
      </c>
      <c r="X326" s="270" t="s">
        <v>309</v>
      </c>
      <c r="Y326" s="273">
        <v>45078</v>
      </c>
      <c r="Z326" s="288" t="s">
        <v>1875</v>
      </c>
      <c r="AA326" s="288" t="s">
        <v>2479</v>
      </c>
      <c r="AB326" s="288" t="s">
        <v>139</v>
      </c>
      <c r="AC326" s="288" t="s">
        <v>1875</v>
      </c>
      <c r="AD326" s="288" t="s">
        <v>1805</v>
      </c>
      <c r="AE326" s="288" t="s">
        <v>1805</v>
      </c>
      <c r="AF326" s="288" t="s">
        <v>2479</v>
      </c>
      <c r="AG326" s="288" t="s">
        <v>2479</v>
      </c>
      <c r="AH326" s="288" t="s">
        <v>2479</v>
      </c>
      <c r="AI326" s="288" t="s">
        <v>2479</v>
      </c>
      <c r="AJ326" s="303" t="s">
        <v>2191</v>
      </c>
      <c r="AK326" s="288" t="s">
        <v>2479</v>
      </c>
      <c r="AL326" s="303" t="s">
        <v>2190</v>
      </c>
      <c r="AM326" s="288" t="s">
        <v>1975</v>
      </c>
      <c r="AN326" s="207" t="b">
        <v>0</v>
      </c>
      <c r="AY326" s="288" t="s">
        <v>2479</v>
      </c>
      <c r="AZ326" s="288" t="s">
        <v>2479</v>
      </c>
      <c r="BA326" s="288" t="s">
        <v>373</v>
      </c>
      <c r="BB326" s="288" t="s">
        <v>1610</v>
      </c>
      <c r="BC326" s="288" t="s">
        <v>2192</v>
      </c>
    </row>
    <row r="327" spans="1:55" ht="45" customHeight="1">
      <c r="A327" s="271">
        <f t="shared" si="5"/>
        <v>326</v>
      </c>
      <c r="B327" s="284" t="s">
        <v>3335</v>
      </c>
      <c r="C327" s="270" t="s">
        <v>3336</v>
      </c>
      <c r="D327" s="270" t="s">
        <v>8</v>
      </c>
      <c r="E327" s="270" t="s">
        <v>9</v>
      </c>
      <c r="F327" s="270" t="s">
        <v>1771</v>
      </c>
      <c r="G327" s="302">
        <v>44933</v>
      </c>
      <c r="L327" s="270" t="s">
        <v>2479</v>
      </c>
      <c r="M327" s="270" t="s">
        <v>2479</v>
      </c>
      <c r="N327" s="272" t="s">
        <v>122</v>
      </c>
      <c r="O327" s="270" t="s">
        <v>2479</v>
      </c>
      <c r="P327" s="270" t="s">
        <v>1554</v>
      </c>
      <c r="Q327" s="270" t="s">
        <v>2198</v>
      </c>
      <c r="R327" s="306" t="s">
        <v>3337</v>
      </c>
      <c r="S327" s="285">
        <v>2023</v>
      </c>
      <c r="T327" s="270" t="s">
        <v>2001</v>
      </c>
      <c r="U327" s="270" t="s">
        <v>678</v>
      </c>
      <c r="V327" s="270" t="s">
        <v>679</v>
      </c>
      <c r="W327" s="270" t="s">
        <v>145</v>
      </c>
      <c r="X327" s="270" t="s">
        <v>309</v>
      </c>
      <c r="Y327" s="273">
        <v>45078</v>
      </c>
      <c r="Z327" s="288" t="s">
        <v>1875</v>
      </c>
      <c r="AA327" s="288" t="s">
        <v>2479</v>
      </c>
      <c r="AB327" s="288" t="s">
        <v>139</v>
      </c>
      <c r="AC327" s="288" t="s">
        <v>1875</v>
      </c>
      <c r="AD327" s="288" t="s">
        <v>1805</v>
      </c>
      <c r="AE327" s="288" t="s">
        <v>1805</v>
      </c>
      <c r="AF327" s="288" t="s">
        <v>2479</v>
      </c>
      <c r="AG327" s="288" t="s">
        <v>2479</v>
      </c>
      <c r="AH327" s="288" t="s">
        <v>2479</v>
      </c>
      <c r="AI327" s="288" t="s">
        <v>2479</v>
      </c>
      <c r="AJ327" s="303" t="s">
        <v>2191</v>
      </c>
      <c r="AK327" s="288" t="s">
        <v>2479</v>
      </c>
      <c r="AL327" s="303" t="s">
        <v>2190</v>
      </c>
      <c r="AM327" s="288" t="s">
        <v>1975</v>
      </c>
      <c r="AN327" s="207" t="b">
        <v>0</v>
      </c>
      <c r="AY327" s="288" t="s">
        <v>2479</v>
      </c>
      <c r="AZ327" s="288" t="s">
        <v>2479</v>
      </c>
      <c r="BA327" s="288" t="s">
        <v>373</v>
      </c>
      <c r="BB327" s="288" t="s">
        <v>1610</v>
      </c>
      <c r="BC327" s="288" t="s">
        <v>2192</v>
      </c>
    </row>
    <row r="328" spans="1:55" ht="45" customHeight="1">
      <c r="A328" s="271">
        <f t="shared" si="5"/>
        <v>327</v>
      </c>
      <c r="B328" s="284" t="s">
        <v>2517</v>
      </c>
      <c r="C328" s="270" t="s">
        <v>3338</v>
      </c>
      <c r="D328" s="270" t="s">
        <v>8</v>
      </c>
      <c r="E328" s="270" t="s">
        <v>9</v>
      </c>
      <c r="F328" s="270" t="s">
        <v>1771</v>
      </c>
      <c r="G328" s="302">
        <v>44936</v>
      </c>
      <c r="L328" s="270" t="s">
        <v>2479</v>
      </c>
      <c r="M328" s="270" t="s">
        <v>2479</v>
      </c>
      <c r="N328" s="272" t="s">
        <v>122</v>
      </c>
      <c r="O328" s="270" t="s">
        <v>2479</v>
      </c>
      <c r="P328" s="270" t="s">
        <v>1554</v>
      </c>
      <c r="Q328" s="270" t="s">
        <v>2198</v>
      </c>
      <c r="R328" s="306" t="s">
        <v>3339</v>
      </c>
      <c r="S328" s="285">
        <v>2023</v>
      </c>
      <c r="T328" s="270" t="s">
        <v>2001</v>
      </c>
      <c r="U328" s="270" t="s">
        <v>678</v>
      </c>
      <c r="V328" s="270" t="s">
        <v>679</v>
      </c>
      <c r="W328" s="270" t="s">
        <v>145</v>
      </c>
      <c r="X328" s="270" t="s">
        <v>309</v>
      </c>
      <c r="Y328" s="273">
        <v>45078</v>
      </c>
      <c r="Z328" s="288" t="s">
        <v>1875</v>
      </c>
      <c r="AA328" s="288" t="s">
        <v>2479</v>
      </c>
      <c r="AB328" s="288" t="s">
        <v>139</v>
      </c>
      <c r="AC328" s="288" t="s">
        <v>1875</v>
      </c>
      <c r="AD328" s="288" t="s">
        <v>1805</v>
      </c>
      <c r="AE328" s="288" t="s">
        <v>1805</v>
      </c>
      <c r="AF328" s="288" t="s">
        <v>2479</v>
      </c>
      <c r="AG328" s="288" t="s">
        <v>2479</v>
      </c>
      <c r="AH328" s="288" t="s">
        <v>2479</v>
      </c>
      <c r="AI328" s="288" t="s">
        <v>2479</v>
      </c>
      <c r="AJ328" s="303" t="s">
        <v>2191</v>
      </c>
      <c r="AK328" s="288" t="s">
        <v>2479</v>
      </c>
      <c r="AL328" s="303" t="s">
        <v>2190</v>
      </c>
      <c r="AM328" s="288" t="s">
        <v>1975</v>
      </c>
      <c r="AN328" s="207" t="b">
        <v>0</v>
      </c>
      <c r="AY328" s="288" t="s">
        <v>2479</v>
      </c>
      <c r="AZ328" s="288" t="s">
        <v>2479</v>
      </c>
      <c r="BA328" s="288" t="s">
        <v>373</v>
      </c>
      <c r="BB328" s="288" t="s">
        <v>1610</v>
      </c>
      <c r="BC328" s="288" t="s">
        <v>2192</v>
      </c>
    </row>
    <row r="329" spans="1:55" ht="45" customHeight="1">
      <c r="A329" s="271">
        <f t="shared" si="5"/>
        <v>328</v>
      </c>
      <c r="B329" s="284" t="s">
        <v>3340</v>
      </c>
      <c r="C329" s="270" t="s">
        <v>3341</v>
      </c>
      <c r="D329" s="270" t="s">
        <v>8</v>
      </c>
      <c r="E329" s="270" t="s">
        <v>9</v>
      </c>
      <c r="F329" s="270" t="s">
        <v>1771</v>
      </c>
      <c r="G329" s="302">
        <v>44936</v>
      </c>
      <c r="L329" s="270" t="s">
        <v>2479</v>
      </c>
      <c r="M329" s="270" t="s">
        <v>2479</v>
      </c>
      <c r="N329" s="272" t="s">
        <v>122</v>
      </c>
      <c r="O329" s="270" t="s">
        <v>2479</v>
      </c>
      <c r="P329" s="270" t="s">
        <v>1554</v>
      </c>
      <c r="Q329" s="270" t="s">
        <v>2198</v>
      </c>
      <c r="R329" s="306" t="s">
        <v>3342</v>
      </c>
      <c r="S329" s="285">
        <v>2023</v>
      </c>
      <c r="T329" s="270" t="s">
        <v>2001</v>
      </c>
      <c r="U329" s="270" t="s">
        <v>678</v>
      </c>
      <c r="V329" s="270" t="s">
        <v>679</v>
      </c>
      <c r="W329" s="270" t="s">
        <v>145</v>
      </c>
      <c r="X329" s="270" t="s">
        <v>309</v>
      </c>
      <c r="Y329" s="273">
        <v>45078</v>
      </c>
      <c r="Z329" s="288" t="s">
        <v>1875</v>
      </c>
      <c r="AA329" s="288" t="s">
        <v>2479</v>
      </c>
      <c r="AB329" s="288" t="s">
        <v>139</v>
      </c>
      <c r="AC329" s="288" t="s">
        <v>1875</v>
      </c>
      <c r="AD329" s="288" t="s">
        <v>1805</v>
      </c>
      <c r="AE329" s="288" t="s">
        <v>1805</v>
      </c>
      <c r="AF329" s="288" t="s">
        <v>2479</v>
      </c>
      <c r="AG329" s="288" t="s">
        <v>2479</v>
      </c>
      <c r="AH329" s="288" t="s">
        <v>2479</v>
      </c>
      <c r="AI329" s="288" t="s">
        <v>2479</v>
      </c>
      <c r="AJ329" s="303" t="s">
        <v>2191</v>
      </c>
      <c r="AK329" s="288" t="s">
        <v>2479</v>
      </c>
      <c r="AL329" s="303" t="s">
        <v>2190</v>
      </c>
      <c r="AM329" s="288" t="s">
        <v>1975</v>
      </c>
      <c r="AN329" s="207" t="b">
        <v>0</v>
      </c>
      <c r="AY329" s="288" t="s">
        <v>2479</v>
      </c>
      <c r="AZ329" s="288" t="s">
        <v>2479</v>
      </c>
      <c r="BA329" s="288" t="s">
        <v>373</v>
      </c>
      <c r="BB329" s="288" t="s">
        <v>1610</v>
      </c>
      <c r="BC329" s="288" t="s">
        <v>2192</v>
      </c>
    </row>
    <row r="330" spans="1:55" ht="45" customHeight="1">
      <c r="A330" s="271">
        <f t="shared" si="5"/>
        <v>329</v>
      </c>
      <c r="B330" s="284" t="s">
        <v>3343</v>
      </c>
      <c r="C330" s="270" t="s">
        <v>3344</v>
      </c>
      <c r="D330" s="270" t="s">
        <v>8</v>
      </c>
      <c r="E330" s="270" t="s">
        <v>9</v>
      </c>
      <c r="F330" s="270" t="s">
        <v>1771</v>
      </c>
      <c r="G330" s="302">
        <v>44937</v>
      </c>
      <c r="L330" s="270" t="s">
        <v>2479</v>
      </c>
      <c r="M330" s="270" t="s">
        <v>2479</v>
      </c>
      <c r="N330" s="272" t="s">
        <v>122</v>
      </c>
      <c r="O330" s="270" t="s">
        <v>2479</v>
      </c>
      <c r="P330" s="270" t="s">
        <v>1554</v>
      </c>
      <c r="Q330" s="270" t="s">
        <v>2198</v>
      </c>
      <c r="R330" s="306" t="s">
        <v>3345</v>
      </c>
      <c r="S330" s="285">
        <v>2023</v>
      </c>
      <c r="T330" s="270" t="s">
        <v>2001</v>
      </c>
      <c r="U330" s="270" t="s">
        <v>678</v>
      </c>
      <c r="V330" s="270" t="s">
        <v>679</v>
      </c>
      <c r="W330" s="270" t="s">
        <v>145</v>
      </c>
      <c r="X330" s="270" t="s">
        <v>309</v>
      </c>
      <c r="Y330" s="273">
        <v>45078</v>
      </c>
      <c r="Z330" s="288" t="s">
        <v>1875</v>
      </c>
      <c r="AA330" s="288" t="s">
        <v>2479</v>
      </c>
      <c r="AB330" s="288" t="s">
        <v>139</v>
      </c>
      <c r="AC330" s="288" t="s">
        <v>1875</v>
      </c>
      <c r="AD330" s="288" t="s">
        <v>1805</v>
      </c>
      <c r="AE330" s="288" t="s">
        <v>1805</v>
      </c>
      <c r="AF330" s="288" t="s">
        <v>2479</v>
      </c>
      <c r="AG330" s="288" t="s">
        <v>2479</v>
      </c>
      <c r="AH330" s="288" t="s">
        <v>2479</v>
      </c>
      <c r="AI330" s="288" t="s">
        <v>2479</v>
      </c>
      <c r="AJ330" s="303" t="s">
        <v>2191</v>
      </c>
      <c r="AK330" s="288" t="s">
        <v>2479</v>
      </c>
      <c r="AL330" s="303" t="s">
        <v>2190</v>
      </c>
      <c r="AM330" s="288" t="s">
        <v>1975</v>
      </c>
      <c r="AN330" s="207" t="b">
        <v>0</v>
      </c>
      <c r="AY330" s="288" t="s">
        <v>2479</v>
      </c>
      <c r="AZ330" s="288" t="s">
        <v>2479</v>
      </c>
      <c r="BA330" s="288" t="s">
        <v>373</v>
      </c>
      <c r="BB330" s="288" t="s">
        <v>1610</v>
      </c>
      <c r="BC330" s="288" t="s">
        <v>2192</v>
      </c>
    </row>
    <row r="331" spans="1:55" ht="45" customHeight="1">
      <c r="A331" s="271">
        <f t="shared" si="5"/>
        <v>330</v>
      </c>
      <c r="B331" s="284" t="s">
        <v>3346</v>
      </c>
      <c r="C331" s="270" t="s">
        <v>3347</v>
      </c>
      <c r="D331" s="270" t="s">
        <v>8</v>
      </c>
      <c r="E331" s="270" t="s">
        <v>9</v>
      </c>
      <c r="F331" s="270" t="s">
        <v>1771</v>
      </c>
      <c r="G331" s="302">
        <v>44937</v>
      </c>
      <c r="L331" s="270" t="s">
        <v>2479</v>
      </c>
      <c r="M331" s="270" t="s">
        <v>2479</v>
      </c>
      <c r="N331" s="272" t="s">
        <v>122</v>
      </c>
      <c r="O331" s="270" t="s">
        <v>2479</v>
      </c>
      <c r="P331" s="270" t="s">
        <v>1554</v>
      </c>
      <c r="Q331" s="270" t="s">
        <v>2198</v>
      </c>
      <c r="R331" s="306" t="s">
        <v>3348</v>
      </c>
      <c r="S331" s="285">
        <v>2023</v>
      </c>
      <c r="T331" s="270" t="s">
        <v>2001</v>
      </c>
      <c r="U331" s="270" t="s">
        <v>678</v>
      </c>
      <c r="V331" s="270" t="s">
        <v>679</v>
      </c>
      <c r="W331" s="270" t="s">
        <v>145</v>
      </c>
      <c r="X331" s="270" t="s">
        <v>309</v>
      </c>
      <c r="Y331" s="273">
        <v>45078</v>
      </c>
      <c r="Z331" s="288" t="s">
        <v>1875</v>
      </c>
      <c r="AA331" s="288" t="s">
        <v>2479</v>
      </c>
      <c r="AB331" s="288" t="s">
        <v>139</v>
      </c>
      <c r="AC331" s="288" t="s">
        <v>1875</v>
      </c>
      <c r="AD331" s="288" t="s">
        <v>1805</v>
      </c>
      <c r="AE331" s="288" t="s">
        <v>1805</v>
      </c>
      <c r="AF331" s="288" t="s">
        <v>2479</v>
      </c>
      <c r="AG331" s="288" t="s">
        <v>2479</v>
      </c>
      <c r="AH331" s="288" t="s">
        <v>2479</v>
      </c>
      <c r="AI331" s="288" t="s">
        <v>2479</v>
      </c>
      <c r="AJ331" s="303" t="s">
        <v>2191</v>
      </c>
      <c r="AK331" s="288" t="s">
        <v>2479</v>
      </c>
      <c r="AL331" s="303" t="s">
        <v>2190</v>
      </c>
      <c r="AM331" s="288" t="s">
        <v>1975</v>
      </c>
      <c r="AN331" s="207" t="b">
        <v>0</v>
      </c>
      <c r="AY331" s="288" t="s">
        <v>2479</v>
      </c>
      <c r="AZ331" s="288" t="s">
        <v>2479</v>
      </c>
      <c r="BA331" s="288" t="s">
        <v>373</v>
      </c>
      <c r="BB331" s="288" t="s">
        <v>1610</v>
      </c>
      <c r="BC331" s="288" t="s">
        <v>2192</v>
      </c>
    </row>
    <row r="332" spans="1:55" ht="45" customHeight="1">
      <c r="A332" s="271">
        <f t="shared" si="5"/>
        <v>331</v>
      </c>
      <c r="B332" s="284" t="s">
        <v>3349</v>
      </c>
      <c r="C332" s="270" t="s">
        <v>3350</v>
      </c>
      <c r="D332" s="270" t="s">
        <v>8</v>
      </c>
      <c r="E332" s="270" t="s">
        <v>9</v>
      </c>
      <c r="F332" s="270" t="s">
        <v>1771</v>
      </c>
      <c r="G332" s="302">
        <v>44939</v>
      </c>
      <c r="L332" s="270" t="s">
        <v>2479</v>
      </c>
      <c r="M332" s="270" t="s">
        <v>2479</v>
      </c>
      <c r="N332" s="272" t="s">
        <v>122</v>
      </c>
      <c r="O332" s="270" t="s">
        <v>2479</v>
      </c>
      <c r="P332" s="270" t="s">
        <v>1554</v>
      </c>
      <c r="Q332" s="270" t="s">
        <v>2198</v>
      </c>
      <c r="R332" s="306" t="s">
        <v>3351</v>
      </c>
      <c r="S332" s="285">
        <v>2023</v>
      </c>
      <c r="T332" s="270" t="s">
        <v>2001</v>
      </c>
      <c r="U332" s="270" t="s">
        <v>678</v>
      </c>
      <c r="V332" s="270" t="s">
        <v>679</v>
      </c>
      <c r="W332" s="270" t="s">
        <v>145</v>
      </c>
      <c r="X332" s="270" t="s">
        <v>309</v>
      </c>
      <c r="Y332" s="273">
        <v>45078</v>
      </c>
      <c r="Z332" s="288" t="s">
        <v>1875</v>
      </c>
      <c r="AA332" s="288" t="s">
        <v>2479</v>
      </c>
      <c r="AB332" s="288" t="s">
        <v>139</v>
      </c>
      <c r="AC332" s="288" t="s">
        <v>1875</v>
      </c>
      <c r="AD332" s="288" t="s">
        <v>1805</v>
      </c>
      <c r="AE332" s="288" t="s">
        <v>1805</v>
      </c>
      <c r="AF332" s="288" t="s">
        <v>2479</v>
      </c>
      <c r="AG332" s="288" t="s">
        <v>2479</v>
      </c>
      <c r="AH332" s="288" t="s">
        <v>2479</v>
      </c>
      <c r="AI332" s="288" t="s">
        <v>2479</v>
      </c>
      <c r="AJ332" s="303" t="s">
        <v>2191</v>
      </c>
      <c r="AK332" s="288" t="s">
        <v>2479</v>
      </c>
      <c r="AL332" s="303" t="s">
        <v>2190</v>
      </c>
      <c r="AM332" s="288" t="s">
        <v>1975</v>
      </c>
      <c r="AN332" s="207" t="b">
        <v>0</v>
      </c>
      <c r="AY332" s="288" t="s">
        <v>2479</v>
      </c>
      <c r="AZ332" s="288" t="s">
        <v>2479</v>
      </c>
      <c r="BA332" s="288" t="s">
        <v>373</v>
      </c>
      <c r="BB332" s="288" t="s">
        <v>1610</v>
      </c>
      <c r="BC332" s="288" t="s">
        <v>2192</v>
      </c>
    </row>
    <row r="333" spans="1:55" ht="45" customHeight="1">
      <c r="A333" s="271">
        <f t="shared" si="5"/>
        <v>332</v>
      </c>
      <c r="B333" s="284" t="s">
        <v>2475</v>
      </c>
      <c r="C333" s="270" t="s">
        <v>3355</v>
      </c>
      <c r="D333" s="270" t="s">
        <v>8</v>
      </c>
      <c r="E333" s="270" t="s">
        <v>9</v>
      </c>
      <c r="F333" s="270" t="s">
        <v>1771</v>
      </c>
      <c r="G333" s="302">
        <v>44951</v>
      </c>
      <c r="L333" s="270" t="s">
        <v>2479</v>
      </c>
      <c r="M333" s="270" t="s">
        <v>2479</v>
      </c>
      <c r="N333" s="272" t="s">
        <v>122</v>
      </c>
      <c r="O333" s="270" t="s">
        <v>2479</v>
      </c>
      <c r="P333" s="270" t="s">
        <v>1554</v>
      </c>
      <c r="Q333" s="270" t="s">
        <v>2198</v>
      </c>
      <c r="R333" s="306" t="s">
        <v>3356</v>
      </c>
      <c r="S333" s="285">
        <v>2023</v>
      </c>
      <c r="T333" s="270" t="s">
        <v>2001</v>
      </c>
      <c r="U333" s="270" t="s">
        <v>678</v>
      </c>
      <c r="V333" s="270" t="s">
        <v>679</v>
      </c>
      <c r="W333" s="270" t="s">
        <v>145</v>
      </c>
      <c r="X333" s="270" t="s">
        <v>309</v>
      </c>
      <c r="Y333" s="273">
        <v>45078</v>
      </c>
      <c r="Z333" s="288" t="s">
        <v>1875</v>
      </c>
      <c r="AA333" s="288" t="s">
        <v>2479</v>
      </c>
      <c r="AB333" s="288" t="s">
        <v>139</v>
      </c>
      <c r="AC333" s="288" t="s">
        <v>1875</v>
      </c>
      <c r="AD333" s="288" t="s">
        <v>1805</v>
      </c>
      <c r="AE333" s="288" t="s">
        <v>1805</v>
      </c>
      <c r="AF333" s="288" t="s">
        <v>2479</v>
      </c>
      <c r="AG333" s="288" t="s">
        <v>2479</v>
      </c>
      <c r="AH333" s="288" t="s">
        <v>2479</v>
      </c>
      <c r="AI333" s="288" t="s">
        <v>2479</v>
      </c>
      <c r="AJ333" s="303" t="s">
        <v>2191</v>
      </c>
      <c r="AK333" s="288" t="s">
        <v>2479</v>
      </c>
      <c r="AL333" s="303" t="s">
        <v>2190</v>
      </c>
      <c r="AM333" s="288" t="s">
        <v>1975</v>
      </c>
      <c r="AN333" s="207" t="b">
        <v>0</v>
      </c>
      <c r="AY333" s="288" t="s">
        <v>2479</v>
      </c>
      <c r="AZ333" s="288" t="s">
        <v>2479</v>
      </c>
      <c r="BA333" s="288" t="s">
        <v>373</v>
      </c>
      <c r="BB333" s="288" t="s">
        <v>1610</v>
      </c>
      <c r="BC333" s="288" t="s">
        <v>2192</v>
      </c>
    </row>
    <row r="334" spans="1:55" ht="45" customHeight="1">
      <c r="A334" s="271">
        <f t="shared" si="5"/>
        <v>333</v>
      </c>
      <c r="B334" s="284" t="s">
        <v>3357</v>
      </c>
      <c r="C334" s="270" t="s">
        <v>3358</v>
      </c>
      <c r="D334" s="270" t="s">
        <v>8</v>
      </c>
      <c r="E334" s="270" t="s">
        <v>9</v>
      </c>
      <c r="F334" s="270" t="s">
        <v>1771</v>
      </c>
      <c r="G334" s="302">
        <v>44952</v>
      </c>
      <c r="L334" s="270" t="s">
        <v>2479</v>
      </c>
      <c r="M334" s="270" t="s">
        <v>2479</v>
      </c>
      <c r="N334" s="272" t="s">
        <v>122</v>
      </c>
      <c r="O334" s="270" t="s">
        <v>2479</v>
      </c>
      <c r="P334" s="270" t="s">
        <v>1554</v>
      </c>
      <c r="Q334" s="270" t="s">
        <v>2198</v>
      </c>
      <c r="R334" s="306" t="s">
        <v>3359</v>
      </c>
      <c r="S334" s="285">
        <v>2023</v>
      </c>
      <c r="T334" s="270" t="s">
        <v>2001</v>
      </c>
      <c r="U334" s="270" t="s">
        <v>678</v>
      </c>
      <c r="V334" s="270" t="s">
        <v>679</v>
      </c>
      <c r="W334" s="270" t="s">
        <v>145</v>
      </c>
      <c r="X334" s="270" t="s">
        <v>309</v>
      </c>
      <c r="Y334" s="273">
        <v>45078</v>
      </c>
      <c r="Z334" s="288" t="s">
        <v>1875</v>
      </c>
      <c r="AA334" s="288" t="s">
        <v>2479</v>
      </c>
      <c r="AB334" s="288" t="s">
        <v>139</v>
      </c>
      <c r="AC334" s="288" t="s">
        <v>1875</v>
      </c>
      <c r="AD334" s="288" t="s">
        <v>1805</v>
      </c>
      <c r="AE334" s="288" t="s">
        <v>1805</v>
      </c>
      <c r="AF334" s="288" t="s">
        <v>2479</v>
      </c>
      <c r="AG334" s="288" t="s">
        <v>2479</v>
      </c>
      <c r="AH334" s="288" t="s">
        <v>2479</v>
      </c>
      <c r="AI334" s="288" t="s">
        <v>2479</v>
      </c>
      <c r="AJ334" s="303" t="s">
        <v>2191</v>
      </c>
      <c r="AK334" s="288" t="s">
        <v>2479</v>
      </c>
      <c r="AL334" s="303" t="s">
        <v>2190</v>
      </c>
      <c r="AM334" s="288" t="s">
        <v>1975</v>
      </c>
      <c r="AN334" s="207" t="b">
        <v>0</v>
      </c>
      <c r="AY334" s="288" t="s">
        <v>2479</v>
      </c>
      <c r="AZ334" s="288" t="s">
        <v>2479</v>
      </c>
      <c r="BA334" s="288" t="s">
        <v>373</v>
      </c>
      <c r="BB334" s="288" t="s">
        <v>1610</v>
      </c>
      <c r="BC334" s="288" t="s">
        <v>2192</v>
      </c>
    </row>
    <row r="335" spans="1:55" ht="45" customHeight="1">
      <c r="A335" s="271">
        <f t="shared" si="5"/>
        <v>334</v>
      </c>
      <c r="B335" s="284" t="s">
        <v>2522</v>
      </c>
      <c r="C335" s="270" t="s">
        <v>3360</v>
      </c>
      <c r="D335" s="270" t="s">
        <v>8</v>
      </c>
      <c r="E335" s="270" t="s">
        <v>9</v>
      </c>
      <c r="F335" s="270" t="s">
        <v>1771</v>
      </c>
      <c r="G335" s="302">
        <v>44952</v>
      </c>
      <c r="L335" s="270" t="s">
        <v>2479</v>
      </c>
      <c r="M335" s="270" t="s">
        <v>2479</v>
      </c>
      <c r="N335" s="272" t="s">
        <v>122</v>
      </c>
      <c r="O335" s="270" t="s">
        <v>2479</v>
      </c>
      <c r="P335" s="270" t="s">
        <v>1554</v>
      </c>
      <c r="Q335" s="270" t="s">
        <v>2198</v>
      </c>
      <c r="R335" s="306" t="s">
        <v>3361</v>
      </c>
      <c r="S335" s="285">
        <v>2023</v>
      </c>
      <c r="T335" s="270" t="s">
        <v>2001</v>
      </c>
      <c r="U335" s="270" t="s">
        <v>678</v>
      </c>
      <c r="V335" s="270" t="s">
        <v>679</v>
      </c>
      <c r="W335" s="270" t="s">
        <v>145</v>
      </c>
      <c r="X335" s="270" t="s">
        <v>309</v>
      </c>
      <c r="Y335" s="273">
        <v>45078</v>
      </c>
      <c r="Z335" s="288" t="s">
        <v>1875</v>
      </c>
      <c r="AA335" s="288" t="s">
        <v>2479</v>
      </c>
      <c r="AB335" s="288" t="s">
        <v>139</v>
      </c>
      <c r="AC335" s="288" t="s">
        <v>1875</v>
      </c>
      <c r="AD335" s="288" t="s">
        <v>1805</v>
      </c>
      <c r="AE335" s="288" t="s">
        <v>1805</v>
      </c>
      <c r="AF335" s="288" t="s">
        <v>2479</v>
      </c>
      <c r="AG335" s="288" t="s">
        <v>2479</v>
      </c>
      <c r="AH335" s="288" t="s">
        <v>2479</v>
      </c>
      <c r="AI335" s="288" t="s">
        <v>2479</v>
      </c>
      <c r="AJ335" s="303" t="s">
        <v>2191</v>
      </c>
      <c r="AK335" s="288" t="s">
        <v>2479</v>
      </c>
      <c r="AL335" s="303" t="s">
        <v>2190</v>
      </c>
      <c r="AM335" s="288" t="s">
        <v>1975</v>
      </c>
      <c r="AN335" s="207" t="b">
        <v>0</v>
      </c>
      <c r="AY335" s="288" t="s">
        <v>2479</v>
      </c>
      <c r="AZ335" s="288" t="s">
        <v>2479</v>
      </c>
      <c r="BA335" s="288" t="s">
        <v>373</v>
      </c>
      <c r="BB335" s="288" t="s">
        <v>1610</v>
      </c>
      <c r="BC335" s="288" t="s">
        <v>2192</v>
      </c>
    </row>
    <row r="336" spans="1:55" ht="45" customHeight="1">
      <c r="A336" s="271">
        <f t="shared" si="5"/>
        <v>335</v>
      </c>
      <c r="B336" s="284" t="s">
        <v>3352</v>
      </c>
      <c r="C336" s="270" t="s">
        <v>3353</v>
      </c>
      <c r="D336" s="270" t="s">
        <v>8</v>
      </c>
      <c r="E336" s="270" t="s">
        <v>9</v>
      </c>
      <c r="F336" s="270" t="s">
        <v>1771</v>
      </c>
      <c r="G336" s="302">
        <v>44952</v>
      </c>
      <c r="L336" s="270" t="s">
        <v>2479</v>
      </c>
      <c r="M336" s="270" t="s">
        <v>2479</v>
      </c>
      <c r="N336" s="272" t="s">
        <v>122</v>
      </c>
      <c r="O336" s="270" t="s">
        <v>2479</v>
      </c>
      <c r="P336" s="270" t="s">
        <v>1554</v>
      </c>
      <c r="Q336" s="270" t="s">
        <v>2198</v>
      </c>
      <c r="R336" s="306" t="s">
        <v>3354</v>
      </c>
      <c r="S336" s="285">
        <v>2023</v>
      </c>
      <c r="T336" s="270" t="s">
        <v>2001</v>
      </c>
      <c r="U336" s="270" t="s">
        <v>678</v>
      </c>
      <c r="V336" s="270" t="s">
        <v>679</v>
      </c>
      <c r="W336" s="270" t="s">
        <v>145</v>
      </c>
      <c r="X336" s="270" t="s">
        <v>309</v>
      </c>
      <c r="Y336" s="273">
        <v>45078</v>
      </c>
      <c r="Z336" s="288" t="s">
        <v>1875</v>
      </c>
      <c r="AA336" s="288" t="s">
        <v>2479</v>
      </c>
      <c r="AB336" s="288" t="s">
        <v>139</v>
      </c>
      <c r="AC336" s="288" t="s">
        <v>1875</v>
      </c>
      <c r="AD336" s="288" t="s">
        <v>1805</v>
      </c>
      <c r="AE336" s="288" t="s">
        <v>1805</v>
      </c>
      <c r="AF336" s="288" t="s">
        <v>2479</v>
      </c>
      <c r="AG336" s="288" t="s">
        <v>2479</v>
      </c>
      <c r="AH336" s="288" t="s">
        <v>2479</v>
      </c>
      <c r="AI336" s="288" t="s">
        <v>2479</v>
      </c>
      <c r="AJ336" s="303" t="s">
        <v>2191</v>
      </c>
      <c r="AK336" s="288" t="s">
        <v>2479</v>
      </c>
      <c r="AL336" s="303" t="s">
        <v>2190</v>
      </c>
      <c r="AM336" s="288" t="s">
        <v>1975</v>
      </c>
      <c r="AN336" s="207" t="b">
        <v>0</v>
      </c>
      <c r="AY336" s="288" t="s">
        <v>2479</v>
      </c>
      <c r="AZ336" s="288" t="s">
        <v>2479</v>
      </c>
      <c r="BA336" s="288" t="s">
        <v>373</v>
      </c>
      <c r="BB336" s="288" t="s">
        <v>1610</v>
      </c>
      <c r="BC336" s="288" t="s">
        <v>2192</v>
      </c>
    </row>
    <row r="337" spans="1:55" ht="45" customHeight="1">
      <c r="A337" s="271">
        <f t="shared" si="5"/>
        <v>336</v>
      </c>
      <c r="B337" s="284" t="s">
        <v>2453</v>
      </c>
      <c r="C337" s="270" t="s">
        <v>3457</v>
      </c>
      <c r="D337" s="270" t="s">
        <v>8</v>
      </c>
      <c r="E337" s="270" t="s">
        <v>9</v>
      </c>
      <c r="F337" s="270" t="s">
        <v>1771</v>
      </c>
      <c r="G337" s="302">
        <v>44963</v>
      </c>
      <c r="L337" s="270" t="s">
        <v>2479</v>
      </c>
      <c r="M337" s="270" t="s">
        <v>2479</v>
      </c>
      <c r="N337" s="272" t="s">
        <v>122</v>
      </c>
      <c r="O337" s="270" t="s">
        <v>2479</v>
      </c>
      <c r="P337" s="270" t="s">
        <v>1554</v>
      </c>
      <c r="Q337" s="270" t="s">
        <v>2198</v>
      </c>
      <c r="R337" s="306" t="s">
        <v>3458</v>
      </c>
      <c r="S337" s="285">
        <v>2023</v>
      </c>
      <c r="T337" s="270" t="s">
        <v>2001</v>
      </c>
      <c r="U337" s="270" t="s">
        <v>678</v>
      </c>
      <c r="V337" s="270" t="s">
        <v>679</v>
      </c>
      <c r="W337" s="270" t="s">
        <v>145</v>
      </c>
      <c r="X337" s="270" t="s">
        <v>309</v>
      </c>
      <c r="Y337" s="273">
        <v>45078</v>
      </c>
      <c r="Z337" s="288" t="s">
        <v>1875</v>
      </c>
      <c r="AA337" s="288" t="s">
        <v>2479</v>
      </c>
      <c r="AB337" s="288" t="s">
        <v>139</v>
      </c>
      <c r="AC337" s="288" t="s">
        <v>1875</v>
      </c>
      <c r="AD337" s="288" t="s">
        <v>1805</v>
      </c>
      <c r="AE337" s="288" t="s">
        <v>1805</v>
      </c>
      <c r="AF337" s="288" t="s">
        <v>2479</v>
      </c>
      <c r="AG337" s="288" t="s">
        <v>2479</v>
      </c>
      <c r="AH337" s="288" t="s">
        <v>2479</v>
      </c>
      <c r="AI337" s="288" t="s">
        <v>2479</v>
      </c>
      <c r="AJ337" s="303" t="s">
        <v>2191</v>
      </c>
      <c r="AK337" s="288" t="s">
        <v>2479</v>
      </c>
      <c r="AL337" s="303" t="s">
        <v>2190</v>
      </c>
      <c r="AM337" s="288" t="s">
        <v>1975</v>
      </c>
      <c r="AN337" s="207" t="b">
        <v>0</v>
      </c>
      <c r="AY337" s="288" t="s">
        <v>2479</v>
      </c>
      <c r="AZ337" s="288" t="s">
        <v>2479</v>
      </c>
      <c r="BA337" s="288" t="s">
        <v>373</v>
      </c>
      <c r="BB337" s="288" t="s">
        <v>1610</v>
      </c>
      <c r="BC337" s="288" t="s">
        <v>2192</v>
      </c>
    </row>
    <row r="338" spans="1:55" ht="45" customHeight="1">
      <c r="A338" s="271">
        <f>ROW()-1</f>
        <v>337</v>
      </c>
      <c r="B338" s="284" t="s">
        <v>2528</v>
      </c>
      <c r="C338" s="270" t="s">
        <v>3459</v>
      </c>
      <c r="D338" s="270" t="s">
        <v>8</v>
      </c>
      <c r="E338" s="270" t="s">
        <v>9</v>
      </c>
      <c r="F338" s="270" t="s">
        <v>1771</v>
      </c>
      <c r="G338" s="302">
        <v>44964</v>
      </c>
      <c r="L338" s="270" t="s">
        <v>2479</v>
      </c>
      <c r="M338" s="270" t="s">
        <v>2479</v>
      </c>
      <c r="N338" s="272" t="s">
        <v>122</v>
      </c>
      <c r="O338" s="270" t="s">
        <v>2479</v>
      </c>
      <c r="P338" s="270" t="s">
        <v>1554</v>
      </c>
      <c r="Q338" s="270" t="s">
        <v>2198</v>
      </c>
      <c r="R338" s="306" t="s">
        <v>3460</v>
      </c>
      <c r="S338" s="285">
        <v>2023</v>
      </c>
      <c r="T338" s="270" t="s">
        <v>2001</v>
      </c>
      <c r="U338" s="270" t="s">
        <v>678</v>
      </c>
      <c r="V338" s="270" t="s">
        <v>679</v>
      </c>
      <c r="W338" s="270" t="s">
        <v>145</v>
      </c>
      <c r="X338" s="270" t="s">
        <v>309</v>
      </c>
      <c r="Y338" s="273">
        <v>45078</v>
      </c>
      <c r="Z338" s="288" t="s">
        <v>1875</v>
      </c>
      <c r="AA338" s="288" t="s">
        <v>2479</v>
      </c>
      <c r="AB338" s="288" t="s">
        <v>139</v>
      </c>
      <c r="AC338" s="288" t="s">
        <v>1875</v>
      </c>
      <c r="AD338" s="288" t="s">
        <v>1805</v>
      </c>
      <c r="AE338" s="288" t="s">
        <v>1805</v>
      </c>
      <c r="AF338" s="288" t="s">
        <v>2479</v>
      </c>
      <c r="AG338" s="288" t="s">
        <v>2479</v>
      </c>
      <c r="AH338" s="288" t="s">
        <v>2479</v>
      </c>
      <c r="AI338" s="288" t="s">
        <v>2479</v>
      </c>
      <c r="AJ338" s="303" t="s">
        <v>2191</v>
      </c>
      <c r="AK338" s="288" t="s">
        <v>2479</v>
      </c>
      <c r="AL338" s="303" t="s">
        <v>2190</v>
      </c>
      <c r="AM338" s="288" t="s">
        <v>1975</v>
      </c>
      <c r="AN338" s="207" t="b">
        <v>0</v>
      </c>
      <c r="AY338" s="288" t="s">
        <v>2479</v>
      </c>
      <c r="AZ338" s="288" t="s">
        <v>2479</v>
      </c>
      <c r="BA338" s="288" t="s">
        <v>373</v>
      </c>
      <c r="BB338" s="288" t="s">
        <v>1610</v>
      </c>
      <c r="BC338" s="288" t="s">
        <v>2192</v>
      </c>
    </row>
    <row r="339" spans="1:55" ht="45" customHeight="1">
      <c r="A339" s="271">
        <f t="shared" si="5"/>
        <v>338</v>
      </c>
      <c r="B339" s="284" t="s">
        <v>2482</v>
      </c>
      <c r="C339" s="270" t="s">
        <v>3461</v>
      </c>
      <c r="D339" s="270" t="s">
        <v>8</v>
      </c>
      <c r="E339" s="270" t="s">
        <v>9</v>
      </c>
      <c r="F339" s="270" t="s">
        <v>1771</v>
      </c>
      <c r="G339" s="302">
        <v>44972</v>
      </c>
      <c r="L339" s="270" t="s">
        <v>2479</v>
      </c>
      <c r="M339" s="270" t="s">
        <v>2479</v>
      </c>
      <c r="N339" s="272" t="s">
        <v>122</v>
      </c>
      <c r="O339" s="270" t="s">
        <v>2479</v>
      </c>
      <c r="P339" s="270" t="s">
        <v>1554</v>
      </c>
      <c r="Q339" s="270" t="s">
        <v>2198</v>
      </c>
      <c r="R339" s="306" t="s">
        <v>3462</v>
      </c>
      <c r="S339" s="285">
        <v>2023</v>
      </c>
      <c r="T339" s="270" t="s">
        <v>2001</v>
      </c>
      <c r="U339" s="270" t="s">
        <v>678</v>
      </c>
      <c r="V339" s="270" t="s">
        <v>679</v>
      </c>
      <c r="W339" s="270" t="s">
        <v>145</v>
      </c>
      <c r="X339" s="270" t="s">
        <v>309</v>
      </c>
      <c r="Y339" s="273">
        <v>45078</v>
      </c>
      <c r="Z339" s="288" t="s">
        <v>1875</v>
      </c>
      <c r="AA339" s="288" t="s">
        <v>2479</v>
      </c>
      <c r="AB339" s="288" t="s">
        <v>139</v>
      </c>
      <c r="AC339" s="288" t="s">
        <v>1875</v>
      </c>
      <c r="AD339" s="288" t="s">
        <v>1805</v>
      </c>
      <c r="AE339" s="288" t="s">
        <v>1805</v>
      </c>
      <c r="AF339" s="288" t="s">
        <v>2479</v>
      </c>
      <c r="AG339" s="288" t="s">
        <v>2479</v>
      </c>
      <c r="AH339" s="288" t="s">
        <v>2479</v>
      </c>
      <c r="AI339" s="288" t="s">
        <v>2479</v>
      </c>
      <c r="AJ339" s="303" t="s">
        <v>2191</v>
      </c>
      <c r="AK339" s="288" t="s">
        <v>2479</v>
      </c>
      <c r="AL339" s="303" t="s">
        <v>2190</v>
      </c>
      <c r="AM339" s="288" t="s">
        <v>1975</v>
      </c>
      <c r="AN339" s="207" t="b">
        <v>0</v>
      </c>
      <c r="AY339" s="288" t="s">
        <v>2479</v>
      </c>
      <c r="AZ339" s="288" t="s">
        <v>2479</v>
      </c>
      <c r="BA339" s="288" t="s">
        <v>373</v>
      </c>
      <c r="BB339" s="288" t="s">
        <v>1610</v>
      </c>
      <c r="BC339" s="288" t="s">
        <v>2192</v>
      </c>
    </row>
    <row r="340" spans="1:55" ht="45" customHeight="1">
      <c r="A340" s="271">
        <f t="shared" si="5"/>
        <v>339</v>
      </c>
      <c r="B340" s="284" t="s">
        <v>2484</v>
      </c>
      <c r="C340" s="270" t="s">
        <v>3463</v>
      </c>
      <c r="D340" s="270" t="s">
        <v>8</v>
      </c>
      <c r="E340" s="270" t="s">
        <v>9</v>
      </c>
      <c r="F340" s="270" t="s">
        <v>1771</v>
      </c>
      <c r="G340" s="302">
        <v>44972</v>
      </c>
      <c r="L340" s="270" t="s">
        <v>2479</v>
      </c>
      <c r="M340" s="270" t="s">
        <v>2479</v>
      </c>
      <c r="N340" s="272" t="s">
        <v>122</v>
      </c>
      <c r="O340" s="270" t="s">
        <v>2479</v>
      </c>
      <c r="P340" s="270" t="s">
        <v>1554</v>
      </c>
      <c r="Q340" s="270" t="s">
        <v>2198</v>
      </c>
      <c r="R340" s="306" t="s">
        <v>3464</v>
      </c>
      <c r="S340" s="285">
        <v>2023</v>
      </c>
      <c r="T340" s="270" t="s">
        <v>2001</v>
      </c>
      <c r="U340" s="270" t="s">
        <v>678</v>
      </c>
      <c r="V340" s="270" t="s">
        <v>679</v>
      </c>
      <c r="W340" s="270" t="s">
        <v>145</v>
      </c>
      <c r="X340" s="270" t="s">
        <v>309</v>
      </c>
      <c r="Y340" s="273">
        <v>45078</v>
      </c>
      <c r="Z340" s="288" t="s">
        <v>1875</v>
      </c>
      <c r="AA340" s="288" t="s">
        <v>2479</v>
      </c>
      <c r="AB340" s="288" t="s">
        <v>139</v>
      </c>
      <c r="AC340" s="288" t="s">
        <v>1875</v>
      </c>
      <c r="AD340" s="288" t="s">
        <v>1805</v>
      </c>
      <c r="AE340" s="288" t="s">
        <v>1805</v>
      </c>
      <c r="AF340" s="288" t="s">
        <v>2479</v>
      </c>
      <c r="AG340" s="288" t="s">
        <v>2479</v>
      </c>
      <c r="AH340" s="288" t="s">
        <v>2479</v>
      </c>
      <c r="AI340" s="288" t="s">
        <v>2479</v>
      </c>
      <c r="AJ340" s="303" t="s">
        <v>2191</v>
      </c>
      <c r="AK340" s="288" t="s">
        <v>2479</v>
      </c>
      <c r="AL340" s="303" t="s">
        <v>2190</v>
      </c>
      <c r="AM340" s="288" t="s">
        <v>1975</v>
      </c>
      <c r="AN340" s="207" t="b">
        <v>0</v>
      </c>
      <c r="AY340" s="288" t="s">
        <v>2479</v>
      </c>
      <c r="AZ340" s="288" t="s">
        <v>2479</v>
      </c>
      <c r="BA340" s="288" t="s">
        <v>373</v>
      </c>
      <c r="BB340" s="288" t="s">
        <v>1610</v>
      </c>
      <c r="BC340" s="288" t="s">
        <v>2192</v>
      </c>
    </row>
    <row r="341" spans="1:55" ht="45" customHeight="1">
      <c r="A341" s="271">
        <f t="shared" si="5"/>
        <v>340</v>
      </c>
      <c r="B341" s="284" t="s">
        <v>2533</v>
      </c>
      <c r="C341" s="270" t="s">
        <v>3465</v>
      </c>
      <c r="D341" s="270" t="s">
        <v>8</v>
      </c>
      <c r="E341" s="270" t="s">
        <v>9</v>
      </c>
      <c r="F341" s="270" t="s">
        <v>1771</v>
      </c>
      <c r="G341" s="302">
        <v>44972</v>
      </c>
      <c r="L341" s="270" t="s">
        <v>2479</v>
      </c>
      <c r="M341" s="270" t="s">
        <v>2479</v>
      </c>
      <c r="N341" s="272" t="s">
        <v>122</v>
      </c>
      <c r="O341" s="270" t="s">
        <v>2479</v>
      </c>
      <c r="P341" s="270" t="s">
        <v>1554</v>
      </c>
      <c r="Q341" s="270" t="s">
        <v>2198</v>
      </c>
      <c r="R341" s="306" t="s">
        <v>3466</v>
      </c>
      <c r="S341" s="285">
        <v>2023</v>
      </c>
      <c r="T341" s="270" t="s">
        <v>2001</v>
      </c>
      <c r="U341" s="270" t="s">
        <v>678</v>
      </c>
      <c r="V341" s="270" t="s">
        <v>679</v>
      </c>
      <c r="W341" s="270" t="s">
        <v>145</v>
      </c>
      <c r="X341" s="270" t="s">
        <v>309</v>
      </c>
      <c r="Y341" s="273">
        <v>45078</v>
      </c>
      <c r="Z341" s="288" t="s">
        <v>1875</v>
      </c>
      <c r="AA341" s="288" t="s">
        <v>2479</v>
      </c>
      <c r="AB341" s="288" t="s">
        <v>139</v>
      </c>
      <c r="AC341" s="288" t="s">
        <v>1875</v>
      </c>
      <c r="AD341" s="288" t="s">
        <v>1805</v>
      </c>
      <c r="AE341" s="288" t="s">
        <v>1805</v>
      </c>
      <c r="AF341" s="288" t="s">
        <v>2479</v>
      </c>
      <c r="AG341" s="288" t="s">
        <v>2479</v>
      </c>
      <c r="AH341" s="288" t="s">
        <v>2479</v>
      </c>
      <c r="AI341" s="288" t="s">
        <v>2479</v>
      </c>
      <c r="AJ341" s="303" t="s">
        <v>2191</v>
      </c>
      <c r="AK341" s="288" t="s">
        <v>2479</v>
      </c>
      <c r="AL341" s="303" t="s">
        <v>2190</v>
      </c>
      <c r="AM341" s="288" t="s">
        <v>1975</v>
      </c>
      <c r="AN341" s="207" t="b">
        <v>0</v>
      </c>
      <c r="AY341" s="288" t="s">
        <v>2479</v>
      </c>
      <c r="AZ341" s="288" t="s">
        <v>2479</v>
      </c>
      <c r="BA341" s="288" t="s">
        <v>373</v>
      </c>
      <c r="BB341" s="288" t="s">
        <v>1610</v>
      </c>
      <c r="BC341" s="288" t="s">
        <v>2192</v>
      </c>
    </row>
    <row r="342" spans="1:55" ht="45" customHeight="1">
      <c r="A342" s="271">
        <f t="shared" si="5"/>
        <v>341</v>
      </c>
      <c r="B342" s="284" t="s">
        <v>2537</v>
      </c>
      <c r="C342" s="270" t="s">
        <v>3498</v>
      </c>
      <c r="D342" s="270" t="s">
        <v>8</v>
      </c>
      <c r="E342" s="270" t="s">
        <v>9</v>
      </c>
      <c r="F342" s="270" t="s">
        <v>1771</v>
      </c>
      <c r="G342" s="302">
        <v>44984</v>
      </c>
      <c r="L342" s="270" t="s">
        <v>2479</v>
      </c>
      <c r="M342" s="270" t="s">
        <v>2479</v>
      </c>
      <c r="N342" s="272" t="s">
        <v>122</v>
      </c>
      <c r="O342" s="270" t="s">
        <v>2479</v>
      </c>
      <c r="P342" s="270" t="s">
        <v>1554</v>
      </c>
      <c r="Q342" s="270" t="s">
        <v>2198</v>
      </c>
      <c r="R342" s="306">
        <v>44929.443194444444</v>
      </c>
      <c r="S342" s="285">
        <v>2023</v>
      </c>
      <c r="T342" s="270" t="s">
        <v>2001</v>
      </c>
      <c r="U342" s="270" t="s">
        <v>678</v>
      </c>
      <c r="V342" s="270" t="s">
        <v>679</v>
      </c>
      <c r="W342" s="270" t="s">
        <v>145</v>
      </c>
      <c r="X342" s="270" t="s">
        <v>309</v>
      </c>
      <c r="Y342" s="273">
        <v>45078</v>
      </c>
      <c r="Z342" s="288" t="s">
        <v>1875</v>
      </c>
      <c r="AA342" s="288" t="s">
        <v>2479</v>
      </c>
      <c r="AB342" s="288" t="s">
        <v>139</v>
      </c>
      <c r="AC342" s="288" t="s">
        <v>1875</v>
      </c>
      <c r="AD342" s="288" t="s">
        <v>1805</v>
      </c>
      <c r="AE342" s="288" t="s">
        <v>1805</v>
      </c>
      <c r="AF342" s="288" t="s">
        <v>2479</v>
      </c>
      <c r="AG342" s="288" t="s">
        <v>2479</v>
      </c>
      <c r="AH342" s="288" t="s">
        <v>2479</v>
      </c>
      <c r="AI342" s="288" t="s">
        <v>2479</v>
      </c>
      <c r="AJ342" s="303" t="s">
        <v>2191</v>
      </c>
      <c r="AK342" s="288" t="s">
        <v>2479</v>
      </c>
      <c r="AL342" s="303" t="s">
        <v>2190</v>
      </c>
      <c r="AM342" s="288" t="s">
        <v>1975</v>
      </c>
      <c r="AN342" s="207" t="b">
        <v>0</v>
      </c>
      <c r="AY342" s="288" t="s">
        <v>2479</v>
      </c>
      <c r="AZ342" s="288" t="s">
        <v>2479</v>
      </c>
      <c r="BA342" s="288" t="s">
        <v>373</v>
      </c>
      <c r="BB342" s="288" t="s">
        <v>1610</v>
      </c>
      <c r="BC342" s="288" t="s">
        <v>2192</v>
      </c>
    </row>
    <row r="343" spans="1:55" ht="45" customHeight="1">
      <c r="A343" s="271">
        <f t="shared" si="5"/>
        <v>342</v>
      </c>
      <c r="B343" s="284" t="s">
        <v>2539</v>
      </c>
      <c r="C343" s="270" t="s">
        <v>3497</v>
      </c>
      <c r="D343" s="270" t="s">
        <v>8</v>
      </c>
      <c r="E343" s="270" t="s">
        <v>9</v>
      </c>
      <c r="F343" s="270" t="s">
        <v>1771</v>
      </c>
      <c r="G343" s="302">
        <v>44984</v>
      </c>
      <c r="L343" s="270" t="s">
        <v>2479</v>
      </c>
      <c r="M343" s="270" t="s">
        <v>2479</v>
      </c>
      <c r="N343" s="272" t="s">
        <v>122</v>
      </c>
      <c r="O343" s="270" t="s">
        <v>2479</v>
      </c>
      <c r="P343" s="270" t="s">
        <v>1554</v>
      </c>
      <c r="Q343" s="270" t="s">
        <v>2198</v>
      </c>
      <c r="R343" s="306">
        <v>44929.442673611113</v>
      </c>
      <c r="S343" s="285">
        <v>2023</v>
      </c>
      <c r="T343" s="270" t="s">
        <v>2001</v>
      </c>
      <c r="U343" s="270" t="s">
        <v>678</v>
      </c>
      <c r="V343" s="270" t="s">
        <v>679</v>
      </c>
      <c r="W343" s="270" t="s">
        <v>145</v>
      </c>
      <c r="X343" s="270" t="s">
        <v>309</v>
      </c>
      <c r="Y343" s="273">
        <v>45078</v>
      </c>
      <c r="Z343" s="288" t="s">
        <v>1875</v>
      </c>
      <c r="AA343" s="288" t="s">
        <v>2479</v>
      </c>
      <c r="AB343" s="288" t="s">
        <v>139</v>
      </c>
      <c r="AC343" s="288" t="s">
        <v>1875</v>
      </c>
      <c r="AD343" s="288" t="s">
        <v>1805</v>
      </c>
      <c r="AE343" s="288" t="s">
        <v>1805</v>
      </c>
      <c r="AF343" s="288" t="s">
        <v>2479</v>
      </c>
      <c r="AG343" s="288" t="s">
        <v>2479</v>
      </c>
      <c r="AH343" s="288" t="s">
        <v>2479</v>
      </c>
      <c r="AI343" s="288" t="s">
        <v>2479</v>
      </c>
      <c r="AJ343" s="303" t="s">
        <v>2191</v>
      </c>
      <c r="AK343" s="288" t="s">
        <v>2479</v>
      </c>
      <c r="AL343" s="303" t="s">
        <v>2190</v>
      </c>
      <c r="AM343" s="288" t="s">
        <v>1975</v>
      </c>
      <c r="AN343" s="207" t="b">
        <v>0</v>
      </c>
      <c r="AY343" s="288" t="s">
        <v>2479</v>
      </c>
      <c r="AZ343" s="288" t="s">
        <v>2479</v>
      </c>
      <c r="BA343" s="288" t="s">
        <v>373</v>
      </c>
      <c r="BB343" s="288" t="s">
        <v>1610</v>
      </c>
      <c r="BC343" s="288" t="s">
        <v>2192</v>
      </c>
    </row>
    <row r="344" spans="1:55" ht="45" customHeight="1">
      <c r="A344" s="271">
        <f t="shared" si="5"/>
        <v>343</v>
      </c>
      <c r="B344" s="284" t="s">
        <v>2448</v>
      </c>
      <c r="C344" s="270" t="s">
        <v>3575</v>
      </c>
      <c r="D344" s="270" t="s">
        <v>8</v>
      </c>
      <c r="E344" s="270" t="s">
        <v>9</v>
      </c>
      <c r="F344" s="270" t="s">
        <v>1771</v>
      </c>
      <c r="G344" s="302">
        <v>44987</v>
      </c>
      <c r="L344" s="270" t="s">
        <v>2479</v>
      </c>
      <c r="M344" s="270" t="s">
        <v>2479</v>
      </c>
      <c r="N344" s="272" t="s">
        <v>122</v>
      </c>
      <c r="O344" s="270" t="s">
        <v>2479</v>
      </c>
      <c r="P344" s="270" t="s">
        <v>1554</v>
      </c>
      <c r="Q344" s="270" t="s">
        <v>2198</v>
      </c>
      <c r="R344" s="306">
        <v>44930.438425925924</v>
      </c>
      <c r="S344" s="285">
        <v>2023</v>
      </c>
      <c r="T344" s="270" t="s">
        <v>2001</v>
      </c>
      <c r="U344" s="270" t="s">
        <v>678</v>
      </c>
      <c r="V344" s="270" t="s">
        <v>679</v>
      </c>
      <c r="W344" s="270" t="s">
        <v>145</v>
      </c>
      <c r="X344" s="270" t="s">
        <v>309</v>
      </c>
      <c r="Y344" s="273">
        <v>45078</v>
      </c>
      <c r="Z344" s="288" t="s">
        <v>1875</v>
      </c>
      <c r="AA344" s="288" t="s">
        <v>2479</v>
      </c>
      <c r="AB344" s="288" t="s">
        <v>139</v>
      </c>
      <c r="AC344" s="288" t="s">
        <v>1875</v>
      </c>
      <c r="AD344" s="288" t="s">
        <v>1805</v>
      </c>
      <c r="AE344" s="288" t="s">
        <v>1805</v>
      </c>
      <c r="AF344" s="288" t="s">
        <v>2479</v>
      </c>
      <c r="AG344" s="288" t="s">
        <v>2479</v>
      </c>
      <c r="AH344" s="288" t="s">
        <v>2479</v>
      </c>
      <c r="AI344" s="288" t="s">
        <v>2479</v>
      </c>
      <c r="AJ344" s="303" t="s">
        <v>2191</v>
      </c>
      <c r="AK344" s="288" t="s">
        <v>2479</v>
      </c>
      <c r="AL344" s="303" t="s">
        <v>2190</v>
      </c>
      <c r="AM344" s="288" t="s">
        <v>1975</v>
      </c>
      <c r="AN344" s="207" t="b">
        <v>0</v>
      </c>
      <c r="AY344" s="288" t="s">
        <v>2479</v>
      </c>
      <c r="AZ344" s="288" t="s">
        <v>2479</v>
      </c>
      <c r="BA344" s="288" t="s">
        <v>373</v>
      </c>
      <c r="BB344" s="288" t="s">
        <v>1610</v>
      </c>
      <c r="BC344" s="288" t="s">
        <v>2192</v>
      </c>
    </row>
    <row r="345" spans="1:55" ht="45" customHeight="1">
      <c r="A345" s="271">
        <f t="shared" si="5"/>
        <v>344</v>
      </c>
      <c r="B345" s="284" t="s">
        <v>2449</v>
      </c>
      <c r="C345" s="270" t="s">
        <v>3576</v>
      </c>
      <c r="D345" s="270" t="s">
        <v>8</v>
      </c>
      <c r="E345" s="270" t="s">
        <v>9</v>
      </c>
      <c r="F345" s="270" t="s">
        <v>1771</v>
      </c>
      <c r="G345" s="302">
        <v>44993</v>
      </c>
      <c r="L345" s="270" t="s">
        <v>2479</v>
      </c>
      <c r="M345" s="270" t="s">
        <v>2479</v>
      </c>
      <c r="N345" s="272" t="s">
        <v>122</v>
      </c>
      <c r="O345" s="270" t="s">
        <v>2479</v>
      </c>
      <c r="P345" s="270" t="s">
        <v>1554</v>
      </c>
      <c r="Q345" s="270" t="s">
        <v>2198</v>
      </c>
      <c r="R345" s="306">
        <v>44930.439062500001</v>
      </c>
      <c r="S345" s="285">
        <v>2023</v>
      </c>
      <c r="T345" s="270" t="s">
        <v>2001</v>
      </c>
      <c r="U345" s="270" t="s">
        <v>678</v>
      </c>
      <c r="V345" s="270" t="s">
        <v>679</v>
      </c>
      <c r="W345" s="270" t="s">
        <v>145</v>
      </c>
      <c r="X345" s="270" t="s">
        <v>309</v>
      </c>
      <c r="Y345" s="273">
        <v>45078</v>
      </c>
      <c r="Z345" s="288" t="s">
        <v>1875</v>
      </c>
      <c r="AA345" s="288" t="s">
        <v>2479</v>
      </c>
      <c r="AB345" s="288" t="s">
        <v>139</v>
      </c>
      <c r="AC345" s="288" t="s">
        <v>1875</v>
      </c>
      <c r="AD345" s="288" t="s">
        <v>1805</v>
      </c>
      <c r="AE345" s="288" t="s">
        <v>1805</v>
      </c>
      <c r="AF345" s="288" t="s">
        <v>2479</v>
      </c>
      <c r="AG345" s="288" t="s">
        <v>2479</v>
      </c>
      <c r="AH345" s="288" t="s">
        <v>2479</v>
      </c>
      <c r="AI345" s="288" t="s">
        <v>2479</v>
      </c>
      <c r="AJ345" s="303" t="s">
        <v>2191</v>
      </c>
      <c r="AK345" s="288" t="s">
        <v>2479</v>
      </c>
      <c r="AL345" s="303" t="s">
        <v>2190</v>
      </c>
      <c r="AM345" s="288" t="s">
        <v>1975</v>
      </c>
      <c r="AN345" s="207" t="b">
        <v>0</v>
      </c>
      <c r="AY345" s="288" t="s">
        <v>2479</v>
      </c>
      <c r="AZ345" s="288" t="s">
        <v>2479</v>
      </c>
      <c r="BA345" s="288" t="s">
        <v>373</v>
      </c>
      <c r="BB345" s="288" t="s">
        <v>1610</v>
      </c>
      <c r="BC345" s="288" t="s">
        <v>2192</v>
      </c>
    </row>
    <row r="346" spans="1:55" ht="45" customHeight="1">
      <c r="A346" s="271">
        <f t="shared" si="5"/>
        <v>345</v>
      </c>
      <c r="B346" s="284" t="s">
        <v>2544</v>
      </c>
      <c r="C346" s="270" t="s">
        <v>3577</v>
      </c>
      <c r="D346" s="270" t="s">
        <v>8</v>
      </c>
      <c r="E346" s="270" t="s">
        <v>9</v>
      </c>
      <c r="F346" s="270" t="s">
        <v>1771</v>
      </c>
      <c r="G346" s="302">
        <v>44995</v>
      </c>
      <c r="L346" s="270" t="s">
        <v>2479</v>
      </c>
      <c r="M346" s="270" t="s">
        <v>2479</v>
      </c>
      <c r="N346" s="272" t="s">
        <v>122</v>
      </c>
      <c r="O346" s="270" t="s">
        <v>2479</v>
      </c>
      <c r="P346" s="270" t="s">
        <v>1554</v>
      </c>
      <c r="Q346" s="270" t="s">
        <v>2198</v>
      </c>
      <c r="R346" s="306">
        <v>44930.439699074072</v>
      </c>
      <c r="S346" s="285">
        <v>2023</v>
      </c>
      <c r="T346" s="270" t="s">
        <v>2001</v>
      </c>
      <c r="U346" s="270" t="s">
        <v>678</v>
      </c>
      <c r="V346" s="270" t="s">
        <v>679</v>
      </c>
      <c r="W346" s="270" t="s">
        <v>145</v>
      </c>
      <c r="X346" s="270" t="s">
        <v>309</v>
      </c>
      <c r="Y346" s="273">
        <v>45078</v>
      </c>
      <c r="Z346" s="288" t="s">
        <v>1875</v>
      </c>
      <c r="AA346" s="288" t="s">
        <v>2479</v>
      </c>
      <c r="AB346" s="288" t="s">
        <v>139</v>
      </c>
      <c r="AC346" s="288" t="s">
        <v>1875</v>
      </c>
      <c r="AD346" s="288" t="s">
        <v>1805</v>
      </c>
      <c r="AE346" s="288" t="s">
        <v>1805</v>
      </c>
      <c r="AF346" s="288" t="s">
        <v>2479</v>
      </c>
      <c r="AG346" s="288" t="s">
        <v>2479</v>
      </c>
      <c r="AH346" s="288" t="s">
        <v>2479</v>
      </c>
      <c r="AI346" s="288" t="s">
        <v>2479</v>
      </c>
      <c r="AJ346" s="303" t="s">
        <v>2191</v>
      </c>
      <c r="AK346" s="288" t="s">
        <v>2479</v>
      </c>
      <c r="AL346" s="303" t="s">
        <v>2190</v>
      </c>
      <c r="AM346" s="288" t="s">
        <v>1975</v>
      </c>
      <c r="AN346" s="207" t="b">
        <v>0</v>
      </c>
      <c r="AY346" s="288" t="s">
        <v>2479</v>
      </c>
      <c r="AZ346" s="288" t="s">
        <v>2479</v>
      </c>
      <c r="BA346" s="288" t="s">
        <v>373</v>
      </c>
      <c r="BB346" s="288" t="s">
        <v>1610</v>
      </c>
      <c r="BC346" s="288" t="s">
        <v>2192</v>
      </c>
    </row>
    <row r="347" spans="1:55" ht="45" customHeight="1">
      <c r="A347" s="271">
        <f t="shared" si="5"/>
        <v>346</v>
      </c>
      <c r="B347" s="284" t="s">
        <v>2489</v>
      </c>
      <c r="C347" s="270" t="s">
        <v>3578</v>
      </c>
      <c r="D347" s="270" t="s">
        <v>8</v>
      </c>
      <c r="E347" s="270" t="s">
        <v>9</v>
      </c>
      <c r="F347" s="270" t="s">
        <v>1771</v>
      </c>
      <c r="G347" s="302">
        <v>44999</v>
      </c>
      <c r="L347" s="270" t="s">
        <v>2479</v>
      </c>
      <c r="M347" s="270" t="s">
        <v>2479</v>
      </c>
      <c r="N347" s="272" t="s">
        <v>122</v>
      </c>
      <c r="O347" s="270" t="s">
        <v>2479</v>
      </c>
      <c r="P347" s="270" t="s">
        <v>1554</v>
      </c>
      <c r="Q347" s="270" t="s">
        <v>2198</v>
      </c>
      <c r="R347" s="306">
        <v>44930.440150462964</v>
      </c>
      <c r="S347" s="285">
        <v>2023</v>
      </c>
      <c r="T347" s="270" t="s">
        <v>2001</v>
      </c>
      <c r="U347" s="270" t="s">
        <v>678</v>
      </c>
      <c r="V347" s="270" t="s">
        <v>679</v>
      </c>
      <c r="W347" s="270" t="s">
        <v>145</v>
      </c>
      <c r="X347" s="270" t="s">
        <v>309</v>
      </c>
      <c r="Y347" s="273">
        <v>45078</v>
      </c>
      <c r="Z347" s="288" t="s">
        <v>1875</v>
      </c>
      <c r="AA347" s="288" t="s">
        <v>2479</v>
      </c>
      <c r="AB347" s="288" t="s">
        <v>139</v>
      </c>
      <c r="AC347" s="288" t="s">
        <v>1875</v>
      </c>
      <c r="AD347" s="288" t="s">
        <v>1805</v>
      </c>
      <c r="AE347" s="288" t="s">
        <v>1805</v>
      </c>
      <c r="AF347" s="288" t="s">
        <v>2479</v>
      </c>
      <c r="AG347" s="288" t="s">
        <v>2479</v>
      </c>
      <c r="AH347" s="288" t="s">
        <v>2479</v>
      </c>
      <c r="AI347" s="288" t="s">
        <v>2479</v>
      </c>
      <c r="AJ347" s="303" t="s">
        <v>2191</v>
      </c>
      <c r="AK347" s="288" t="s">
        <v>2479</v>
      </c>
      <c r="AL347" s="303" t="s">
        <v>2190</v>
      </c>
      <c r="AM347" s="288" t="s">
        <v>1975</v>
      </c>
      <c r="AN347" s="207" t="b">
        <v>0</v>
      </c>
      <c r="AY347" s="288" t="s">
        <v>2479</v>
      </c>
      <c r="AZ347" s="288" t="s">
        <v>2479</v>
      </c>
      <c r="BA347" s="288" t="s">
        <v>373</v>
      </c>
      <c r="BB347" s="288" t="s">
        <v>1610</v>
      </c>
      <c r="BC347" s="288" t="s">
        <v>2192</v>
      </c>
    </row>
    <row r="348" spans="1:55" ht="45" customHeight="1">
      <c r="A348" s="271">
        <f t="shared" si="5"/>
        <v>347</v>
      </c>
      <c r="B348" s="284" t="s">
        <v>2491</v>
      </c>
      <c r="C348" s="270" t="s">
        <v>3579</v>
      </c>
      <c r="D348" s="270" t="s">
        <v>8</v>
      </c>
      <c r="E348" s="270" t="s">
        <v>9</v>
      </c>
      <c r="F348" s="270" t="s">
        <v>1771</v>
      </c>
      <c r="G348" s="302">
        <v>45003</v>
      </c>
      <c r="L348" s="270" t="s">
        <v>2479</v>
      </c>
      <c r="M348" s="270" t="s">
        <v>2479</v>
      </c>
      <c r="N348" s="272" t="s">
        <v>122</v>
      </c>
      <c r="O348" s="270" t="s">
        <v>2479</v>
      </c>
      <c r="P348" s="270" t="s">
        <v>1554</v>
      </c>
      <c r="Q348" s="270" t="s">
        <v>2198</v>
      </c>
      <c r="R348" s="306">
        <v>44930.440752314818</v>
      </c>
      <c r="S348" s="285">
        <v>2023</v>
      </c>
      <c r="T348" s="270" t="s">
        <v>2001</v>
      </c>
      <c r="U348" s="270" t="s">
        <v>678</v>
      </c>
      <c r="V348" s="270" t="s">
        <v>679</v>
      </c>
      <c r="W348" s="270" t="s">
        <v>145</v>
      </c>
      <c r="X348" s="270" t="s">
        <v>309</v>
      </c>
      <c r="Y348" s="273">
        <v>45078</v>
      </c>
      <c r="Z348" s="288" t="s">
        <v>1875</v>
      </c>
      <c r="AA348" s="288" t="s">
        <v>2479</v>
      </c>
      <c r="AB348" s="288" t="s">
        <v>139</v>
      </c>
      <c r="AC348" s="288" t="s">
        <v>1875</v>
      </c>
      <c r="AD348" s="288" t="s">
        <v>1805</v>
      </c>
      <c r="AE348" s="288" t="s">
        <v>1805</v>
      </c>
      <c r="AF348" s="288" t="s">
        <v>2479</v>
      </c>
      <c r="AG348" s="288" t="s">
        <v>2479</v>
      </c>
      <c r="AH348" s="288" t="s">
        <v>2479</v>
      </c>
      <c r="AI348" s="288" t="s">
        <v>2479</v>
      </c>
      <c r="AJ348" s="303" t="s">
        <v>2191</v>
      </c>
      <c r="AK348" s="288" t="s">
        <v>2479</v>
      </c>
      <c r="AL348" s="303" t="s">
        <v>2190</v>
      </c>
      <c r="AM348" s="288" t="s">
        <v>1975</v>
      </c>
      <c r="AN348" s="207" t="b">
        <v>0</v>
      </c>
      <c r="AY348" s="288" t="s">
        <v>2479</v>
      </c>
      <c r="AZ348" s="288" t="s">
        <v>2479</v>
      </c>
      <c r="BA348" s="288" t="s">
        <v>373</v>
      </c>
      <c r="BB348" s="288" t="s">
        <v>1610</v>
      </c>
      <c r="BC348" s="288" t="s">
        <v>2192</v>
      </c>
    </row>
    <row r="349" spans="1:55" ht="45" customHeight="1">
      <c r="A349" s="271">
        <f t="shared" si="5"/>
        <v>348</v>
      </c>
      <c r="B349" s="284" t="s">
        <v>2549</v>
      </c>
      <c r="C349" s="270" t="s">
        <v>3581</v>
      </c>
      <c r="D349" s="270" t="s">
        <v>8</v>
      </c>
      <c r="E349" s="270" t="s">
        <v>9</v>
      </c>
      <c r="F349" s="270" t="s">
        <v>1771</v>
      </c>
      <c r="G349" s="302">
        <v>45005</v>
      </c>
      <c r="L349" s="270" t="s">
        <v>2479</v>
      </c>
      <c r="M349" s="270" t="s">
        <v>2479</v>
      </c>
      <c r="N349" s="272" t="s">
        <v>122</v>
      </c>
      <c r="O349" s="270" t="s">
        <v>2479</v>
      </c>
      <c r="P349" s="270" t="s">
        <v>1554</v>
      </c>
      <c r="Q349" s="270" t="s">
        <v>2198</v>
      </c>
      <c r="R349" s="306">
        <v>44930.44190972222</v>
      </c>
      <c r="S349" s="285">
        <v>2023</v>
      </c>
      <c r="T349" s="270" t="s">
        <v>2001</v>
      </c>
      <c r="U349" s="270" t="s">
        <v>678</v>
      </c>
      <c r="V349" s="270" t="s">
        <v>679</v>
      </c>
      <c r="W349" s="270" t="s">
        <v>145</v>
      </c>
      <c r="X349" s="270" t="s">
        <v>309</v>
      </c>
      <c r="Y349" s="273">
        <v>45078</v>
      </c>
      <c r="Z349" s="288" t="s">
        <v>1875</v>
      </c>
      <c r="AA349" s="288" t="s">
        <v>2479</v>
      </c>
      <c r="AB349" s="288" t="s">
        <v>139</v>
      </c>
      <c r="AC349" s="288" t="s">
        <v>1875</v>
      </c>
      <c r="AD349" s="288" t="s">
        <v>1805</v>
      </c>
      <c r="AE349" s="288" t="s">
        <v>1805</v>
      </c>
      <c r="AF349" s="288" t="s">
        <v>2479</v>
      </c>
      <c r="AG349" s="288" t="s">
        <v>2479</v>
      </c>
      <c r="AH349" s="288" t="s">
        <v>2479</v>
      </c>
      <c r="AI349" s="288" t="s">
        <v>2479</v>
      </c>
      <c r="AJ349" s="303" t="s">
        <v>2191</v>
      </c>
      <c r="AK349" s="288" t="s">
        <v>2479</v>
      </c>
      <c r="AL349" s="303" t="s">
        <v>2190</v>
      </c>
      <c r="AM349" s="288" t="s">
        <v>1975</v>
      </c>
      <c r="AN349" s="207" t="b">
        <v>0</v>
      </c>
      <c r="AY349" s="288" t="s">
        <v>2479</v>
      </c>
      <c r="AZ349" s="288" t="s">
        <v>2479</v>
      </c>
      <c r="BA349" s="288" t="s">
        <v>373</v>
      </c>
      <c r="BB349" s="288" t="s">
        <v>1610</v>
      </c>
      <c r="BC349" s="288" t="s">
        <v>2192</v>
      </c>
    </row>
    <row r="350" spans="1:55" ht="45" customHeight="1">
      <c r="A350" s="271">
        <f t="shared" si="5"/>
        <v>349</v>
      </c>
      <c r="B350" s="284" t="s">
        <v>2547</v>
      </c>
      <c r="C350" s="270" t="s">
        <v>3580</v>
      </c>
      <c r="D350" s="270" t="s">
        <v>8</v>
      </c>
      <c r="E350" s="270" t="s">
        <v>9</v>
      </c>
      <c r="F350" s="270" t="s">
        <v>1771</v>
      </c>
      <c r="G350" s="302">
        <v>45007</v>
      </c>
      <c r="L350" s="270" t="s">
        <v>2479</v>
      </c>
      <c r="M350" s="270" t="s">
        <v>2479</v>
      </c>
      <c r="N350" s="272" t="s">
        <v>122</v>
      </c>
      <c r="O350" s="270" t="s">
        <v>2479</v>
      </c>
      <c r="P350" s="270" t="s">
        <v>1554</v>
      </c>
      <c r="Q350" s="270" t="s">
        <v>2198</v>
      </c>
      <c r="R350" s="306">
        <v>44930.441307870373</v>
      </c>
      <c r="S350" s="285">
        <v>2023</v>
      </c>
      <c r="T350" s="270" t="s">
        <v>2001</v>
      </c>
      <c r="U350" s="270" t="s">
        <v>678</v>
      </c>
      <c r="V350" s="270" t="s">
        <v>679</v>
      </c>
      <c r="W350" s="270" t="s">
        <v>145</v>
      </c>
      <c r="X350" s="270" t="s">
        <v>309</v>
      </c>
      <c r="Y350" s="273">
        <v>45078</v>
      </c>
      <c r="Z350" s="288" t="s">
        <v>1875</v>
      </c>
      <c r="AA350" s="288" t="s">
        <v>2479</v>
      </c>
      <c r="AB350" s="288" t="s">
        <v>139</v>
      </c>
      <c r="AC350" s="288" t="s">
        <v>1875</v>
      </c>
      <c r="AD350" s="288" t="s">
        <v>1805</v>
      </c>
      <c r="AE350" s="288" t="s">
        <v>1805</v>
      </c>
      <c r="AF350" s="288" t="s">
        <v>2479</v>
      </c>
      <c r="AG350" s="288" t="s">
        <v>2479</v>
      </c>
      <c r="AH350" s="288" t="s">
        <v>2479</v>
      </c>
      <c r="AI350" s="288" t="s">
        <v>2479</v>
      </c>
      <c r="AJ350" s="303" t="s">
        <v>2191</v>
      </c>
      <c r="AK350" s="288" t="s">
        <v>2479</v>
      </c>
      <c r="AL350" s="303" t="s">
        <v>2190</v>
      </c>
      <c r="AM350" s="288" t="s">
        <v>1975</v>
      </c>
      <c r="AN350" s="207" t="b">
        <v>0</v>
      </c>
      <c r="AY350" s="288" t="s">
        <v>2479</v>
      </c>
      <c r="AZ350" s="288" t="s">
        <v>2479</v>
      </c>
      <c r="BA350" s="288" t="s">
        <v>373</v>
      </c>
      <c r="BB350" s="288" t="s">
        <v>1610</v>
      </c>
      <c r="BC350" s="288" t="s">
        <v>2192</v>
      </c>
    </row>
    <row r="351" spans="1:55" ht="45" customHeight="1">
      <c r="A351" s="271">
        <f t="shared" si="5"/>
        <v>350</v>
      </c>
      <c r="B351" s="284" t="s">
        <v>2493</v>
      </c>
      <c r="C351" s="270" t="s">
        <v>3582</v>
      </c>
      <c r="D351" s="270" t="s">
        <v>8</v>
      </c>
      <c r="E351" s="270" t="s">
        <v>9</v>
      </c>
      <c r="F351" s="270" t="s">
        <v>1771</v>
      </c>
      <c r="G351" s="302">
        <v>45012</v>
      </c>
      <c r="L351" s="270" t="s">
        <v>2479</v>
      </c>
      <c r="M351" s="270" t="s">
        <v>2479</v>
      </c>
      <c r="N351" s="272" t="s">
        <v>122</v>
      </c>
      <c r="O351" s="270" t="s">
        <v>2479</v>
      </c>
      <c r="P351" s="270" t="s">
        <v>1554</v>
      </c>
      <c r="Q351" s="270" t="s">
        <v>2198</v>
      </c>
      <c r="R351" s="306">
        <v>44930.442557870374</v>
      </c>
      <c r="S351" s="285">
        <v>2023</v>
      </c>
      <c r="T351" s="270" t="s">
        <v>2001</v>
      </c>
      <c r="U351" s="270" t="s">
        <v>678</v>
      </c>
      <c r="V351" s="270" t="s">
        <v>679</v>
      </c>
      <c r="W351" s="270" t="s">
        <v>145</v>
      </c>
      <c r="X351" s="270" t="s">
        <v>309</v>
      </c>
      <c r="Y351" s="273">
        <v>45078</v>
      </c>
      <c r="Z351" s="288" t="s">
        <v>1875</v>
      </c>
      <c r="AA351" s="288" t="s">
        <v>2479</v>
      </c>
      <c r="AB351" s="288" t="s">
        <v>139</v>
      </c>
      <c r="AC351" s="288" t="s">
        <v>1875</v>
      </c>
      <c r="AD351" s="288" t="s">
        <v>1805</v>
      </c>
      <c r="AE351" s="288" t="s">
        <v>1805</v>
      </c>
      <c r="AF351" s="288" t="s">
        <v>2479</v>
      </c>
      <c r="AG351" s="288" t="s">
        <v>2479</v>
      </c>
      <c r="AH351" s="288" t="s">
        <v>2479</v>
      </c>
      <c r="AI351" s="288" t="s">
        <v>2479</v>
      </c>
      <c r="AJ351" s="303" t="s">
        <v>2191</v>
      </c>
      <c r="AK351" s="288" t="s">
        <v>2479</v>
      </c>
      <c r="AL351" s="303" t="s">
        <v>2190</v>
      </c>
      <c r="AM351" s="288" t="s">
        <v>1975</v>
      </c>
      <c r="AN351" s="207" t="b">
        <v>0</v>
      </c>
      <c r="AY351" s="288" t="s">
        <v>2479</v>
      </c>
      <c r="AZ351" s="288" t="s">
        <v>2479</v>
      </c>
      <c r="BA351" s="288" t="s">
        <v>373</v>
      </c>
      <c r="BB351" s="288" t="s">
        <v>1610</v>
      </c>
      <c r="BC351" s="288" t="s">
        <v>2192</v>
      </c>
    </row>
    <row r="352" spans="1:55" ht="45" customHeight="1">
      <c r="A352" s="271">
        <f t="shared" si="5"/>
        <v>351</v>
      </c>
      <c r="B352" s="284" t="s">
        <v>2495</v>
      </c>
      <c r="C352" s="270" t="s">
        <v>3583</v>
      </c>
      <c r="D352" s="270" t="s">
        <v>8</v>
      </c>
      <c r="E352" s="270" t="s">
        <v>9</v>
      </c>
      <c r="F352" s="270" t="s">
        <v>1771</v>
      </c>
      <c r="G352" s="302">
        <v>45012</v>
      </c>
      <c r="L352" s="270" t="s">
        <v>2479</v>
      </c>
      <c r="M352" s="270" t="s">
        <v>2479</v>
      </c>
      <c r="N352" s="272" t="s">
        <v>122</v>
      </c>
      <c r="O352" s="270" t="s">
        <v>2479</v>
      </c>
      <c r="P352" s="270" t="s">
        <v>1554</v>
      </c>
      <c r="Q352" s="270" t="s">
        <v>2198</v>
      </c>
      <c r="R352" s="306">
        <v>44930.443148148152</v>
      </c>
      <c r="S352" s="285">
        <v>2023</v>
      </c>
      <c r="T352" s="270" t="s">
        <v>2001</v>
      </c>
      <c r="U352" s="270" t="s">
        <v>678</v>
      </c>
      <c r="V352" s="270" t="s">
        <v>679</v>
      </c>
      <c r="W352" s="270" t="s">
        <v>145</v>
      </c>
      <c r="X352" s="270" t="s">
        <v>309</v>
      </c>
      <c r="Y352" s="273">
        <v>45078</v>
      </c>
      <c r="Z352" s="288" t="s">
        <v>1875</v>
      </c>
      <c r="AA352" s="288" t="s">
        <v>2479</v>
      </c>
      <c r="AB352" s="288" t="s">
        <v>139</v>
      </c>
      <c r="AC352" s="288" t="s">
        <v>1875</v>
      </c>
      <c r="AD352" s="288" t="s">
        <v>1805</v>
      </c>
      <c r="AE352" s="288" t="s">
        <v>1805</v>
      </c>
      <c r="AF352" s="288" t="s">
        <v>2479</v>
      </c>
      <c r="AG352" s="288" t="s">
        <v>2479</v>
      </c>
      <c r="AH352" s="288" t="s">
        <v>2479</v>
      </c>
      <c r="AI352" s="288" t="s">
        <v>2479</v>
      </c>
      <c r="AJ352" s="303" t="s">
        <v>2191</v>
      </c>
      <c r="AK352" s="288" t="s">
        <v>2479</v>
      </c>
      <c r="AL352" s="303" t="s">
        <v>2190</v>
      </c>
      <c r="AM352" s="288" t="s">
        <v>1975</v>
      </c>
      <c r="AN352" s="207" t="b">
        <v>0</v>
      </c>
      <c r="AY352" s="288" t="s">
        <v>2479</v>
      </c>
      <c r="AZ352" s="288" t="s">
        <v>2479</v>
      </c>
      <c r="BA352" s="288" t="s">
        <v>373</v>
      </c>
      <c r="BB352" s="288" t="s">
        <v>1610</v>
      </c>
      <c r="BC352" s="288" t="s">
        <v>2192</v>
      </c>
    </row>
    <row r="353" spans="1:55" ht="45" customHeight="1">
      <c r="A353" s="271">
        <f>ROW()-1</f>
        <v>352</v>
      </c>
      <c r="B353" s="284" t="s">
        <v>2456</v>
      </c>
      <c r="C353" s="270" t="s">
        <v>3584</v>
      </c>
      <c r="D353" s="270" t="s">
        <v>8</v>
      </c>
      <c r="E353" s="270" t="s">
        <v>9</v>
      </c>
      <c r="F353" s="270" t="s">
        <v>1771</v>
      </c>
      <c r="G353" s="302">
        <v>45013</v>
      </c>
      <c r="L353" s="270" t="s">
        <v>2479</v>
      </c>
      <c r="M353" s="270" t="s">
        <v>2479</v>
      </c>
      <c r="N353" s="272" t="s">
        <v>122</v>
      </c>
      <c r="O353" s="270" t="s">
        <v>2479</v>
      </c>
      <c r="P353" s="270" t="s">
        <v>1554</v>
      </c>
      <c r="Q353" s="270" t="s">
        <v>2198</v>
      </c>
      <c r="R353" s="306">
        <v>44930.443715277775</v>
      </c>
      <c r="S353" s="285">
        <v>2023</v>
      </c>
      <c r="T353" s="270" t="s">
        <v>2001</v>
      </c>
      <c r="U353" s="270" t="s">
        <v>678</v>
      </c>
      <c r="V353" s="270" t="s">
        <v>679</v>
      </c>
      <c r="W353" s="270" t="s">
        <v>145</v>
      </c>
      <c r="X353" s="270" t="s">
        <v>309</v>
      </c>
      <c r="Y353" s="273">
        <v>45078</v>
      </c>
      <c r="Z353" s="288" t="s">
        <v>1875</v>
      </c>
      <c r="AA353" s="288" t="s">
        <v>2479</v>
      </c>
      <c r="AB353" s="288" t="s">
        <v>139</v>
      </c>
      <c r="AC353" s="288" t="s">
        <v>1875</v>
      </c>
      <c r="AD353" s="288" t="s">
        <v>1805</v>
      </c>
      <c r="AE353" s="288" t="s">
        <v>1805</v>
      </c>
      <c r="AF353" s="288" t="s">
        <v>2479</v>
      </c>
      <c r="AG353" s="288" t="s">
        <v>2479</v>
      </c>
      <c r="AH353" s="288" t="s">
        <v>2479</v>
      </c>
      <c r="AI353" s="288" t="s">
        <v>2479</v>
      </c>
      <c r="AJ353" s="303" t="s">
        <v>2191</v>
      </c>
      <c r="AK353" s="288" t="s">
        <v>2479</v>
      </c>
      <c r="AL353" s="303" t="s">
        <v>2190</v>
      </c>
      <c r="AM353" s="288" t="s">
        <v>1975</v>
      </c>
      <c r="AN353" s="207" t="b">
        <v>0</v>
      </c>
      <c r="AY353" s="288" t="s">
        <v>2479</v>
      </c>
      <c r="AZ353" s="288" t="s">
        <v>2479</v>
      </c>
      <c r="BA353" s="288" t="s">
        <v>373</v>
      </c>
      <c r="BB353" s="288" t="s">
        <v>1610</v>
      </c>
      <c r="BC353" s="288" t="s">
        <v>2192</v>
      </c>
    </row>
    <row r="354" spans="1:55" ht="45" customHeight="1">
      <c r="A354" s="271">
        <f>ROW()-1</f>
        <v>353</v>
      </c>
      <c r="B354" s="284" t="s">
        <v>2499</v>
      </c>
      <c r="C354" s="270" t="s">
        <v>3667</v>
      </c>
      <c r="D354" s="270" t="s">
        <v>8</v>
      </c>
      <c r="E354" s="270" t="s">
        <v>9</v>
      </c>
      <c r="F354" s="270" t="s">
        <v>1771</v>
      </c>
      <c r="G354" s="302">
        <v>45017</v>
      </c>
      <c r="K354" s="306">
        <v>45091</v>
      </c>
      <c r="L354" s="270" t="s">
        <v>2193</v>
      </c>
      <c r="M354" s="270" t="s">
        <v>113</v>
      </c>
      <c r="N354" s="272" t="s">
        <v>2479</v>
      </c>
      <c r="O354" s="270" t="s">
        <v>2479</v>
      </c>
      <c r="P354" s="270" t="s">
        <v>1554</v>
      </c>
      <c r="Q354" s="270" t="s">
        <v>2198</v>
      </c>
      <c r="R354" s="306">
        <v>44992.612905092596</v>
      </c>
      <c r="S354" s="285">
        <v>2023</v>
      </c>
      <c r="T354" s="270" t="s">
        <v>2194</v>
      </c>
      <c r="U354" s="270" t="s">
        <v>678</v>
      </c>
      <c r="V354" s="270" t="s">
        <v>679</v>
      </c>
      <c r="W354" s="270" t="s">
        <v>145</v>
      </c>
      <c r="X354" s="270" t="s">
        <v>309</v>
      </c>
      <c r="Y354" s="273">
        <v>45078</v>
      </c>
      <c r="Z354" s="288" t="s">
        <v>1875</v>
      </c>
      <c r="AA354" s="288" t="s">
        <v>2479</v>
      </c>
      <c r="AB354" s="288" t="s">
        <v>139</v>
      </c>
      <c r="AC354" s="288" t="s">
        <v>1875</v>
      </c>
      <c r="AD354" s="288" t="s">
        <v>1805</v>
      </c>
      <c r="AE354" s="288" t="s">
        <v>1805</v>
      </c>
      <c r="AF354" s="288" t="s">
        <v>2479</v>
      </c>
      <c r="AG354" s="288" t="s">
        <v>2479</v>
      </c>
      <c r="AH354" s="288" t="s">
        <v>2479</v>
      </c>
      <c r="AI354" s="288" t="s">
        <v>2479</v>
      </c>
      <c r="AJ354" s="303" t="s">
        <v>2191</v>
      </c>
      <c r="AK354" s="288" t="s">
        <v>2479</v>
      </c>
      <c r="AL354" s="303" t="s">
        <v>2190</v>
      </c>
      <c r="AM354" s="288" t="s">
        <v>1975</v>
      </c>
      <c r="AN354" s="207" t="b">
        <v>0</v>
      </c>
      <c r="AY354" s="288" t="s">
        <v>2479</v>
      </c>
      <c r="AZ354" s="288" t="s">
        <v>2479</v>
      </c>
      <c r="BA354" s="288" t="s">
        <v>373</v>
      </c>
      <c r="BB354" s="288" t="s">
        <v>139</v>
      </c>
      <c r="BC354" s="288" t="s">
        <v>2192</v>
      </c>
    </row>
    <row r="355" spans="1:55" ht="45" customHeight="1">
      <c r="A355" s="271">
        <f t="shared" si="5"/>
        <v>354</v>
      </c>
      <c r="B355" s="284" t="s">
        <v>2497</v>
      </c>
      <c r="C355" s="270" t="s">
        <v>3668</v>
      </c>
      <c r="D355" s="270" t="s">
        <v>8</v>
      </c>
      <c r="E355" s="270" t="s">
        <v>9</v>
      </c>
      <c r="F355" s="270" t="s">
        <v>1771</v>
      </c>
      <c r="G355" s="302">
        <v>45020</v>
      </c>
      <c r="L355" s="270" t="s">
        <v>2479</v>
      </c>
      <c r="M355" s="270" t="s">
        <v>2479</v>
      </c>
      <c r="N355" s="272" t="s">
        <v>122</v>
      </c>
      <c r="O355" s="270" t="s">
        <v>2479</v>
      </c>
      <c r="P355" s="270" t="s">
        <v>1554</v>
      </c>
      <c r="Q355" s="270" t="s">
        <v>2198</v>
      </c>
      <c r="R355" s="306" t="s">
        <v>3669</v>
      </c>
      <c r="S355" s="285">
        <v>2023</v>
      </c>
      <c r="T355" s="270" t="s">
        <v>2001</v>
      </c>
      <c r="U355" s="270" t="s">
        <v>678</v>
      </c>
      <c r="V355" s="270" t="s">
        <v>679</v>
      </c>
      <c r="W355" s="270" t="s">
        <v>145</v>
      </c>
      <c r="X355" s="270" t="s">
        <v>309</v>
      </c>
      <c r="Y355" s="273">
        <v>45078</v>
      </c>
      <c r="Z355" s="288" t="s">
        <v>1875</v>
      </c>
      <c r="AA355" s="288" t="s">
        <v>2479</v>
      </c>
      <c r="AB355" s="288" t="s">
        <v>139</v>
      </c>
      <c r="AC355" s="288" t="s">
        <v>1875</v>
      </c>
      <c r="AD355" s="288" t="s">
        <v>1805</v>
      </c>
      <c r="AE355" s="288" t="s">
        <v>1805</v>
      </c>
      <c r="AF355" s="288" t="s">
        <v>2479</v>
      </c>
      <c r="AG355" s="288" t="s">
        <v>2479</v>
      </c>
      <c r="AH355" s="288" t="s">
        <v>2479</v>
      </c>
      <c r="AI355" s="288" t="s">
        <v>2479</v>
      </c>
      <c r="AJ355" s="303" t="s">
        <v>2191</v>
      </c>
      <c r="AK355" s="288" t="s">
        <v>2479</v>
      </c>
      <c r="AL355" s="303" t="s">
        <v>2190</v>
      </c>
      <c r="AM355" s="288" t="s">
        <v>1975</v>
      </c>
      <c r="AN355" s="207" t="b">
        <v>0</v>
      </c>
      <c r="AY355" s="288" t="s">
        <v>2479</v>
      </c>
      <c r="AZ355" s="288" t="s">
        <v>2479</v>
      </c>
      <c r="BA355" s="288" t="s">
        <v>373</v>
      </c>
      <c r="BB355" s="288" t="s">
        <v>1610</v>
      </c>
      <c r="BC355" s="288" t="s">
        <v>2192</v>
      </c>
    </row>
    <row r="356" spans="1:55" ht="45" customHeight="1">
      <c r="A356" s="271">
        <f t="shared" si="5"/>
        <v>355</v>
      </c>
      <c r="B356" s="284" t="s">
        <v>3670</v>
      </c>
      <c r="C356" s="270" t="s">
        <v>3671</v>
      </c>
      <c r="D356" s="270" t="s">
        <v>8</v>
      </c>
      <c r="E356" s="270" t="s">
        <v>9</v>
      </c>
      <c r="F356" s="270" t="s">
        <v>1771</v>
      </c>
      <c r="G356" s="302">
        <v>45022</v>
      </c>
      <c r="L356" s="270" t="s">
        <v>2479</v>
      </c>
      <c r="M356" s="270" t="s">
        <v>2479</v>
      </c>
      <c r="N356" s="272" t="s">
        <v>122</v>
      </c>
      <c r="O356" s="270" t="s">
        <v>2479</v>
      </c>
      <c r="P356" s="270" t="s">
        <v>1554</v>
      </c>
      <c r="Q356" s="270" t="s">
        <v>2198</v>
      </c>
      <c r="R356" s="306" t="s">
        <v>3672</v>
      </c>
      <c r="S356" s="285">
        <v>2023</v>
      </c>
      <c r="T356" s="270" t="s">
        <v>2001</v>
      </c>
      <c r="U356" s="270" t="s">
        <v>678</v>
      </c>
      <c r="V356" s="270" t="s">
        <v>679</v>
      </c>
      <c r="W356" s="270" t="s">
        <v>145</v>
      </c>
      <c r="X356" s="270" t="s">
        <v>309</v>
      </c>
      <c r="Y356" s="273">
        <v>45078</v>
      </c>
      <c r="Z356" s="288" t="s">
        <v>1875</v>
      </c>
      <c r="AA356" s="288" t="s">
        <v>2479</v>
      </c>
      <c r="AB356" s="288" t="s">
        <v>139</v>
      </c>
      <c r="AC356" s="288" t="s">
        <v>1875</v>
      </c>
      <c r="AD356" s="288" t="s">
        <v>1805</v>
      </c>
      <c r="AE356" s="288" t="s">
        <v>1805</v>
      </c>
      <c r="AF356" s="288" t="s">
        <v>2479</v>
      </c>
      <c r="AG356" s="288" t="s">
        <v>2479</v>
      </c>
      <c r="AH356" s="288" t="s">
        <v>2479</v>
      </c>
      <c r="AI356" s="288" t="s">
        <v>2479</v>
      </c>
      <c r="AJ356" s="303" t="s">
        <v>2191</v>
      </c>
      <c r="AK356" s="288" t="s">
        <v>2479</v>
      </c>
      <c r="AL356" s="303" t="s">
        <v>2190</v>
      </c>
      <c r="AM356" s="288" t="s">
        <v>1975</v>
      </c>
      <c r="AN356" s="207" t="b">
        <v>0</v>
      </c>
      <c r="AY356" s="288" t="s">
        <v>2479</v>
      </c>
      <c r="AZ356" s="288" t="s">
        <v>2479</v>
      </c>
      <c r="BA356" s="288" t="s">
        <v>373</v>
      </c>
      <c r="BB356" s="288" t="s">
        <v>1610</v>
      </c>
      <c r="BC356" s="288" t="s">
        <v>2192</v>
      </c>
    </row>
    <row r="357" spans="1:55" ht="45" customHeight="1">
      <c r="A357" s="271">
        <f t="shared" si="5"/>
        <v>356</v>
      </c>
      <c r="B357" s="284" t="s">
        <v>3664</v>
      </c>
      <c r="C357" s="270" t="s">
        <v>3665</v>
      </c>
      <c r="D357" s="270" t="s">
        <v>8</v>
      </c>
      <c r="E357" s="270" t="s">
        <v>9</v>
      </c>
      <c r="F357" s="270" t="s">
        <v>1771</v>
      </c>
      <c r="G357" s="302">
        <v>45023</v>
      </c>
      <c r="L357" s="270" t="s">
        <v>2479</v>
      </c>
      <c r="M357" s="270" t="s">
        <v>2479</v>
      </c>
      <c r="N357" s="272" t="s">
        <v>122</v>
      </c>
      <c r="O357" s="270" t="s">
        <v>2479</v>
      </c>
      <c r="P357" s="270" t="s">
        <v>1554</v>
      </c>
      <c r="Q357" s="270" t="s">
        <v>2198</v>
      </c>
      <c r="R357" s="306" t="s">
        <v>3666</v>
      </c>
      <c r="S357" s="285">
        <v>2023</v>
      </c>
      <c r="T357" s="270" t="s">
        <v>2001</v>
      </c>
      <c r="U357" s="270" t="s">
        <v>678</v>
      </c>
      <c r="V357" s="270" t="s">
        <v>679</v>
      </c>
      <c r="W357" s="270" t="s">
        <v>145</v>
      </c>
      <c r="X357" s="270" t="s">
        <v>309</v>
      </c>
      <c r="Y357" s="273">
        <v>45078</v>
      </c>
      <c r="Z357" s="288" t="s">
        <v>1875</v>
      </c>
      <c r="AA357" s="288" t="s">
        <v>2479</v>
      </c>
      <c r="AB357" s="288" t="s">
        <v>139</v>
      </c>
      <c r="AC357" s="288" t="s">
        <v>1875</v>
      </c>
      <c r="AD357" s="288" t="s">
        <v>1805</v>
      </c>
      <c r="AE357" s="288" t="s">
        <v>1805</v>
      </c>
      <c r="AF357" s="288" t="s">
        <v>2479</v>
      </c>
      <c r="AG357" s="288" t="s">
        <v>2479</v>
      </c>
      <c r="AH357" s="288" t="s">
        <v>2479</v>
      </c>
      <c r="AI357" s="288" t="s">
        <v>2479</v>
      </c>
      <c r="AJ357" s="303" t="s">
        <v>2191</v>
      </c>
      <c r="AK357" s="288" t="s">
        <v>2479</v>
      </c>
      <c r="AL357" s="303" t="s">
        <v>2190</v>
      </c>
      <c r="AM357" s="288" t="s">
        <v>1975</v>
      </c>
      <c r="AN357" s="207" t="b">
        <v>0</v>
      </c>
      <c r="AY357" s="288" t="s">
        <v>2479</v>
      </c>
      <c r="AZ357" s="288" t="s">
        <v>2479</v>
      </c>
      <c r="BA357" s="288" t="s">
        <v>373</v>
      </c>
      <c r="BB357" s="288" t="s">
        <v>1610</v>
      </c>
      <c r="BC357" s="288" t="s">
        <v>2192</v>
      </c>
    </row>
    <row r="358" spans="1:55" ht="45" customHeight="1">
      <c r="A358" s="271">
        <f t="shared" si="5"/>
        <v>357</v>
      </c>
      <c r="B358" s="284" t="s">
        <v>2461</v>
      </c>
      <c r="C358" s="270" t="s">
        <v>3682</v>
      </c>
      <c r="D358" s="270" t="s">
        <v>8</v>
      </c>
      <c r="E358" s="270" t="s">
        <v>9</v>
      </c>
      <c r="F358" s="270" t="s">
        <v>1771</v>
      </c>
      <c r="G358" s="302">
        <v>45026</v>
      </c>
      <c r="L358" s="270" t="s">
        <v>2479</v>
      </c>
      <c r="M358" s="270" t="s">
        <v>2479</v>
      </c>
      <c r="N358" s="272" t="s">
        <v>122</v>
      </c>
      <c r="O358" s="270" t="s">
        <v>2479</v>
      </c>
      <c r="P358" s="270" t="s">
        <v>1554</v>
      </c>
      <c r="Q358" s="270" t="s">
        <v>2198</v>
      </c>
      <c r="R358" s="306" t="s">
        <v>3683</v>
      </c>
      <c r="S358" s="285">
        <v>2023</v>
      </c>
      <c r="T358" s="270" t="s">
        <v>2001</v>
      </c>
      <c r="U358" s="270" t="s">
        <v>678</v>
      </c>
      <c r="V358" s="270" t="s">
        <v>679</v>
      </c>
      <c r="W358" s="270" t="s">
        <v>145</v>
      </c>
      <c r="X358" s="270" t="s">
        <v>309</v>
      </c>
      <c r="Y358" s="273">
        <v>45078</v>
      </c>
      <c r="Z358" s="288" t="s">
        <v>1875</v>
      </c>
      <c r="AA358" s="288" t="s">
        <v>2479</v>
      </c>
      <c r="AB358" s="288" t="s">
        <v>139</v>
      </c>
      <c r="AC358" s="288" t="s">
        <v>1875</v>
      </c>
      <c r="AD358" s="288" t="s">
        <v>1805</v>
      </c>
      <c r="AE358" s="288" t="s">
        <v>1805</v>
      </c>
      <c r="AF358" s="288" t="s">
        <v>2479</v>
      </c>
      <c r="AG358" s="288" t="s">
        <v>2479</v>
      </c>
      <c r="AH358" s="288" t="s">
        <v>2479</v>
      </c>
      <c r="AI358" s="288" t="s">
        <v>2479</v>
      </c>
      <c r="AJ358" s="303" t="s">
        <v>2191</v>
      </c>
      <c r="AK358" s="288" t="s">
        <v>2479</v>
      </c>
      <c r="AL358" s="303" t="s">
        <v>2190</v>
      </c>
      <c r="AM358" s="288" t="s">
        <v>1975</v>
      </c>
      <c r="AN358" s="207" t="b">
        <v>0</v>
      </c>
      <c r="AY358" s="288" t="s">
        <v>2479</v>
      </c>
      <c r="AZ358" s="288" t="s">
        <v>2479</v>
      </c>
      <c r="BA358" s="288" t="s">
        <v>373</v>
      </c>
      <c r="BB358" s="288" t="s">
        <v>1610</v>
      </c>
      <c r="BC358" s="288" t="s">
        <v>2192</v>
      </c>
    </row>
    <row r="359" spans="1:55" ht="45" customHeight="1">
      <c r="A359" s="271">
        <f t="shared" si="5"/>
        <v>358</v>
      </c>
      <c r="B359" s="284" t="s">
        <v>3673</v>
      </c>
      <c r="C359" s="270" t="s">
        <v>3674</v>
      </c>
      <c r="D359" s="270" t="s">
        <v>8</v>
      </c>
      <c r="E359" s="270" t="s">
        <v>9</v>
      </c>
      <c r="F359" s="270" t="s">
        <v>1771</v>
      </c>
      <c r="G359" s="302">
        <v>45027</v>
      </c>
      <c r="L359" s="270" t="s">
        <v>2479</v>
      </c>
      <c r="M359" s="270" t="s">
        <v>2479</v>
      </c>
      <c r="N359" s="272" t="s">
        <v>122</v>
      </c>
      <c r="O359" s="270" t="s">
        <v>2479</v>
      </c>
      <c r="P359" s="270" t="s">
        <v>1554</v>
      </c>
      <c r="Q359" s="270" t="s">
        <v>2198</v>
      </c>
      <c r="R359" s="306" t="s">
        <v>3675</v>
      </c>
      <c r="S359" s="285">
        <v>2023</v>
      </c>
      <c r="T359" s="270" t="s">
        <v>2001</v>
      </c>
      <c r="U359" s="270" t="s">
        <v>678</v>
      </c>
      <c r="V359" s="270" t="s">
        <v>679</v>
      </c>
      <c r="W359" s="270" t="s">
        <v>145</v>
      </c>
      <c r="X359" s="270" t="s">
        <v>309</v>
      </c>
      <c r="Y359" s="273">
        <v>45078</v>
      </c>
      <c r="Z359" s="288" t="s">
        <v>1875</v>
      </c>
      <c r="AA359" s="288" t="s">
        <v>2479</v>
      </c>
      <c r="AB359" s="288" t="s">
        <v>139</v>
      </c>
      <c r="AC359" s="288" t="s">
        <v>1875</v>
      </c>
      <c r="AD359" s="288" t="s">
        <v>1805</v>
      </c>
      <c r="AE359" s="288" t="s">
        <v>1805</v>
      </c>
      <c r="AF359" s="288" t="s">
        <v>2479</v>
      </c>
      <c r="AG359" s="288" t="s">
        <v>2479</v>
      </c>
      <c r="AH359" s="288" t="s">
        <v>2479</v>
      </c>
      <c r="AI359" s="288" t="s">
        <v>2479</v>
      </c>
      <c r="AJ359" s="303" t="s">
        <v>2191</v>
      </c>
      <c r="AK359" s="288" t="s">
        <v>2479</v>
      </c>
      <c r="AL359" s="303" t="s">
        <v>2190</v>
      </c>
      <c r="AM359" s="288" t="s">
        <v>1975</v>
      </c>
      <c r="AN359" s="207" t="b">
        <v>0</v>
      </c>
      <c r="AY359" s="288" t="s">
        <v>2479</v>
      </c>
      <c r="AZ359" s="288" t="s">
        <v>2479</v>
      </c>
      <c r="BA359" s="288" t="s">
        <v>373</v>
      </c>
      <c r="BB359" s="288" t="s">
        <v>1610</v>
      </c>
      <c r="BC359" s="288" t="s">
        <v>2192</v>
      </c>
    </row>
    <row r="360" spans="1:55" ht="45" customHeight="1">
      <c r="A360" s="271">
        <f t="shared" si="5"/>
        <v>359</v>
      </c>
      <c r="B360" s="284" t="s">
        <v>3676</v>
      </c>
      <c r="C360" s="270" t="s">
        <v>3677</v>
      </c>
      <c r="D360" s="270" t="s">
        <v>8</v>
      </c>
      <c r="E360" s="270" t="s">
        <v>9</v>
      </c>
      <c r="F360" s="270" t="s">
        <v>1771</v>
      </c>
      <c r="G360" s="302">
        <v>45028</v>
      </c>
      <c r="L360" s="270" t="s">
        <v>2479</v>
      </c>
      <c r="M360" s="270" t="s">
        <v>2479</v>
      </c>
      <c r="N360" s="272" t="s">
        <v>122</v>
      </c>
      <c r="O360" s="270" t="s">
        <v>2479</v>
      </c>
      <c r="P360" s="270" t="s">
        <v>1554</v>
      </c>
      <c r="Q360" s="270" t="s">
        <v>2198</v>
      </c>
      <c r="R360" s="306" t="s">
        <v>3678</v>
      </c>
      <c r="S360" s="285">
        <v>2023</v>
      </c>
      <c r="T360" s="270" t="s">
        <v>2001</v>
      </c>
      <c r="U360" s="270" t="s">
        <v>678</v>
      </c>
      <c r="V360" s="270" t="s">
        <v>679</v>
      </c>
      <c r="W360" s="270" t="s">
        <v>145</v>
      </c>
      <c r="X360" s="270" t="s">
        <v>309</v>
      </c>
      <c r="Y360" s="273">
        <v>45078</v>
      </c>
      <c r="Z360" s="288" t="s">
        <v>1875</v>
      </c>
      <c r="AA360" s="288" t="s">
        <v>2479</v>
      </c>
      <c r="AB360" s="288" t="s">
        <v>139</v>
      </c>
      <c r="AC360" s="288" t="s">
        <v>1875</v>
      </c>
      <c r="AD360" s="288" t="s">
        <v>1805</v>
      </c>
      <c r="AE360" s="288" t="s">
        <v>1805</v>
      </c>
      <c r="AF360" s="288" t="s">
        <v>2479</v>
      </c>
      <c r="AG360" s="288" t="s">
        <v>2479</v>
      </c>
      <c r="AH360" s="288" t="s">
        <v>2479</v>
      </c>
      <c r="AI360" s="288" t="s">
        <v>2479</v>
      </c>
      <c r="AJ360" s="303" t="s">
        <v>2191</v>
      </c>
      <c r="AK360" s="288" t="s">
        <v>2479</v>
      </c>
      <c r="AL360" s="303" t="s">
        <v>2190</v>
      </c>
      <c r="AM360" s="288" t="s">
        <v>1975</v>
      </c>
      <c r="AN360" s="207" t="b">
        <v>0</v>
      </c>
      <c r="AY360" s="288" t="s">
        <v>2479</v>
      </c>
      <c r="AZ360" s="288" t="s">
        <v>2479</v>
      </c>
      <c r="BA360" s="288" t="s">
        <v>373</v>
      </c>
      <c r="BB360" s="288" t="s">
        <v>1610</v>
      </c>
      <c r="BC360" s="288" t="s">
        <v>2192</v>
      </c>
    </row>
    <row r="361" spans="1:55" ht="45" customHeight="1">
      <c r="A361" s="271">
        <f t="shared" si="5"/>
        <v>360</v>
      </c>
      <c r="B361" s="284" t="s">
        <v>2503</v>
      </c>
      <c r="C361" s="270" t="s">
        <v>3684</v>
      </c>
      <c r="D361" s="270" t="s">
        <v>8</v>
      </c>
      <c r="E361" s="270" t="s">
        <v>9</v>
      </c>
      <c r="F361" s="270" t="s">
        <v>1771</v>
      </c>
      <c r="G361" s="302">
        <v>45034</v>
      </c>
      <c r="L361" s="270" t="s">
        <v>2479</v>
      </c>
      <c r="M361" s="270" t="s">
        <v>2479</v>
      </c>
      <c r="N361" s="272" t="s">
        <v>122</v>
      </c>
      <c r="O361" s="270" t="s">
        <v>2479</v>
      </c>
      <c r="P361" s="270" t="s">
        <v>1554</v>
      </c>
      <c r="Q361" s="270" t="s">
        <v>2198</v>
      </c>
      <c r="R361" s="306" t="s">
        <v>3685</v>
      </c>
      <c r="S361" s="285">
        <v>2023</v>
      </c>
      <c r="T361" s="270" t="s">
        <v>2001</v>
      </c>
      <c r="U361" s="270" t="s">
        <v>678</v>
      </c>
      <c r="V361" s="270" t="s">
        <v>679</v>
      </c>
      <c r="W361" s="270" t="s">
        <v>145</v>
      </c>
      <c r="X361" s="270" t="s">
        <v>309</v>
      </c>
      <c r="Y361" s="273">
        <v>45078</v>
      </c>
      <c r="Z361" s="288" t="s">
        <v>2558</v>
      </c>
      <c r="AA361" s="288" t="s">
        <v>2479</v>
      </c>
      <c r="AB361" s="288" t="s">
        <v>139</v>
      </c>
      <c r="AC361" s="288" t="s">
        <v>1875</v>
      </c>
      <c r="AD361" s="288" t="s">
        <v>1805</v>
      </c>
      <c r="AE361" s="288" t="s">
        <v>1805</v>
      </c>
      <c r="AF361" s="288" t="s">
        <v>2479</v>
      </c>
      <c r="AG361" s="288" t="s">
        <v>2479</v>
      </c>
      <c r="AH361" s="288" t="s">
        <v>2479</v>
      </c>
      <c r="AI361" s="288" t="s">
        <v>2479</v>
      </c>
      <c r="AJ361" s="303" t="s">
        <v>2191</v>
      </c>
      <c r="AK361" s="288" t="s">
        <v>2479</v>
      </c>
      <c r="AL361" s="303" t="s">
        <v>2190</v>
      </c>
      <c r="AM361" s="288" t="s">
        <v>1975</v>
      </c>
      <c r="AN361" s="207" t="b">
        <v>0</v>
      </c>
      <c r="AY361" s="288" t="s">
        <v>2479</v>
      </c>
      <c r="AZ361" s="288" t="s">
        <v>2479</v>
      </c>
      <c r="BA361" s="288" t="s">
        <v>373</v>
      </c>
      <c r="BB361" s="288" t="s">
        <v>1610</v>
      </c>
      <c r="BC361" s="288" t="s">
        <v>2192</v>
      </c>
    </row>
    <row r="362" spans="1:55" ht="45" customHeight="1">
      <c r="A362" s="271">
        <f t="shared" si="5"/>
        <v>361</v>
      </c>
      <c r="B362" s="284" t="s">
        <v>2505</v>
      </c>
      <c r="C362" s="270" t="s">
        <v>3686</v>
      </c>
      <c r="D362" s="270" t="s">
        <v>8</v>
      </c>
      <c r="E362" s="270" t="s">
        <v>9</v>
      </c>
      <c r="F362" s="270" t="s">
        <v>1771</v>
      </c>
      <c r="G362" s="302">
        <v>45035</v>
      </c>
      <c r="L362" s="270" t="s">
        <v>2479</v>
      </c>
      <c r="M362" s="270" t="s">
        <v>2479</v>
      </c>
      <c r="N362" s="272" t="s">
        <v>122</v>
      </c>
      <c r="O362" s="270" t="s">
        <v>2479</v>
      </c>
      <c r="P362" s="270" t="s">
        <v>1554</v>
      </c>
      <c r="Q362" s="270" t="s">
        <v>2198</v>
      </c>
      <c r="R362" s="306" t="s">
        <v>3687</v>
      </c>
      <c r="S362" s="285">
        <v>2023</v>
      </c>
      <c r="T362" s="270" t="s">
        <v>2001</v>
      </c>
      <c r="U362" s="270" t="s">
        <v>678</v>
      </c>
      <c r="V362" s="270" t="s">
        <v>679</v>
      </c>
      <c r="W362" s="270" t="s">
        <v>145</v>
      </c>
      <c r="X362" s="270" t="s">
        <v>309</v>
      </c>
      <c r="Y362" s="273">
        <v>45078</v>
      </c>
      <c r="Z362" s="288" t="s">
        <v>1875</v>
      </c>
      <c r="AA362" s="288" t="s">
        <v>2479</v>
      </c>
      <c r="AB362" s="288" t="s">
        <v>139</v>
      </c>
      <c r="AC362" s="288" t="s">
        <v>1875</v>
      </c>
      <c r="AD362" s="288" t="s">
        <v>1805</v>
      </c>
      <c r="AE362" s="288" t="s">
        <v>1805</v>
      </c>
      <c r="AF362" s="288" t="s">
        <v>2479</v>
      </c>
      <c r="AG362" s="288" t="s">
        <v>2479</v>
      </c>
      <c r="AH362" s="288" t="s">
        <v>2479</v>
      </c>
      <c r="AI362" s="288" t="s">
        <v>2479</v>
      </c>
      <c r="AJ362" s="303" t="s">
        <v>2191</v>
      </c>
      <c r="AK362" s="288" t="s">
        <v>2479</v>
      </c>
      <c r="AL362" s="303" t="s">
        <v>2190</v>
      </c>
      <c r="AM362" s="288" t="s">
        <v>1975</v>
      </c>
      <c r="AN362" s="207" t="b">
        <v>0</v>
      </c>
      <c r="AY362" s="288" t="s">
        <v>2479</v>
      </c>
      <c r="AZ362" s="288" t="s">
        <v>2479</v>
      </c>
      <c r="BA362" s="288" t="s">
        <v>373</v>
      </c>
      <c r="BB362" s="288" t="s">
        <v>1610</v>
      </c>
      <c r="BC362" s="288" t="s">
        <v>2192</v>
      </c>
    </row>
    <row r="363" spans="1:55" ht="45" customHeight="1">
      <c r="A363" s="271">
        <f t="shared" si="5"/>
        <v>362</v>
      </c>
      <c r="B363" s="284" t="s">
        <v>2906</v>
      </c>
      <c r="C363" s="270" t="s">
        <v>3688</v>
      </c>
      <c r="D363" s="270" t="s">
        <v>8</v>
      </c>
      <c r="E363" s="270" t="s">
        <v>9</v>
      </c>
      <c r="F363" s="270" t="s">
        <v>1771</v>
      </c>
      <c r="G363" s="302">
        <v>45036</v>
      </c>
      <c r="L363" s="270" t="s">
        <v>2479</v>
      </c>
      <c r="M363" s="270" t="s">
        <v>2479</v>
      </c>
      <c r="N363" s="272" t="s">
        <v>122</v>
      </c>
      <c r="O363" s="270" t="s">
        <v>2479</v>
      </c>
      <c r="P363" s="270" t="s">
        <v>1554</v>
      </c>
      <c r="Q363" s="270" t="s">
        <v>2198</v>
      </c>
      <c r="R363" s="306" t="s">
        <v>3689</v>
      </c>
      <c r="S363" s="285">
        <v>2023</v>
      </c>
      <c r="T363" s="270" t="s">
        <v>2001</v>
      </c>
      <c r="U363" s="270" t="s">
        <v>678</v>
      </c>
      <c r="V363" s="270" t="s">
        <v>679</v>
      </c>
      <c r="W363" s="270" t="s">
        <v>145</v>
      </c>
      <c r="X363" s="270" t="s">
        <v>309</v>
      </c>
      <c r="Y363" s="273">
        <v>45078</v>
      </c>
      <c r="Z363" s="288" t="s">
        <v>1875</v>
      </c>
      <c r="AA363" s="288" t="s">
        <v>2479</v>
      </c>
      <c r="AB363" s="288" t="s">
        <v>139</v>
      </c>
      <c r="AC363" s="288" t="s">
        <v>1875</v>
      </c>
      <c r="AD363" s="288" t="s">
        <v>1805</v>
      </c>
      <c r="AE363" s="288" t="s">
        <v>1805</v>
      </c>
      <c r="AF363" s="288" t="s">
        <v>2479</v>
      </c>
      <c r="AG363" s="288" t="s">
        <v>2479</v>
      </c>
      <c r="AH363" s="288" t="s">
        <v>2479</v>
      </c>
      <c r="AI363" s="288" t="s">
        <v>2479</v>
      </c>
      <c r="AJ363" s="303" t="s">
        <v>2191</v>
      </c>
      <c r="AK363" s="288" t="s">
        <v>2479</v>
      </c>
      <c r="AL363" s="303" t="s">
        <v>2190</v>
      </c>
      <c r="AM363" s="288" t="s">
        <v>1975</v>
      </c>
      <c r="AN363" s="207" t="b">
        <v>0</v>
      </c>
      <c r="AY363" s="288" t="s">
        <v>2479</v>
      </c>
      <c r="AZ363" s="288" t="s">
        <v>2479</v>
      </c>
      <c r="BA363" s="288" t="s">
        <v>373</v>
      </c>
      <c r="BB363" s="288" t="s">
        <v>1610</v>
      </c>
      <c r="BC363" s="288" t="s">
        <v>2192</v>
      </c>
    </row>
    <row r="364" spans="1:55" ht="45" customHeight="1">
      <c r="A364" s="271">
        <f t="shared" si="5"/>
        <v>363</v>
      </c>
      <c r="B364" s="284" t="s">
        <v>2909</v>
      </c>
      <c r="C364" s="270" t="s">
        <v>3756</v>
      </c>
      <c r="D364" s="270" t="s">
        <v>8</v>
      </c>
      <c r="E364" s="270" t="s">
        <v>9</v>
      </c>
      <c r="F364" s="270" t="s">
        <v>1771</v>
      </c>
      <c r="G364" s="302">
        <v>45048</v>
      </c>
      <c r="L364" s="270" t="s">
        <v>2479</v>
      </c>
      <c r="M364" s="270" t="s">
        <v>2479</v>
      </c>
      <c r="N364" s="272" t="s">
        <v>122</v>
      </c>
      <c r="O364" s="270" t="s">
        <v>2479</v>
      </c>
      <c r="P364" s="270" t="s">
        <v>1554</v>
      </c>
      <c r="Q364" s="270" t="s">
        <v>2198</v>
      </c>
      <c r="R364" s="306">
        <v>44932.461481481485</v>
      </c>
      <c r="S364" s="285">
        <v>2023</v>
      </c>
      <c r="T364" s="270" t="s">
        <v>2001</v>
      </c>
      <c r="U364" s="270" t="s">
        <v>678</v>
      </c>
      <c r="V364" s="270" t="s">
        <v>679</v>
      </c>
      <c r="W364" s="270" t="s">
        <v>145</v>
      </c>
      <c r="X364" s="270" t="s">
        <v>309</v>
      </c>
      <c r="Y364" s="273">
        <v>45078</v>
      </c>
      <c r="Z364" s="288" t="s">
        <v>1875</v>
      </c>
      <c r="AA364" s="288" t="s">
        <v>2479</v>
      </c>
      <c r="AB364" s="288" t="s">
        <v>139</v>
      </c>
      <c r="AC364" s="288" t="s">
        <v>1875</v>
      </c>
      <c r="AD364" s="288" t="s">
        <v>1805</v>
      </c>
      <c r="AE364" s="288" t="s">
        <v>1805</v>
      </c>
      <c r="AF364" s="288" t="s">
        <v>2479</v>
      </c>
      <c r="AG364" s="288" t="s">
        <v>2479</v>
      </c>
      <c r="AH364" s="288" t="s">
        <v>2479</v>
      </c>
      <c r="AI364" s="288" t="s">
        <v>2479</v>
      </c>
      <c r="AJ364" s="303" t="s">
        <v>2191</v>
      </c>
      <c r="AK364" s="288" t="s">
        <v>2479</v>
      </c>
      <c r="AL364" s="303" t="s">
        <v>2190</v>
      </c>
      <c r="AM364" s="288" t="s">
        <v>1975</v>
      </c>
      <c r="AN364" s="207" t="b">
        <v>0</v>
      </c>
      <c r="AY364" s="288" t="s">
        <v>2479</v>
      </c>
      <c r="AZ364" s="288" t="s">
        <v>2479</v>
      </c>
      <c r="BA364" s="288" t="s">
        <v>373</v>
      </c>
      <c r="BB364" s="288" t="s">
        <v>1610</v>
      </c>
      <c r="BC364" s="288" t="s">
        <v>2192</v>
      </c>
    </row>
    <row r="365" spans="1:55" ht="45" customHeight="1">
      <c r="A365" s="271">
        <f t="shared" si="5"/>
        <v>364</v>
      </c>
      <c r="B365" s="284" t="s">
        <v>2911</v>
      </c>
      <c r="C365" s="270" t="s">
        <v>3757</v>
      </c>
      <c r="D365" s="270" t="s">
        <v>8</v>
      </c>
      <c r="E365" s="270" t="s">
        <v>9</v>
      </c>
      <c r="F365" s="270" t="s">
        <v>1771</v>
      </c>
      <c r="G365" s="302">
        <v>45048</v>
      </c>
      <c r="L365" s="270" t="s">
        <v>2479</v>
      </c>
      <c r="M365" s="270" t="s">
        <v>2479</v>
      </c>
      <c r="N365" s="272" t="s">
        <v>122</v>
      </c>
      <c r="O365" s="270" t="s">
        <v>2479</v>
      </c>
      <c r="P365" s="270" t="s">
        <v>1554</v>
      </c>
      <c r="Q365" s="270" t="s">
        <v>2198</v>
      </c>
      <c r="R365" s="306">
        <v>44932.462083333332</v>
      </c>
      <c r="S365" s="285">
        <v>2023</v>
      </c>
      <c r="T365" s="270" t="s">
        <v>2001</v>
      </c>
      <c r="U365" s="270" t="s">
        <v>678</v>
      </c>
      <c r="V365" s="270" t="s">
        <v>679</v>
      </c>
      <c r="W365" s="270" t="s">
        <v>145</v>
      </c>
      <c r="X365" s="270" t="s">
        <v>309</v>
      </c>
      <c r="Y365" s="273">
        <v>45078</v>
      </c>
      <c r="Z365" s="288" t="s">
        <v>1875</v>
      </c>
      <c r="AA365" s="288" t="s">
        <v>2479</v>
      </c>
      <c r="AB365" s="288" t="s">
        <v>139</v>
      </c>
      <c r="AC365" s="288" t="s">
        <v>1875</v>
      </c>
      <c r="AD365" s="288" t="s">
        <v>1805</v>
      </c>
      <c r="AE365" s="288" t="s">
        <v>1805</v>
      </c>
      <c r="AF365" s="288" t="s">
        <v>2479</v>
      </c>
      <c r="AG365" s="288" t="s">
        <v>2479</v>
      </c>
      <c r="AH365" s="288" t="s">
        <v>2479</v>
      </c>
      <c r="AI365" s="288" t="s">
        <v>2479</v>
      </c>
      <c r="AJ365" s="303" t="s">
        <v>2191</v>
      </c>
      <c r="AK365" s="288" t="s">
        <v>2479</v>
      </c>
      <c r="AL365" s="303" t="s">
        <v>2190</v>
      </c>
      <c r="AM365" s="288" t="s">
        <v>1975</v>
      </c>
      <c r="AN365" s="207" t="b">
        <v>0</v>
      </c>
      <c r="AY365" s="288" t="s">
        <v>2479</v>
      </c>
      <c r="AZ365" s="288" t="s">
        <v>2479</v>
      </c>
      <c r="BA365" s="288" t="s">
        <v>373</v>
      </c>
      <c r="BB365" s="288" t="s">
        <v>1610</v>
      </c>
      <c r="BC365" s="288" t="s">
        <v>2192</v>
      </c>
    </row>
    <row r="366" spans="1:55" ht="45" customHeight="1">
      <c r="A366" s="271">
        <f t="shared" si="5"/>
        <v>365</v>
      </c>
      <c r="B366" s="284" t="s">
        <v>2501</v>
      </c>
      <c r="C366" s="270" t="s">
        <v>3758</v>
      </c>
      <c r="D366" s="270" t="s">
        <v>8</v>
      </c>
      <c r="E366" s="270" t="s">
        <v>9</v>
      </c>
      <c r="F366" s="270" t="s">
        <v>1771</v>
      </c>
      <c r="G366" s="302">
        <v>45048</v>
      </c>
      <c r="L366" s="270" t="s">
        <v>2479</v>
      </c>
      <c r="M366" s="270" t="s">
        <v>2479</v>
      </c>
      <c r="N366" s="272" t="s">
        <v>122</v>
      </c>
      <c r="O366" s="270" t="s">
        <v>2479</v>
      </c>
      <c r="P366" s="270" t="s">
        <v>1554</v>
      </c>
      <c r="Q366" s="270" t="s">
        <v>2198</v>
      </c>
      <c r="R366" s="306">
        <v>44932.462488425925</v>
      </c>
      <c r="S366" s="285">
        <v>2023</v>
      </c>
      <c r="T366" s="270" t="s">
        <v>2001</v>
      </c>
      <c r="U366" s="270" t="s">
        <v>678</v>
      </c>
      <c r="V366" s="270" t="s">
        <v>679</v>
      </c>
      <c r="W366" s="270" t="s">
        <v>145</v>
      </c>
      <c r="X366" s="270" t="s">
        <v>309</v>
      </c>
      <c r="Y366" s="273">
        <v>45078</v>
      </c>
      <c r="Z366" s="288" t="s">
        <v>1875</v>
      </c>
      <c r="AA366" s="288" t="s">
        <v>2479</v>
      </c>
      <c r="AB366" s="288" t="s">
        <v>139</v>
      </c>
      <c r="AC366" s="288" t="s">
        <v>1875</v>
      </c>
      <c r="AD366" s="288" t="s">
        <v>1805</v>
      </c>
      <c r="AE366" s="288" t="s">
        <v>1805</v>
      </c>
      <c r="AF366" s="288" t="s">
        <v>2479</v>
      </c>
      <c r="AG366" s="288" t="s">
        <v>2479</v>
      </c>
      <c r="AH366" s="288" t="s">
        <v>2479</v>
      </c>
      <c r="AI366" s="288" t="s">
        <v>2479</v>
      </c>
      <c r="AJ366" s="303" t="s">
        <v>2191</v>
      </c>
      <c r="AK366" s="288" t="s">
        <v>2479</v>
      </c>
      <c r="AL366" s="303" t="s">
        <v>2190</v>
      </c>
      <c r="AM366" s="288" t="s">
        <v>1975</v>
      </c>
      <c r="AN366" s="207" t="b">
        <v>0</v>
      </c>
      <c r="AY366" s="288" t="s">
        <v>2479</v>
      </c>
      <c r="AZ366" s="288" t="s">
        <v>2479</v>
      </c>
      <c r="BA366" s="288" t="s">
        <v>373</v>
      </c>
      <c r="BB366" s="288" t="s">
        <v>1610</v>
      </c>
      <c r="BC366" s="288" t="s">
        <v>2192</v>
      </c>
    </row>
    <row r="367" spans="1:55" ht="45" customHeight="1">
      <c r="A367" s="271">
        <f t="shared" si="5"/>
        <v>366</v>
      </c>
      <c r="B367" s="284" t="s">
        <v>3760</v>
      </c>
      <c r="C367" s="270" t="s">
        <v>3761</v>
      </c>
      <c r="D367" s="270" t="s">
        <v>8</v>
      </c>
      <c r="E367" s="270" t="s">
        <v>9</v>
      </c>
      <c r="F367" s="270" t="s">
        <v>1771</v>
      </c>
      <c r="G367" s="302">
        <v>45050</v>
      </c>
      <c r="L367" s="270" t="s">
        <v>2479</v>
      </c>
      <c r="M367" s="270" t="s">
        <v>2479</v>
      </c>
      <c r="N367" s="272" t="s">
        <v>122</v>
      </c>
      <c r="O367" s="270" t="s">
        <v>2479</v>
      </c>
      <c r="P367" s="270" t="s">
        <v>1554</v>
      </c>
      <c r="Q367" s="270" t="s">
        <v>2198</v>
      </c>
      <c r="R367" s="306">
        <v>44932.463333333333</v>
      </c>
      <c r="S367" s="285">
        <v>2023</v>
      </c>
      <c r="T367" s="270" t="s">
        <v>2001</v>
      </c>
      <c r="U367" s="270" t="s">
        <v>678</v>
      </c>
      <c r="V367" s="270" t="s">
        <v>679</v>
      </c>
      <c r="W367" s="270" t="s">
        <v>145</v>
      </c>
      <c r="X367" s="270" t="s">
        <v>309</v>
      </c>
      <c r="Y367" s="273">
        <v>45078</v>
      </c>
      <c r="Z367" s="288" t="s">
        <v>1875</v>
      </c>
      <c r="AA367" s="288" t="s">
        <v>2479</v>
      </c>
      <c r="AB367" s="288" t="s">
        <v>139</v>
      </c>
      <c r="AC367" s="288" t="s">
        <v>1875</v>
      </c>
      <c r="AD367" s="288" t="s">
        <v>1805</v>
      </c>
      <c r="AE367" s="288" t="s">
        <v>1805</v>
      </c>
      <c r="AF367" s="288" t="s">
        <v>2479</v>
      </c>
      <c r="AG367" s="288" t="s">
        <v>2479</v>
      </c>
      <c r="AH367" s="288" t="s">
        <v>2479</v>
      </c>
      <c r="AI367" s="288" t="s">
        <v>2479</v>
      </c>
      <c r="AJ367" s="303" t="s">
        <v>2191</v>
      </c>
      <c r="AK367" s="288" t="s">
        <v>2479</v>
      </c>
      <c r="AL367" s="303" t="s">
        <v>2190</v>
      </c>
      <c r="AM367" s="288" t="s">
        <v>1975</v>
      </c>
      <c r="AN367" s="207" t="b">
        <v>0</v>
      </c>
      <c r="AY367" s="288" t="s">
        <v>2479</v>
      </c>
      <c r="AZ367" s="288" t="s">
        <v>2479</v>
      </c>
      <c r="BA367" s="288" t="s">
        <v>373</v>
      </c>
      <c r="BB367" s="288" t="s">
        <v>1610</v>
      </c>
      <c r="BC367" s="288" t="s">
        <v>2192</v>
      </c>
    </row>
    <row r="368" spans="1:55" ht="45" customHeight="1">
      <c r="A368" s="271">
        <f t="shared" si="5"/>
        <v>367</v>
      </c>
      <c r="B368" s="284" t="s">
        <v>2463</v>
      </c>
      <c r="C368" s="270" t="s">
        <v>3759</v>
      </c>
      <c r="D368" s="270" t="s">
        <v>8</v>
      </c>
      <c r="E368" s="270" t="s">
        <v>9</v>
      </c>
      <c r="F368" s="270" t="s">
        <v>1771</v>
      </c>
      <c r="G368" s="302">
        <v>45055</v>
      </c>
      <c r="L368" s="270" t="s">
        <v>2479</v>
      </c>
      <c r="M368" s="270" t="s">
        <v>2479</v>
      </c>
      <c r="N368" s="272" t="s">
        <v>122</v>
      </c>
      <c r="O368" s="270" t="s">
        <v>2479</v>
      </c>
      <c r="P368" s="270" t="s">
        <v>1554</v>
      </c>
      <c r="Q368" s="270" t="s">
        <v>2198</v>
      </c>
      <c r="R368" s="306">
        <v>44932.462893518517</v>
      </c>
      <c r="S368" s="285">
        <v>2023</v>
      </c>
      <c r="T368" s="270" t="s">
        <v>2001</v>
      </c>
      <c r="U368" s="270" t="s">
        <v>678</v>
      </c>
      <c r="V368" s="270" t="s">
        <v>679</v>
      </c>
      <c r="W368" s="270" t="s">
        <v>145</v>
      </c>
      <c r="X368" s="270" t="s">
        <v>309</v>
      </c>
      <c r="Y368" s="273">
        <v>45078</v>
      </c>
      <c r="Z368" s="288" t="s">
        <v>1875</v>
      </c>
      <c r="AA368" s="288" t="s">
        <v>2479</v>
      </c>
      <c r="AB368" s="288" t="s">
        <v>139</v>
      </c>
      <c r="AC368" s="288" t="s">
        <v>1875</v>
      </c>
      <c r="AD368" s="288" t="s">
        <v>1805</v>
      </c>
      <c r="AE368" s="288" t="s">
        <v>1805</v>
      </c>
      <c r="AF368" s="288" t="s">
        <v>2479</v>
      </c>
      <c r="AG368" s="288" t="s">
        <v>2479</v>
      </c>
      <c r="AH368" s="288" t="s">
        <v>2479</v>
      </c>
      <c r="AI368" s="288" t="s">
        <v>2479</v>
      </c>
      <c r="AJ368" s="303" t="s">
        <v>2191</v>
      </c>
      <c r="AK368" s="288" t="s">
        <v>2479</v>
      </c>
      <c r="AL368" s="303" t="s">
        <v>2190</v>
      </c>
      <c r="AM368" s="288" t="s">
        <v>1975</v>
      </c>
      <c r="AN368" s="207" t="b">
        <v>0</v>
      </c>
      <c r="AY368" s="288" t="s">
        <v>2479</v>
      </c>
      <c r="AZ368" s="288" t="s">
        <v>2479</v>
      </c>
      <c r="BA368" s="288" t="s">
        <v>373</v>
      </c>
      <c r="BB368" s="288" t="s">
        <v>1610</v>
      </c>
      <c r="BC368" s="288" t="s">
        <v>2192</v>
      </c>
    </row>
    <row r="369" spans="1:55" ht="45" customHeight="1">
      <c r="A369" s="271">
        <f t="shared" si="5"/>
        <v>368</v>
      </c>
      <c r="B369" s="284" t="s">
        <v>2507</v>
      </c>
      <c r="C369" s="270" t="s">
        <v>3762</v>
      </c>
      <c r="D369" s="270" t="s">
        <v>8</v>
      </c>
      <c r="E369" s="270" t="s">
        <v>9</v>
      </c>
      <c r="F369" s="270" t="s">
        <v>1771</v>
      </c>
      <c r="G369" s="302">
        <v>45055</v>
      </c>
      <c r="L369" s="270" t="s">
        <v>2479</v>
      </c>
      <c r="M369" s="270" t="s">
        <v>2479</v>
      </c>
      <c r="N369" s="272" t="s">
        <v>122</v>
      </c>
      <c r="O369" s="270" t="s">
        <v>2479</v>
      </c>
      <c r="P369" s="270" t="s">
        <v>1554</v>
      </c>
      <c r="Q369" s="270" t="s">
        <v>2198</v>
      </c>
      <c r="R369" s="306">
        <v>44932.463738425926</v>
      </c>
      <c r="S369" s="285">
        <v>2023</v>
      </c>
      <c r="T369" s="270" t="s">
        <v>2001</v>
      </c>
      <c r="U369" s="270" t="s">
        <v>678</v>
      </c>
      <c r="V369" s="270" t="s">
        <v>679</v>
      </c>
      <c r="W369" s="270" t="s">
        <v>145</v>
      </c>
      <c r="X369" s="270" t="s">
        <v>309</v>
      </c>
      <c r="Y369" s="273">
        <v>45078</v>
      </c>
      <c r="Z369" s="288" t="s">
        <v>1875</v>
      </c>
      <c r="AA369" s="288" t="s">
        <v>2479</v>
      </c>
      <c r="AB369" s="288" t="s">
        <v>139</v>
      </c>
      <c r="AC369" s="288" t="s">
        <v>1875</v>
      </c>
      <c r="AD369" s="288" t="s">
        <v>1805</v>
      </c>
      <c r="AE369" s="288" t="s">
        <v>1805</v>
      </c>
      <c r="AF369" s="288" t="s">
        <v>2479</v>
      </c>
      <c r="AG369" s="288" t="s">
        <v>2479</v>
      </c>
      <c r="AH369" s="288" t="s">
        <v>2479</v>
      </c>
      <c r="AI369" s="288" t="s">
        <v>2479</v>
      </c>
      <c r="AJ369" s="303" t="s">
        <v>2191</v>
      </c>
      <c r="AK369" s="288" t="s">
        <v>2479</v>
      </c>
      <c r="AL369" s="303" t="s">
        <v>2190</v>
      </c>
      <c r="AM369" s="288" t="s">
        <v>1975</v>
      </c>
      <c r="AN369" s="207" t="b">
        <v>0</v>
      </c>
      <c r="AY369" s="288" t="s">
        <v>2479</v>
      </c>
      <c r="AZ369" s="288" t="s">
        <v>2479</v>
      </c>
      <c r="BA369" s="288" t="s">
        <v>373</v>
      </c>
      <c r="BB369" s="288" t="s">
        <v>1610</v>
      </c>
      <c r="BC369" s="288" t="s">
        <v>2192</v>
      </c>
    </row>
    <row r="370" spans="1:55" ht="45" customHeight="1">
      <c r="A370" s="271">
        <f t="shared" si="5"/>
        <v>369</v>
      </c>
      <c r="B370" s="284" t="s">
        <v>2509</v>
      </c>
      <c r="C370" s="270" t="s">
        <v>3763</v>
      </c>
      <c r="D370" s="270" t="s">
        <v>8</v>
      </c>
      <c r="E370" s="270" t="s">
        <v>9</v>
      </c>
      <c r="F370" s="270" t="s">
        <v>1771</v>
      </c>
      <c r="G370" s="302">
        <v>45058</v>
      </c>
      <c r="L370" s="270" t="s">
        <v>2479</v>
      </c>
      <c r="M370" s="270" t="s">
        <v>2479</v>
      </c>
      <c r="N370" s="272" t="s">
        <v>122</v>
      </c>
      <c r="O370" s="270" t="s">
        <v>2479</v>
      </c>
      <c r="P370" s="270" t="s">
        <v>1554</v>
      </c>
      <c r="Q370" s="270" t="s">
        <v>2198</v>
      </c>
      <c r="R370" s="306">
        <v>44932.464224537034</v>
      </c>
      <c r="S370" s="285">
        <v>2023</v>
      </c>
      <c r="T370" s="270" t="s">
        <v>2001</v>
      </c>
      <c r="U370" s="270" t="s">
        <v>678</v>
      </c>
      <c r="V370" s="270" t="s">
        <v>679</v>
      </c>
      <c r="W370" s="270" t="s">
        <v>145</v>
      </c>
      <c r="X370" s="270" t="s">
        <v>309</v>
      </c>
      <c r="Y370" s="273">
        <v>45078</v>
      </c>
      <c r="Z370" s="288" t="s">
        <v>1875</v>
      </c>
      <c r="AA370" s="288" t="s">
        <v>2479</v>
      </c>
      <c r="AB370" s="288" t="s">
        <v>139</v>
      </c>
      <c r="AC370" s="288" t="s">
        <v>1875</v>
      </c>
      <c r="AD370" s="288" t="s">
        <v>1805</v>
      </c>
      <c r="AE370" s="288" t="s">
        <v>1805</v>
      </c>
      <c r="AF370" s="288" t="s">
        <v>2479</v>
      </c>
      <c r="AG370" s="288" t="s">
        <v>2479</v>
      </c>
      <c r="AH370" s="288" t="s">
        <v>2479</v>
      </c>
      <c r="AI370" s="288" t="s">
        <v>2479</v>
      </c>
      <c r="AJ370" s="303" t="s">
        <v>2191</v>
      </c>
      <c r="AK370" s="288" t="s">
        <v>2479</v>
      </c>
      <c r="AL370" s="303" t="s">
        <v>2190</v>
      </c>
      <c r="AM370" s="288" t="s">
        <v>1975</v>
      </c>
      <c r="AN370" s="207" t="b">
        <v>0</v>
      </c>
      <c r="AY370" s="288" t="s">
        <v>2479</v>
      </c>
      <c r="AZ370" s="288" t="s">
        <v>2479</v>
      </c>
      <c r="BA370" s="288" t="s">
        <v>373</v>
      </c>
      <c r="BB370" s="288" t="s">
        <v>1610</v>
      </c>
      <c r="BC370" s="288" t="s">
        <v>2192</v>
      </c>
    </row>
    <row r="371" spans="1:55" ht="45" customHeight="1">
      <c r="A371" s="271">
        <f t="shared" si="5"/>
        <v>370</v>
      </c>
      <c r="B371" s="284" t="s">
        <v>2467</v>
      </c>
      <c r="C371" s="270" t="s">
        <v>3764</v>
      </c>
      <c r="D371" s="270" t="s">
        <v>8</v>
      </c>
      <c r="E371" s="270" t="s">
        <v>9</v>
      </c>
      <c r="F371" s="270" t="s">
        <v>1771</v>
      </c>
      <c r="G371" s="302">
        <v>45063</v>
      </c>
      <c r="L371" s="270" t="s">
        <v>2479</v>
      </c>
      <c r="M371" s="270" t="s">
        <v>2479</v>
      </c>
      <c r="N371" s="272" t="s">
        <v>122</v>
      </c>
      <c r="O371" s="270" t="s">
        <v>2479</v>
      </c>
      <c r="P371" s="270" t="s">
        <v>1554</v>
      </c>
      <c r="Q371" s="270" t="s">
        <v>2198</v>
      </c>
      <c r="R371" s="306">
        <v>44932.464814814812</v>
      </c>
      <c r="S371" s="285">
        <v>2023</v>
      </c>
      <c r="T371" s="270" t="s">
        <v>2001</v>
      </c>
      <c r="U371" s="270" t="s">
        <v>678</v>
      </c>
      <c r="V371" s="270" t="s">
        <v>679</v>
      </c>
      <c r="W371" s="270" t="s">
        <v>145</v>
      </c>
      <c r="X371" s="270" t="s">
        <v>309</v>
      </c>
      <c r="Y371" s="273">
        <v>45078</v>
      </c>
      <c r="Z371" s="288" t="s">
        <v>1875</v>
      </c>
      <c r="AA371" s="288" t="s">
        <v>2479</v>
      </c>
      <c r="AB371" s="288" t="s">
        <v>139</v>
      </c>
      <c r="AC371" s="288" t="s">
        <v>1875</v>
      </c>
      <c r="AD371" s="288" t="s">
        <v>1805</v>
      </c>
      <c r="AE371" s="288" t="s">
        <v>1805</v>
      </c>
      <c r="AF371" s="288" t="s">
        <v>2479</v>
      </c>
      <c r="AG371" s="288" t="s">
        <v>2479</v>
      </c>
      <c r="AH371" s="288" t="s">
        <v>2479</v>
      </c>
      <c r="AI371" s="288" t="s">
        <v>2479</v>
      </c>
      <c r="AJ371" s="303" t="s">
        <v>2191</v>
      </c>
      <c r="AK371" s="288" t="s">
        <v>2479</v>
      </c>
      <c r="AL371" s="303" t="s">
        <v>2190</v>
      </c>
      <c r="AM371" s="288" t="s">
        <v>1975</v>
      </c>
      <c r="AN371" s="207" t="b">
        <v>0</v>
      </c>
      <c r="AY371" s="288" t="s">
        <v>2479</v>
      </c>
      <c r="AZ371" s="288" t="s">
        <v>2479</v>
      </c>
      <c r="BA371" s="288" t="s">
        <v>373</v>
      </c>
      <c r="BB371" s="288" t="s">
        <v>1610</v>
      </c>
      <c r="BC371" s="288" t="s">
        <v>2192</v>
      </c>
    </row>
    <row r="372" spans="1:55" ht="45" customHeight="1">
      <c r="A372" s="271">
        <f t="shared" si="5"/>
        <v>371</v>
      </c>
      <c r="B372" s="284" t="s">
        <v>2459</v>
      </c>
      <c r="C372" s="270" t="s">
        <v>3765</v>
      </c>
      <c r="D372" s="270" t="s">
        <v>8</v>
      </c>
      <c r="E372" s="270" t="s">
        <v>9</v>
      </c>
      <c r="F372" s="270" t="s">
        <v>1771</v>
      </c>
      <c r="G372" s="302">
        <v>45063</v>
      </c>
      <c r="L372" s="270" t="s">
        <v>2479</v>
      </c>
      <c r="M372" s="270" t="s">
        <v>2479</v>
      </c>
      <c r="N372" s="272" t="s">
        <v>122</v>
      </c>
      <c r="O372" s="270" t="s">
        <v>2479</v>
      </c>
      <c r="P372" s="270" t="s">
        <v>1554</v>
      </c>
      <c r="Q372" s="270" t="s">
        <v>2198</v>
      </c>
      <c r="R372" s="306">
        <v>44932.465266203704</v>
      </c>
      <c r="S372" s="285">
        <v>2023</v>
      </c>
      <c r="T372" s="270" t="s">
        <v>2001</v>
      </c>
      <c r="U372" s="270" t="s">
        <v>678</v>
      </c>
      <c r="V372" s="270" t="s">
        <v>679</v>
      </c>
      <c r="W372" s="270" t="s">
        <v>145</v>
      </c>
      <c r="X372" s="270" t="s">
        <v>309</v>
      </c>
      <c r="Y372" s="273">
        <v>45078</v>
      </c>
      <c r="Z372" s="288" t="s">
        <v>1875</v>
      </c>
      <c r="AA372" s="288" t="s">
        <v>2479</v>
      </c>
      <c r="AB372" s="288" t="s">
        <v>139</v>
      </c>
      <c r="AC372" s="288" t="s">
        <v>1875</v>
      </c>
      <c r="AD372" s="288" t="s">
        <v>1805</v>
      </c>
      <c r="AE372" s="288" t="s">
        <v>1805</v>
      </c>
      <c r="AF372" s="288" t="s">
        <v>2479</v>
      </c>
      <c r="AG372" s="288" t="s">
        <v>2479</v>
      </c>
      <c r="AH372" s="288" t="s">
        <v>2479</v>
      </c>
      <c r="AI372" s="288" t="s">
        <v>2479</v>
      </c>
      <c r="AJ372" s="303" t="s">
        <v>2191</v>
      </c>
      <c r="AK372" s="288" t="s">
        <v>2479</v>
      </c>
      <c r="AL372" s="303" t="s">
        <v>2190</v>
      </c>
      <c r="AM372" s="288" t="s">
        <v>1975</v>
      </c>
      <c r="AN372" s="207" t="b">
        <v>0</v>
      </c>
      <c r="AY372" s="288" t="s">
        <v>2479</v>
      </c>
      <c r="AZ372" s="288" t="s">
        <v>2479</v>
      </c>
      <c r="BA372" s="288" t="s">
        <v>373</v>
      </c>
      <c r="BB372" s="288" t="s">
        <v>1610</v>
      </c>
      <c r="BC372" s="288" t="s">
        <v>2192</v>
      </c>
    </row>
    <row r="373" spans="1:55" ht="45" customHeight="1">
      <c r="A373" s="271">
        <f t="shared" si="5"/>
        <v>372</v>
      </c>
      <c r="B373" s="284" t="s">
        <v>2469</v>
      </c>
      <c r="C373" s="270" t="s">
        <v>3766</v>
      </c>
      <c r="D373" s="270" t="s">
        <v>8</v>
      </c>
      <c r="E373" s="270" t="s">
        <v>9</v>
      </c>
      <c r="F373" s="270" t="s">
        <v>1771</v>
      </c>
      <c r="G373" s="302">
        <v>45072</v>
      </c>
      <c r="L373" s="270" t="s">
        <v>2479</v>
      </c>
      <c r="M373" s="270" t="s">
        <v>2479</v>
      </c>
      <c r="N373" s="272" t="s">
        <v>122</v>
      </c>
      <c r="O373" s="270" t="s">
        <v>2479</v>
      </c>
      <c r="P373" s="270" t="s">
        <v>1554</v>
      </c>
      <c r="Q373" s="270" t="s">
        <v>2198</v>
      </c>
      <c r="R373" s="306">
        <v>44932.46570601852</v>
      </c>
      <c r="S373" s="285">
        <v>2023</v>
      </c>
      <c r="T373" s="270" t="s">
        <v>2001</v>
      </c>
      <c r="U373" s="270" t="s">
        <v>678</v>
      </c>
      <c r="V373" s="270" t="s">
        <v>679</v>
      </c>
      <c r="W373" s="270" t="s">
        <v>145</v>
      </c>
      <c r="X373" s="270" t="s">
        <v>309</v>
      </c>
      <c r="Y373" s="273">
        <v>45078</v>
      </c>
      <c r="Z373" s="288" t="s">
        <v>1875</v>
      </c>
      <c r="AA373" s="288" t="s">
        <v>2479</v>
      </c>
      <c r="AB373" s="288" t="s">
        <v>139</v>
      </c>
      <c r="AC373" s="288" t="s">
        <v>1875</v>
      </c>
      <c r="AD373" s="288" t="s">
        <v>1805</v>
      </c>
      <c r="AE373" s="288" t="s">
        <v>1805</v>
      </c>
      <c r="AF373" s="288" t="s">
        <v>2479</v>
      </c>
      <c r="AG373" s="288" t="s">
        <v>2479</v>
      </c>
      <c r="AH373" s="288" t="s">
        <v>2479</v>
      </c>
      <c r="AI373" s="288" t="s">
        <v>2479</v>
      </c>
      <c r="AJ373" s="303" t="s">
        <v>2191</v>
      </c>
      <c r="AK373" s="288" t="s">
        <v>2479</v>
      </c>
      <c r="AL373" s="303" t="s">
        <v>2190</v>
      </c>
      <c r="AM373" s="288" t="s">
        <v>1975</v>
      </c>
      <c r="AN373" s="207" t="b">
        <v>0</v>
      </c>
      <c r="AY373" s="288" t="s">
        <v>2479</v>
      </c>
      <c r="AZ373" s="288" t="s">
        <v>2479</v>
      </c>
      <c r="BA373" s="288" t="s">
        <v>373</v>
      </c>
      <c r="BB373" s="288" t="s">
        <v>1610</v>
      </c>
      <c r="BC373" s="288" t="s">
        <v>2192</v>
      </c>
    </row>
    <row r="374" spans="1:55" ht="45" customHeight="1">
      <c r="A374" s="271">
        <f t="shared" si="5"/>
        <v>373</v>
      </c>
      <c r="B374" s="284" t="s">
        <v>2469</v>
      </c>
      <c r="C374" s="270" t="s">
        <v>3767</v>
      </c>
      <c r="D374" s="270" t="s">
        <v>8</v>
      </c>
      <c r="E374" s="270" t="s">
        <v>9</v>
      </c>
      <c r="F374" s="270" t="s">
        <v>1771</v>
      </c>
      <c r="G374" s="302">
        <v>45072</v>
      </c>
      <c r="L374" s="270" t="s">
        <v>2479</v>
      </c>
      <c r="M374" s="270" t="s">
        <v>2479</v>
      </c>
      <c r="N374" s="272" t="s">
        <v>122</v>
      </c>
      <c r="O374" s="270" t="s">
        <v>2479</v>
      </c>
      <c r="P374" s="270" t="s">
        <v>1554</v>
      </c>
      <c r="Q374" s="270" t="s">
        <v>2198</v>
      </c>
      <c r="R374" s="306">
        <v>44932.469398148147</v>
      </c>
      <c r="S374" s="285">
        <v>2023</v>
      </c>
      <c r="T374" s="270" t="s">
        <v>2001</v>
      </c>
      <c r="U374" s="270" t="s">
        <v>678</v>
      </c>
      <c r="V374" s="270" t="s">
        <v>679</v>
      </c>
      <c r="W374" s="270" t="s">
        <v>145</v>
      </c>
      <c r="X374" s="270" t="s">
        <v>309</v>
      </c>
      <c r="Y374" s="273">
        <v>45078</v>
      </c>
      <c r="Z374" s="288" t="s">
        <v>1875</v>
      </c>
      <c r="AA374" s="288" t="s">
        <v>2479</v>
      </c>
      <c r="AB374" s="288" t="s">
        <v>139</v>
      </c>
      <c r="AC374" s="288" t="s">
        <v>1875</v>
      </c>
      <c r="AD374" s="288" t="s">
        <v>1805</v>
      </c>
      <c r="AE374" s="288" t="s">
        <v>1805</v>
      </c>
      <c r="AF374" s="288" t="s">
        <v>2479</v>
      </c>
      <c r="AG374" s="288" t="s">
        <v>2479</v>
      </c>
      <c r="AH374" s="288" t="s">
        <v>2479</v>
      </c>
      <c r="AI374" s="288" t="s">
        <v>2479</v>
      </c>
      <c r="AJ374" s="303" t="s">
        <v>2191</v>
      </c>
      <c r="AK374" s="288" t="s">
        <v>2479</v>
      </c>
      <c r="AL374" s="303" t="s">
        <v>2190</v>
      </c>
      <c r="AM374" s="288" t="s">
        <v>1975</v>
      </c>
      <c r="AN374" s="207" t="b">
        <v>0</v>
      </c>
      <c r="AY374" s="288" t="s">
        <v>2479</v>
      </c>
      <c r="AZ374" s="288" t="s">
        <v>2479</v>
      </c>
      <c r="BA374" s="288" t="s">
        <v>373</v>
      </c>
      <c r="BB374" s="288" t="s">
        <v>1610</v>
      </c>
      <c r="BC374" s="288" t="s">
        <v>2192</v>
      </c>
    </row>
    <row r="375" spans="1:55" ht="45" customHeight="1">
      <c r="A375" s="271">
        <f t="shared" si="5"/>
        <v>374</v>
      </c>
      <c r="B375" s="284" t="s">
        <v>3768</v>
      </c>
      <c r="C375" s="270" t="s">
        <v>3769</v>
      </c>
      <c r="D375" s="270" t="s">
        <v>8</v>
      </c>
      <c r="E375" s="270" t="s">
        <v>9</v>
      </c>
      <c r="F375" s="270" t="s">
        <v>1771</v>
      </c>
      <c r="G375" s="302">
        <v>45073</v>
      </c>
      <c r="L375" s="270" t="s">
        <v>2479</v>
      </c>
      <c r="M375" s="270" t="s">
        <v>2479</v>
      </c>
      <c r="N375" s="272" t="s">
        <v>122</v>
      </c>
      <c r="O375" s="270" t="s">
        <v>2479</v>
      </c>
      <c r="P375" s="270" t="s">
        <v>1554</v>
      </c>
      <c r="Q375" s="270" t="s">
        <v>2198</v>
      </c>
      <c r="R375" s="306">
        <v>44932.469872685186</v>
      </c>
      <c r="S375" s="285">
        <v>2023</v>
      </c>
      <c r="T375" s="270" t="s">
        <v>2001</v>
      </c>
      <c r="U375" s="270" t="s">
        <v>678</v>
      </c>
      <c r="V375" s="270" t="s">
        <v>679</v>
      </c>
      <c r="W375" s="270" t="s">
        <v>145</v>
      </c>
      <c r="X375" s="270" t="s">
        <v>309</v>
      </c>
      <c r="Y375" s="273">
        <v>45078</v>
      </c>
      <c r="Z375" s="288" t="s">
        <v>1875</v>
      </c>
      <c r="AA375" s="288" t="s">
        <v>2479</v>
      </c>
      <c r="AB375" s="288" t="s">
        <v>139</v>
      </c>
      <c r="AC375" s="288" t="s">
        <v>1875</v>
      </c>
      <c r="AD375" s="288" t="s">
        <v>1805</v>
      </c>
      <c r="AE375" s="288" t="s">
        <v>1805</v>
      </c>
      <c r="AF375" s="288" t="s">
        <v>2479</v>
      </c>
      <c r="AG375" s="288" t="s">
        <v>2479</v>
      </c>
      <c r="AH375" s="288" t="s">
        <v>2479</v>
      </c>
      <c r="AI375" s="288" t="s">
        <v>2479</v>
      </c>
      <c r="AJ375" s="303" t="s">
        <v>2191</v>
      </c>
      <c r="AK375" s="288" t="s">
        <v>2479</v>
      </c>
      <c r="AL375" s="303" t="s">
        <v>2190</v>
      </c>
      <c r="AM375" s="288" t="s">
        <v>1975</v>
      </c>
      <c r="AN375" s="207" t="b">
        <v>0</v>
      </c>
      <c r="AY375" s="288" t="s">
        <v>2479</v>
      </c>
      <c r="AZ375" s="288" t="s">
        <v>2479</v>
      </c>
      <c r="BA375" s="288" t="s">
        <v>373</v>
      </c>
      <c r="BB375" s="288" t="s">
        <v>1610</v>
      </c>
      <c r="BC375" s="288" t="s">
        <v>2192</v>
      </c>
    </row>
    <row r="376" spans="1:55" ht="45" customHeight="1">
      <c r="A376" s="271">
        <f t="shared" si="5"/>
        <v>375</v>
      </c>
      <c r="B376" s="284" t="s">
        <v>2939</v>
      </c>
      <c r="C376" s="270" t="s">
        <v>3811</v>
      </c>
      <c r="D376" s="270" t="s">
        <v>8</v>
      </c>
      <c r="E376" s="270" t="s">
        <v>9</v>
      </c>
      <c r="F376" s="270" t="s">
        <v>1771</v>
      </c>
      <c r="G376" s="302">
        <v>45083</v>
      </c>
      <c r="L376" s="270" t="s">
        <v>2479</v>
      </c>
      <c r="M376" s="270" t="s">
        <v>2479</v>
      </c>
      <c r="N376" s="272" t="s">
        <v>122</v>
      </c>
      <c r="O376" s="270" t="s">
        <v>2479</v>
      </c>
      <c r="P376" s="270" t="s">
        <v>1555</v>
      </c>
      <c r="Q376" s="270" t="s">
        <v>2198</v>
      </c>
      <c r="R376" s="306">
        <v>44992.385289351849</v>
      </c>
      <c r="S376" s="285">
        <v>2023</v>
      </c>
      <c r="T376" s="270" t="s">
        <v>2001</v>
      </c>
      <c r="U376" s="270" t="s">
        <v>678</v>
      </c>
      <c r="V376" s="270" t="s">
        <v>679</v>
      </c>
      <c r="W376" s="270" t="s">
        <v>145</v>
      </c>
      <c r="X376" s="270" t="s">
        <v>309</v>
      </c>
      <c r="Y376" s="273">
        <v>45078</v>
      </c>
      <c r="Z376" s="288" t="s">
        <v>1875</v>
      </c>
      <c r="AA376" s="288" t="s">
        <v>2479</v>
      </c>
      <c r="AB376" s="288" t="s">
        <v>139</v>
      </c>
      <c r="AC376" s="288" t="s">
        <v>1875</v>
      </c>
      <c r="AD376" s="288" t="s">
        <v>1805</v>
      </c>
      <c r="AE376" s="288" t="s">
        <v>1805</v>
      </c>
      <c r="AF376" s="288" t="s">
        <v>2479</v>
      </c>
      <c r="AG376" s="288" t="s">
        <v>2479</v>
      </c>
      <c r="AH376" s="288" t="s">
        <v>2479</v>
      </c>
      <c r="AI376" s="288" t="s">
        <v>2479</v>
      </c>
      <c r="AJ376" s="303" t="s">
        <v>2191</v>
      </c>
      <c r="AK376" s="288" t="s">
        <v>2479</v>
      </c>
      <c r="AL376" s="303" t="s">
        <v>2190</v>
      </c>
      <c r="AM376" s="288" t="s">
        <v>1975</v>
      </c>
      <c r="AN376" s="207" t="b">
        <v>0</v>
      </c>
      <c r="AY376" s="288" t="s">
        <v>2479</v>
      </c>
      <c r="AZ376" s="288" t="s">
        <v>2479</v>
      </c>
      <c r="BA376" s="288" t="s">
        <v>373</v>
      </c>
      <c r="BB376" s="288" t="s">
        <v>139</v>
      </c>
      <c r="BC376" s="288" t="s">
        <v>2192</v>
      </c>
    </row>
    <row r="377" spans="1:55" ht="45" customHeight="1">
      <c r="A377" s="271">
        <f t="shared" si="5"/>
        <v>376</v>
      </c>
      <c r="B377" s="284" t="s">
        <v>2465</v>
      </c>
      <c r="C377" s="270" t="s">
        <v>3812</v>
      </c>
      <c r="D377" s="270" t="s">
        <v>8</v>
      </c>
      <c r="E377" s="270" t="s">
        <v>9</v>
      </c>
      <c r="F377" s="270" t="s">
        <v>1771</v>
      </c>
      <c r="G377" s="302">
        <v>45082</v>
      </c>
      <c r="K377" s="306">
        <v>45098</v>
      </c>
      <c r="L377" s="270" t="s">
        <v>2193</v>
      </c>
      <c r="M377" s="270" t="s">
        <v>115</v>
      </c>
      <c r="N377" s="272" t="s">
        <v>2479</v>
      </c>
      <c r="O377" s="270" t="s">
        <v>2479</v>
      </c>
      <c r="P377" s="270" t="s">
        <v>1555</v>
      </c>
      <c r="Q377" s="270" t="s">
        <v>2198</v>
      </c>
      <c r="R377" s="306">
        <v>44992.544328703705</v>
      </c>
      <c r="S377" s="285">
        <v>2023</v>
      </c>
      <c r="T377" s="270" t="s">
        <v>2194</v>
      </c>
      <c r="U377" s="270" t="s">
        <v>678</v>
      </c>
      <c r="V377" s="270" t="s">
        <v>679</v>
      </c>
      <c r="W377" s="270" t="s">
        <v>145</v>
      </c>
      <c r="X377" s="270" t="s">
        <v>309</v>
      </c>
      <c r="Y377" s="273">
        <v>45078</v>
      </c>
      <c r="Z377" s="288" t="s">
        <v>1875</v>
      </c>
      <c r="AA377" s="288" t="s">
        <v>2479</v>
      </c>
      <c r="AB377" s="288" t="s">
        <v>139</v>
      </c>
      <c r="AC377" s="288" t="s">
        <v>1875</v>
      </c>
      <c r="AD377" s="288" t="s">
        <v>1805</v>
      </c>
      <c r="AE377" s="288" t="s">
        <v>1805</v>
      </c>
      <c r="AF377" s="288" t="s">
        <v>2479</v>
      </c>
      <c r="AG377" s="288" t="s">
        <v>2479</v>
      </c>
      <c r="AH377" s="288" t="s">
        <v>2479</v>
      </c>
      <c r="AI377" s="288" t="s">
        <v>2479</v>
      </c>
      <c r="AJ377" s="303" t="s">
        <v>2191</v>
      </c>
      <c r="AK377" s="288" t="s">
        <v>2479</v>
      </c>
      <c r="AL377" s="303" t="s">
        <v>2190</v>
      </c>
      <c r="AM377" s="288" t="s">
        <v>1975</v>
      </c>
      <c r="AN377" s="207" t="b">
        <v>0</v>
      </c>
      <c r="AY377" s="288" t="s">
        <v>2479</v>
      </c>
      <c r="AZ377" s="288" t="s">
        <v>2479</v>
      </c>
      <c r="BA377" s="288" t="s">
        <v>373</v>
      </c>
      <c r="BB377" s="288" t="s">
        <v>139</v>
      </c>
      <c r="BC377" s="288" t="s">
        <v>2192</v>
      </c>
    </row>
    <row r="378" spans="1:55" ht="45" customHeight="1">
      <c r="A378" s="271">
        <f t="shared" si="5"/>
        <v>377</v>
      </c>
      <c r="B378" s="284" t="s">
        <v>2513</v>
      </c>
      <c r="C378" s="270" t="s">
        <v>3813</v>
      </c>
      <c r="D378" s="270" t="s">
        <v>8</v>
      </c>
      <c r="E378" s="270" t="s">
        <v>9</v>
      </c>
      <c r="F378" s="270" t="s">
        <v>1771</v>
      </c>
      <c r="G378" s="302">
        <v>45087</v>
      </c>
      <c r="L378" s="270" t="s">
        <v>2479</v>
      </c>
      <c r="M378" s="270" t="s">
        <v>2479</v>
      </c>
      <c r="N378" s="272" t="s">
        <v>122</v>
      </c>
      <c r="O378" s="270" t="s">
        <v>2479</v>
      </c>
      <c r="P378" s="270" t="s">
        <v>1555</v>
      </c>
      <c r="Q378" s="270" t="s">
        <v>2198</v>
      </c>
      <c r="R378" s="306">
        <v>44992.384641203702</v>
      </c>
      <c r="S378" s="285">
        <v>2023</v>
      </c>
      <c r="T378" s="270" t="s">
        <v>2001</v>
      </c>
      <c r="U378" s="270" t="s">
        <v>678</v>
      </c>
      <c r="V378" s="270" t="s">
        <v>679</v>
      </c>
      <c r="W378" s="270" t="s">
        <v>145</v>
      </c>
      <c r="X378" s="270" t="s">
        <v>309</v>
      </c>
      <c r="Y378" s="273">
        <v>45078</v>
      </c>
      <c r="Z378" s="288" t="s">
        <v>1875</v>
      </c>
      <c r="AA378" s="288" t="s">
        <v>2479</v>
      </c>
      <c r="AB378" s="288" t="s">
        <v>139</v>
      </c>
      <c r="AC378" s="288" t="s">
        <v>1875</v>
      </c>
      <c r="AD378" s="288" t="s">
        <v>1805</v>
      </c>
      <c r="AE378" s="288" t="s">
        <v>1805</v>
      </c>
      <c r="AF378" s="288" t="s">
        <v>2479</v>
      </c>
      <c r="AG378" s="288" t="s">
        <v>2479</v>
      </c>
      <c r="AH378" s="288" t="s">
        <v>2479</v>
      </c>
      <c r="AI378" s="288" t="s">
        <v>2479</v>
      </c>
      <c r="AJ378" s="303" t="s">
        <v>2191</v>
      </c>
      <c r="AK378" s="288" t="s">
        <v>2479</v>
      </c>
      <c r="AL378" s="303" t="s">
        <v>2190</v>
      </c>
      <c r="AM378" s="288" t="s">
        <v>1975</v>
      </c>
      <c r="AN378" s="207" t="b">
        <v>0</v>
      </c>
      <c r="AY378" s="288" t="s">
        <v>2479</v>
      </c>
      <c r="AZ378" s="288" t="s">
        <v>2479</v>
      </c>
      <c r="BA378" s="288" t="s">
        <v>373</v>
      </c>
      <c r="BB378" s="288" t="s">
        <v>139</v>
      </c>
      <c r="BC378" s="288" t="s">
        <v>2192</v>
      </c>
    </row>
    <row r="379" spans="1:55" ht="45" customHeight="1">
      <c r="A379" s="271">
        <f t="shared" si="5"/>
        <v>378</v>
      </c>
      <c r="B379" s="284" t="s">
        <v>2473</v>
      </c>
      <c r="C379" s="270" t="s">
        <v>3814</v>
      </c>
      <c r="D379" s="270" t="s">
        <v>8</v>
      </c>
      <c r="E379" s="270" t="s">
        <v>9</v>
      </c>
      <c r="F379" s="270" t="s">
        <v>1771</v>
      </c>
      <c r="G379" s="302">
        <v>45087</v>
      </c>
      <c r="L379" s="270" t="s">
        <v>2479</v>
      </c>
      <c r="M379" s="270" t="s">
        <v>2479</v>
      </c>
      <c r="N379" s="272" t="s">
        <v>122</v>
      </c>
      <c r="O379" s="270" t="s">
        <v>2479</v>
      </c>
      <c r="P379" s="270" t="s">
        <v>1555</v>
      </c>
      <c r="Q379" s="270" t="s">
        <v>2198</v>
      </c>
      <c r="R379" s="306">
        <v>44992.384340277778</v>
      </c>
      <c r="S379" s="285">
        <v>2023</v>
      </c>
      <c r="T379" s="270" t="s">
        <v>2001</v>
      </c>
      <c r="U379" s="270" t="s">
        <v>678</v>
      </c>
      <c r="V379" s="270" t="s">
        <v>679</v>
      </c>
      <c r="W379" s="270" t="s">
        <v>145</v>
      </c>
      <c r="X379" s="270" t="s">
        <v>309</v>
      </c>
      <c r="Y379" s="273">
        <v>45078</v>
      </c>
      <c r="Z379" s="288" t="s">
        <v>1875</v>
      </c>
      <c r="AA379" s="288" t="s">
        <v>2479</v>
      </c>
      <c r="AB379" s="288" t="s">
        <v>139</v>
      </c>
      <c r="AC379" s="288" t="s">
        <v>1875</v>
      </c>
      <c r="AD379" s="288" t="s">
        <v>1805</v>
      </c>
      <c r="AE379" s="288" t="s">
        <v>1805</v>
      </c>
      <c r="AF379" s="288" t="s">
        <v>2479</v>
      </c>
      <c r="AG379" s="288" t="s">
        <v>2479</v>
      </c>
      <c r="AH379" s="288" t="s">
        <v>2479</v>
      </c>
      <c r="AI379" s="288" t="s">
        <v>2479</v>
      </c>
      <c r="AJ379" s="303" t="s">
        <v>2191</v>
      </c>
      <c r="AK379" s="288" t="s">
        <v>2479</v>
      </c>
      <c r="AL379" s="303" t="s">
        <v>2190</v>
      </c>
      <c r="AM379" s="288" t="s">
        <v>1975</v>
      </c>
      <c r="AN379" s="207" t="b">
        <v>0</v>
      </c>
      <c r="AY379" s="288" t="s">
        <v>2479</v>
      </c>
      <c r="AZ379" s="288" t="s">
        <v>2479</v>
      </c>
      <c r="BA379" s="288" t="s">
        <v>373</v>
      </c>
      <c r="BB379" s="288" t="s">
        <v>139</v>
      </c>
      <c r="BC379" s="288" t="s">
        <v>2192</v>
      </c>
    </row>
    <row r="380" spans="1:55" ht="45" customHeight="1">
      <c r="A380" s="271">
        <f t="shared" si="5"/>
        <v>379</v>
      </c>
      <c r="B380" s="284" t="s">
        <v>3815</v>
      </c>
      <c r="C380" s="270" t="s">
        <v>3816</v>
      </c>
      <c r="D380" s="270" t="s">
        <v>8</v>
      </c>
      <c r="E380" s="270" t="s">
        <v>9</v>
      </c>
      <c r="F380" s="270" t="s">
        <v>1771</v>
      </c>
      <c r="G380" s="302">
        <v>45090</v>
      </c>
      <c r="L380" s="270" t="s">
        <v>2479</v>
      </c>
      <c r="M380" s="270" t="s">
        <v>2479</v>
      </c>
      <c r="N380" s="272" t="s">
        <v>122</v>
      </c>
      <c r="O380" s="270" t="s">
        <v>2479</v>
      </c>
      <c r="P380" s="270" t="s">
        <v>1555</v>
      </c>
      <c r="Q380" s="270" t="s">
        <v>2198</v>
      </c>
      <c r="R380" s="306">
        <v>44992.384027777778</v>
      </c>
      <c r="S380" s="285">
        <v>2023</v>
      </c>
      <c r="T380" s="270" t="s">
        <v>2001</v>
      </c>
      <c r="U380" s="270" t="s">
        <v>678</v>
      </c>
      <c r="V380" s="270" t="s">
        <v>679</v>
      </c>
      <c r="W380" s="270" t="s">
        <v>145</v>
      </c>
      <c r="X380" s="270" t="s">
        <v>309</v>
      </c>
      <c r="Y380" s="273">
        <v>45078</v>
      </c>
      <c r="Z380" s="288" t="s">
        <v>1875</v>
      </c>
      <c r="AA380" s="288" t="s">
        <v>2479</v>
      </c>
      <c r="AB380" s="288" t="s">
        <v>139</v>
      </c>
      <c r="AC380" s="288" t="s">
        <v>1875</v>
      </c>
      <c r="AD380" s="288" t="s">
        <v>1805</v>
      </c>
      <c r="AE380" s="288" t="s">
        <v>1805</v>
      </c>
      <c r="AF380" s="288" t="s">
        <v>2479</v>
      </c>
      <c r="AG380" s="288" t="s">
        <v>2479</v>
      </c>
      <c r="AH380" s="288" t="s">
        <v>2479</v>
      </c>
      <c r="AI380" s="288" t="s">
        <v>2479</v>
      </c>
      <c r="AJ380" s="303" t="s">
        <v>2191</v>
      </c>
      <c r="AK380" s="288" t="s">
        <v>2479</v>
      </c>
      <c r="AL380" s="303" t="s">
        <v>2190</v>
      </c>
      <c r="AM380" s="288" t="s">
        <v>1975</v>
      </c>
      <c r="AN380" s="207" t="b">
        <v>0</v>
      </c>
      <c r="AY380" s="288" t="s">
        <v>2479</v>
      </c>
      <c r="AZ380" s="288" t="s">
        <v>2479</v>
      </c>
      <c r="BA380" s="288" t="s">
        <v>373</v>
      </c>
      <c r="BB380" s="288" t="s">
        <v>139</v>
      </c>
      <c r="BC380" s="288" t="s">
        <v>2192</v>
      </c>
    </row>
    <row r="381" spans="1:55" ht="45" customHeight="1">
      <c r="A381" s="271">
        <f t="shared" si="5"/>
        <v>380</v>
      </c>
      <c r="B381" s="284" t="s">
        <v>2471</v>
      </c>
      <c r="C381" s="270" t="s">
        <v>3817</v>
      </c>
      <c r="D381" s="270" t="s">
        <v>8</v>
      </c>
      <c r="E381" s="270" t="s">
        <v>9</v>
      </c>
      <c r="F381" s="270" t="s">
        <v>1771</v>
      </c>
      <c r="G381" s="302">
        <v>45091</v>
      </c>
      <c r="L381" s="270" t="s">
        <v>2479</v>
      </c>
      <c r="M381" s="270" t="s">
        <v>2479</v>
      </c>
      <c r="N381" s="272" t="s">
        <v>122</v>
      </c>
      <c r="O381" s="270" t="s">
        <v>2479</v>
      </c>
      <c r="P381" s="270" t="s">
        <v>1555</v>
      </c>
      <c r="Q381" s="270" t="s">
        <v>2198</v>
      </c>
      <c r="R381" s="306">
        <v>44992.385844907411</v>
      </c>
      <c r="S381" s="285">
        <v>2023</v>
      </c>
      <c r="T381" s="270" t="s">
        <v>2001</v>
      </c>
      <c r="U381" s="270" t="s">
        <v>678</v>
      </c>
      <c r="V381" s="270" t="s">
        <v>679</v>
      </c>
      <c r="W381" s="270" t="s">
        <v>145</v>
      </c>
      <c r="X381" s="270" t="s">
        <v>309</v>
      </c>
      <c r="Y381" s="273">
        <v>45078</v>
      </c>
      <c r="Z381" s="288" t="s">
        <v>1875</v>
      </c>
      <c r="AA381" s="288" t="s">
        <v>2479</v>
      </c>
      <c r="AB381" s="288" t="s">
        <v>139</v>
      </c>
      <c r="AC381" s="288" t="s">
        <v>1875</v>
      </c>
      <c r="AD381" s="288" t="s">
        <v>1805</v>
      </c>
      <c r="AE381" s="288" t="s">
        <v>1805</v>
      </c>
      <c r="AF381" s="288" t="s">
        <v>2479</v>
      </c>
      <c r="AG381" s="288" t="s">
        <v>2479</v>
      </c>
      <c r="AH381" s="288" t="s">
        <v>2479</v>
      </c>
      <c r="AI381" s="288" t="s">
        <v>2479</v>
      </c>
      <c r="AJ381" s="303" t="s">
        <v>2191</v>
      </c>
      <c r="AK381" s="288" t="s">
        <v>2479</v>
      </c>
      <c r="AL381" s="303" t="s">
        <v>2190</v>
      </c>
      <c r="AM381" s="288" t="s">
        <v>1975</v>
      </c>
      <c r="AN381" s="207" t="b">
        <v>0</v>
      </c>
      <c r="AY381" s="288" t="s">
        <v>2479</v>
      </c>
      <c r="AZ381" s="288" t="s">
        <v>2479</v>
      </c>
      <c r="BA381" s="288" t="s">
        <v>373</v>
      </c>
      <c r="BB381" s="288" t="s">
        <v>139</v>
      </c>
      <c r="BC381" s="288" t="s">
        <v>2192</v>
      </c>
    </row>
    <row r="382" spans="1:55" ht="45" customHeight="1">
      <c r="A382" s="271">
        <f t="shared" si="5"/>
        <v>381</v>
      </c>
      <c r="B382" s="284" t="s">
        <v>3943</v>
      </c>
      <c r="C382" s="270" t="s">
        <v>3944</v>
      </c>
      <c r="D382" s="270" t="s">
        <v>8</v>
      </c>
      <c r="E382" s="270" t="s">
        <v>9</v>
      </c>
      <c r="F382" s="270" t="s">
        <v>1771</v>
      </c>
      <c r="G382" s="302">
        <v>44884</v>
      </c>
      <c r="I382" s="306">
        <v>45090</v>
      </c>
      <c r="J382" s="270" t="s">
        <v>2904</v>
      </c>
      <c r="L382" s="270" t="s">
        <v>2479</v>
      </c>
      <c r="M382" s="270" t="s">
        <v>2479</v>
      </c>
      <c r="N382" s="272" t="s">
        <v>122</v>
      </c>
      <c r="O382" s="270" t="s">
        <v>2479</v>
      </c>
      <c r="P382" s="270" t="s">
        <v>1556</v>
      </c>
      <c r="Q382" s="270" t="s">
        <v>2198</v>
      </c>
      <c r="R382" s="306">
        <v>44992.492777777778</v>
      </c>
      <c r="S382" s="285">
        <v>2022</v>
      </c>
      <c r="T382" s="270" t="s">
        <v>2001</v>
      </c>
      <c r="U382" s="270" t="s">
        <v>678</v>
      </c>
      <c r="V382" s="270" t="s">
        <v>679</v>
      </c>
      <c r="W382" s="270" t="s">
        <v>145</v>
      </c>
      <c r="X382" s="270" t="s">
        <v>309</v>
      </c>
      <c r="Y382" s="273">
        <v>45078</v>
      </c>
      <c r="Z382" s="288" t="s">
        <v>1875</v>
      </c>
      <c r="AA382" s="288" t="s">
        <v>2479</v>
      </c>
      <c r="AB382" s="288" t="s">
        <v>139</v>
      </c>
      <c r="AC382" s="288" t="s">
        <v>1875</v>
      </c>
      <c r="AD382" s="288" t="s">
        <v>1805</v>
      </c>
      <c r="AE382" s="288" t="s">
        <v>1805</v>
      </c>
      <c r="AF382" s="288" t="s">
        <v>2479</v>
      </c>
      <c r="AG382" s="288" t="s">
        <v>2479</v>
      </c>
      <c r="AH382" s="288" t="s">
        <v>2479</v>
      </c>
      <c r="AI382" s="288" t="s">
        <v>2479</v>
      </c>
      <c r="AJ382" s="303" t="s">
        <v>2191</v>
      </c>
      <c r="AK382" s="288" t="s">
        <v>2479</v>
      </c>
      <c r="AL382" s="303" t="s">
        <v>2190</v>
      </c>
      <c r="AM382" s="288" t="s">
        <v>1975</v>
      </c>
      <c r="AN382" s="207" t="b">
        <v>0</v>
      </c>
      <c r="AY382" s="288" t="s">
        <v>2479</v>
      </c>
      <c r="AZ382" s="288" t="s">
        <v>2479</v>
      </c>
      <c r="BA382" s="288" t="s">
        <v>373</v>
      </c>
      <c r="BB382" s="288" t="s">
        <v>139</v>
      </c>
      <c r="BC382" s="288" t="s">
        <v>2192</v>
      </c>
    </row>
    <row r="383" spans="1:55" ht="45" customHeight="1">
      <c r="A383" s="271">
        <f t="shared" si="5"/>
        <v>382</v>
      </c>
      <c r="B383" s="284" t="s">
        <v>3154</v>
      </c>
      <c r="C383" s="270" t="s">
        <v>3957</v>
      </c>
      <c r="D383" s="270" t="s">
        <v>8</v>
      </c>
      <c r="E383" s="270" t="s">
        <v>9</v>
      </c>
      <c r="F383" s="270" t="s">
        <v>1771</v>
      </c>
      <c r="G383" s="302">
        <v>45099</v>
      </c>
      <c r="L383" s="270" t="s">
        <v>2479</v>
      </c>
      <c r="M383" s="270" t="s">
        <v>2479</v>
      </c>
      <c r="N383" s="272" t="s">
        <v>122</v>
      </c>
      <c r="O383" s="270" t="s">
        <v>2479</v>
      </c>
      <c r="P383" s="270" t="s">
        <v>1555</v>
      </c>
      <c r="Q383" s="270" t="s">
        <v>2198</v>
      </c>
      <c r="R383" s="306">
        <v>44992.524525462963</v>
      </c>
      <c r="S383" s="285">
        <v>2023</v>
      </c>
      <c r="T383" s="270" t="s">
        <v>2001</v>
      </c>
      <c r="U383" s="270" t="s">
        <v>678</v>
      </c>
      <c r="V383" s="270" t="s">
        <v>679</v>
      </c>
      <c r="W383" s="270" t="s">
        <v>145</v>
      </c>
      <c r="X383" s="270" t="s">
        <v>309</v>
      </c>
      <c r="Y383" s="273">
        <v>45078</v>
      </c>
      <c r="Z383" s="288" t="s">
        <v>1875</v>
      </c>
      <c r="AA383" s="288" t="s">
        <v>2479</v>
      </c>
      <c r="AB383" s="288" t="s">
        <v>139</v>
      </c>
      <c r="AC383" s="288" t="s">
        <v>1875</v>
      </c>
      <c r="AD383" s="288" t="s">
        <v>1805</v>
      </c>
      <c r="AE383" s="288" t="s">
        <v>1805</v>
      </c>
      <c r="AF383" s="288" t="s">
        <v>2479</v>
      </c>
      <c r="AG383" s="288" t="s">
        <v>2479</v>
      </c>
      <c r="AH383" s="288" t="s">
        <v>2479</v>
      </c>
      <c r="AI383" s="288" t="s">
        <v>2479</v>
      </c>
      <c r="AJ383" s="303" t="s">
        <v>2191</v>
      </c>
      <c r="AK383" s="288" t="s">
        <v>2479</v>
      </c>
      <c r="AL383" s="303" t="s">
        <v>2190</v>
      </c>
      <c r="AM383" s="288" t="s">
        <v>1975</v>
      </c>
      <c r="AN383" s="207" t="b">
        <v>0</v>
      </c>
      <c r="AY383" s="288" t="s">
        <v>2479</v>
      </c>
      <c r="AZ383" s="288" t="s">
        <v>2479</v>
      </c>
      <c r="BA383" s="288" t="s">
        <v>373</v>
      </c>
      <c r="BB383" s="288" t="s">
        <v>139</v>
      </c>
      <c r="BC383" s="288" t="s">
        <v>2192</v>
      </c>
    </row>
    <row r="384" spans="1:55" ht="45" customHeight="1">
      <c r="A384" s="271">
        <f t="shared" si="5"/>
        <v>383</v>
      </c>
      <c r="B384" s="284" t="s">
        <v>3958</v>
      </c>
      <c r="C384" s="270" t="s">
        <v>3959</v>
      </c>
      <c r="D384" s="270" t="s">
        <v>8</v>
      </c>
      <c r="E384" s="270" t="s">
        <v>9</v>
      </c>
      <c r="F384" s="270" t="s">
        <v>1771</v>
      </c>
      <c r="G384" s="302">
        <v>45099</v>
      </c>
      <c r="L384" s="270" t="s">
        <v>2479</v>
      </c>
      <c r="M384" s="270" t="s">
        <v>2479</v>
      </c>
      <c r="N384" s="272" t="s">
        <v>122</v>
      </c>
      <c r="O384" s="270" t="s">
        <v>2479</v>
      </c>
      <c r="P384" s="270" t="s">
        <v>1555</v>
      </c>
      <c r="Q384" s="270" t="s">
        <v>2198</v>
      </c>
      <c r="R384" s="306">
        <v>44992.525046296294</v>
      </c>
      <c r="S384" s="285">
        <v>2023</v>
      </c>
      <c r="T384" s="270" t="s">
        <v>2001</v>
      </c>
      <c r="U384" s="270" t="s">
        <v>678</v>
      </c>
      <c r="V384" s="270" t="s">
        <v>679</v>
      </c>
      <c r="W384" s="270" t="s">
        <v>145</v>
      </c>
      <c r="X384" s="270" t="s">
        <v>309</v>
      </c>
      <c r="Y384" s="273">
        <v>45078</v>
      </c>
      <c r="Z384" s="288" t="s">
        <v>1875</v>
      </c>
      <c r="AA384" s="288" t="s">
        <v>2479</v>
      </c>
      <c r="AB384" s="288" t="s">
        <v>139</v>
      </c>
      <c r="AC384" s="288" t="s">
        <v>1875</v>
      </c>
      <c r="AD384" s="288" t="s">
        <v>1805</v>
      </c>
      <c r="AE384" s="288" t="s">
        <v>1805</v>
      </c>
      <c r="AF384" s="288" t="s">
        <v>2479</v>
      </c>
      <c r="AG384" s="288" t="s">
        <v>2479</v>
      </c>
      <c r="AH384" s="288" t="s">
        <v>2479</v>
      </c>
      <c r="AI384" s="288" t="s">
        <v>2479</v>
      </c>
      <c r="AJ384" s="303" t="s">
        <v>2191</v>
      </c>
      <c r="AK384" s="288" t="s">
        <v>2479</v>
      </c>
      <c r="AL384" s="303" t="s">
        <v>2190</v>
      </c>
      <c r="AM384" s="288" t="s">
        <v>1975</v>
      </c>
      <c r="AN384" s="207" t="b">
        <v>0</v>
      </c>
      <c r="AY384" s="288" t="s">
        <v>2479</v>
      </c>
      <c r="AZ384" s="288" t="s">
        <v>2479</v>
      </c>
      <c r="BA384" s="288" t="s">
        <v>373</v>
      </c>
      <c r="BB384" s="288" t="s">
        <v>139</v>
      </c>
      <c r="BC384" s="288" t="s">
        <v>2192</v>
      </c>
    </row>
    <row r="385" spans="1:55" ht="45" customHeight="1">
      <c r="A385" s="271">
        <f t="shared" ref="A385:A448" si="6">ROW()-1</f>
        <v>384</v>
      </c>
      <c r="B385" s="284" t="s">
        <v>3960</v>
      </c>
      <c r="C385" s="270" t="s">
        <v>3796</v>
      </c>
      <c r="D385" s="270" t="s">
        <v>8</v>
      </c>
      <c r="E385" s="270" t="s">
        <v>9</v>
      </c>
      <c r="F385" s="270" t="s">
        <v>1771</v>
      </c>
      <c r="G385" s="302">
        <v>45098</v>
      </c>
      <c r="L385" s="270" t="s">
        <v>2479</v>
      </c>
      <c r="M385" s="270" t="s">
        <v>2479</v>
      </c>
      <c r="N385" s="272" t="s">
        <v>122</v>
      </c>
      <c r="O385" s="270" t="s">
        <v>2479</v>
      </c>
      <c r="P385" s="270" t="s">
        <v>1555</v>
      </c>
      <c r="Q385" s="270" t="s">
        <v>2198</v>
      </c>
      <c r="R385" s="306">
        <v>44992.525555555556</v>
      </c>
      <c r="S385" s="285">
        <v>2023</v>
      </c>
      <c r="T385" s="270" t="s">
        <v>2001</v>
      </c>
      <c r="U385" s="270" t="s">
        <v>678</v>
      </c>
      <c r="V385" s="270" t="s">
        <v>679</v>
      </c>
      <c r="W385" s="270" t="s">
        <v>145</v>
      </c>
      <c r="X385" s="270" t="s">
        <v>309</v>
      </c>
      <c r="Y385" s="273">
        <v>45078</v>
      </c>
      <c r="Z385" s="288" t="s">
        <v>1875</v>
      </c>
      <c r="AA385" s="288" t="s">
        <v>2479</v>
      </c>
      <c r="AB385" s="288" t="s">
        <v>139</v>
      </c>
      <c r="AC385" s="288" t="s">
        <v>1875</v>
      </c>
      <c r="AD385" s="288" t="s">
        <v>1805</v>
      </c>
      <c r="AE385" s="288" t="s">
        <v>1805</v>
      </c>
      <c r="AF385" s="288" t="s">
        <v>2479</v>
      </c>
      <c r="AG385" s="288" t="s">
        <v>2479</v>
      </c>
      <c r="AH385" s="288" t="s">
        <v>2479</v>
      </c>
      <c r="AI385" s="288" t="s">
        <v>2479</v>
      </c>
      <c r="AJ385" s="303" t="s">
        <v>2191</v>
      </c>
      <c r="AK385" s="288" t="s">
        <v>2479</v>
      </c>
      <c r="AL385" s="303" t="s">
        <v>2190</v>
      </c>
      <c r="AM385" s="288" t="s">
        <v>1975</v>
      </c>
      <c r="AN385" s="207" t="b">
        <v>0</v>
      </c>
      <c r="AY385" s="288" t="s">
        <v>2479</v>
      </c>
      <c r="AZ385" s="288" t="s">
        <v>2479</v>
      </c>
      <c r="BA385" s="288" t="s">
        <v>373</v>
      </c>
      <c r="BB385" s="288" t="s">
        <v>139</v>
      </c>
      <c r="BC385" s="288" t="s">
        <v>2192</v>
      </c>
    </row>
    <row r="386" spans="1:55" ht="45" customHeight="1">
      <c r="A386" s="271">
        <f t="shared" si="6"/>
        <v>385</v>
      </c>
      <c r="B386" s="284" t="s">
        <v>3145</v>
      </c>
      <c r="C386" s="270" t="s">
        <v>3961</v>
      </c>
      <c r="D386" s="270" t="s">
        <v>8</v>
      </c>
      <c r="E386" s="270" t="s">
        <v>9</v>
      </c>
      <c r="F386" s="270" t="s">
        <v>1771</v>
      </c>
      <c r="G386" s="302">
        <v>45097</v>
      </c>
      <c r="L386" s="270" t="s">
        <v>2479</v>
      </c>
      <c r="M386" s="270" t="s">
        <v>2479</v>
      </c>
      <c r="N386" s="272" t="s">
        <v>122</v>
      </c>
      <c r="O386" s="270" t="s">
        <v>2479</v>
      </c>
      <c r="P386" s="270" t="s">
        <v>1555</v>
      </c>
      <c r="Q386" s="270" t="s">
        <v>2198</v>
      </c>
      <c r="R386" s="306">
        <v>44992.526053240741</v>
      </c>
      <c r="S386" s="285">
        <v>2023</v>
      </c>
      <c r="T386" s="270" t="s">
        <v>2001</v>
      </c>
      <c r="U386" s="270" t="s">
        <v>678</v>
      </c>
      <c r="V386" s="270" t="s">
        <v>679</v>
      </c>
      <c r="W386" s="270" t="s">
        <v>145</v>
      </c>
      <c r="X386" s="270" t="s">
        <v>309</v>
      </c>
      <c r="Y386" s="273">
        <v>45078</v>
      </c>
      <c r="Z386" s="288" t="s">
        <v>1875</v>
      </c>
      <c r="AA386" s="288" t="s">
        <v>2479</v>
      </c>
      <c r="AB386" s="288" t="s">
        <v>139</v>
      </c>
      <c r="AC386" s="288" t="s">
        <v>1875</v>
      </c>
      <c r="AD386" s="288" t="s">
        <v>1805</v>
      </c>
      <c r="AE386" s="288" t="s">
        <v>1805</v>
      </c>
      <c r="AF386" s="288" t="s">
        <v>2479</v>
      </c>
      <c r="AG386" s="288" t="s">
        <v>2479</v>
      </c>
      <c r="AH386" s="288" t="s">
        <v>2479</v>
      </c>
      <c r="AI386" s="288" t="s">
        <v>2479</v>
      </c>
      <c r="AJ386" s="303" t="s">
        <v>2191</v>
      </c>
      <c r="AK386" s="288" t="s">
        <v>2479</v>
      </c>
      <c r="AL386" s="303" t="s">
        <v>2190</v>
      </c>
      <c r="AM386" s="288" t="s">
        <v>1975</v>
      </c>
      <c r="AN386" s="207" t="b">
        <v>0</v>
      </c>
      <c r="AY386" s="288" t="s">
        <v>2479</v>
      </c>
      <c r="AZ386" s="288" t="s">
        <v>2479</v>
      </c>
      <c r="BA386" s="288" t="s">
        <v>373</v>
      </c>
      <c r="BB386" s="288" t="s">
        <v>139</v>
      </c>
      <c r="BC386" s="288" t="s">
        <v>2192</v>
      </c>
    </row>
    <row r="387" spans="1:55" ht="45" customHeight="1">
      <c r="A387" s="271">
        <f t="shared" si="6"/>
        <v>386</v>
      </c>
      <c r="B387" s="284" t="s">
        <v>2554</v>
      </c>
      <c r="C387" s="270" t="s">
        <v>2555</v>
      </c>
      <c r="D387" s="270" t="s">
        <v>8</v>
      </c>
      <c r="E387" s="270" t="s">
        <v>9</v>
      </c>
      <c r="F387" s="270" t="s">
        <v>1773</v>
      </c>
      <c r="G387" s="302">
        <v>44325</v>
      </c>
      <c r="L387" s="270" t="s">
        <v>2479</v>
      </c>
      <c r="M387" s="270" t="s">
        <v>2479</v>
      </c>
      <c r="N387" s="272" t="s">
        <v>122</v>
      </c>
      <c r="O387" s="270" t="s">
        <v>2479</v>
      </c>
      <c r="P387" s="270" t="s">
        <v>1554</v>
      </c>
      <c r="Q387" s="270" t="s">
        <v>2198</v>
      </c>
      <c r="R387" s="306">
        <v>44571.636145833334</v>
      </c>
      <c r="S387" s="285">
        <v>2021</v>
      </c>
      <c r="T387" s="270" t="s">
        <v>2001</v>
      </c>
      <c r="U387" s="270" t="s">
        <v>678</v>
      </c>
      <c r="V387" s="270" t="s">
        <v>679</v>
      </c>
      <c r="W387" s="270" t="s">
        <v>145</v>
      </c>
      <c r="X387" s="270" t="s">
        <v>309</v>
      </c>
      <c r="Y387" s="273">
        <v>45078</v>
      </c>
      <c r="Z387" s="288" t="s">
        <v>1875</v>
      </c>
      <c r="AA387" s="288" t="s">
        <v>2479</v>
      </c>
      <c r="AB387" s="288" t="s">
        <v>139</v>
      </c>
      <c r="AC387" s="288" t="s">
        <v>1875</v>
      </c>
      <c r="AD387" s="288" t="s">
        <v>1805</v>
      </c>
      <c r="AE387" s="288" t="s">
        <v>1805</v>
      </c>
      <c r="AF387" s="288" t="s">
        <v>2479</v>
      </c>
      <c r="AG387" s="288" t="s">
        <v>2479</v>
      </c>
      <c r="AH387" s="288" t="s">
        <v>2479</v>
      </c>
      <c r="AI387" s="288" t="s">
        <v>2479</v>
      </c>
      <c r="AJ387" s="303" t="s">
        <v>2191</v>
      </c>
      <c r="AK387" s="288" t="s">
        <v>2479</v>
      </c>
      <c r="AL387" s="303" t="s">
        <v>2190</v>
      </c>
      <c r="AM387" s="288" t="s">
        <v>1975</v>
      </c>
      <c r="AN387" s="207" t="b">
        <v>0</v>
      </c>
      <c r="AY387" s="288" t="s">
        <v>2479</v>
      </c>
      <c r="AZ387" s="288" t="s">
        <v>2479</v>
      </c>
      <c r="BA387" s="288" t="s">
        <v>373</v>
      </c>
      <c r="BB387" s="288" t="s">
        <v>1610</v>
      </c>
      <c r="BC387" s="288" t="s">
        <v>2192</v>
      </c>
    </row>
    <row r="388" spans="1:55" ht="45" customHeight="1">
      <c r="A388" s="271">
        <f t="shared" si="6"/>
        <v>387</v>
      </c>
      <c r="B388" s="284" t="s">
        <v>2559</v>
      </c>
      <c r="C388" s="270" t="s">
        <v>2560</v>
      </c>
      <c r="D388" s="270" t="s">
        <v>8</v>
      </c>
      <c r="E388" s="270" t="s">
        <v>9</v>
      </c>
      <c r="F388" s="270" t="s">
        <v>1773</v>
      </c>
      <c r="G388" s="302">
        <v>44460</v>
      </c>
      <c r="L388" s="270" t="s">
        <v>2479</v>
      </c>
      <c r="M388" s="270" t="s">
        <v>2479</v>
      </c>
      <c r="N388" s="272" t="s">
        <v>122</v>
      </c>
      <c r="O388" s="270" t="s">
        <v>2479</v>
      </c>
      <c r="P388" s="270" t="s">
        <v>1554</v>
      </c>
      <c r="Q388" s="270" t="s">
        <v>2198</v>
      </c>
      <c r="R388" s="306">
        <v>44571.639803240738</v>
      </c>
      <c r="S388" s="285">
        <v>2021</v>
      </c>
      <c r="T388" s="270" t="s">
        <v>2001</v>
      </c>
      <c r="U388" s="270" t="s">
        <v>678</v>
      </c>
      <c r="V388" s="270" t="s">
        <v>679</v>
      </c>
      <c r="W388" s="270" t="s">
        <v>145</v>
      </c>
      <c r="X388" s="270" t="s">
        <v>309</v>
      </c>
      <c r="Y388" s="273">
        <v>45078</v>
      </c>
      <c r="Z388" s="288" t="s">
        <v>1875</v>
      </c>
      <c r="AA388" s="288" t="s">
        <v>2479</v>
      </c>
      <c r="AB388" s="288" t="s">
        <v>139</v>
      </c>
      <c r="AC388" s="288" t="s">
        <v>1875</v>
      </c>
      <c r="AD388" s="288" t="s">
        <v>1805</v>
      </c>
      <c r="AE388" s="288" t="s">
        <v>1805</v>
      </c>
      <c r="AF388" s="288" t="s">
        <v>2479</v>
      </c>
      <c r="AG388" s="288" t="s">
        <v>2479</v>
      </c>
      <c r="AH388" s="288" t="s">
        <v>2479</v>
      </c>
      <c r="AI388" s="288" t="s">
        <v>2479</v>
      </c>
      <c r="AJ388" s="303" t="s">
        <v>2191</v>
      </c>
      <c r="AK388" s="288" t="s">
        <v>2479</v>
      </c>
      <c r="AL388" s="303" t="s">
        <v>2190</v>
      </c>
      <c r="AM388" s="288" t="s">
        <v>1975</v>
      </c>
      <c r="AN388" s="207" t="b">
        <v>0</v>
      </c>
      <c r="AY388" s="288" t="s">
        <v>2479</v>
      </c>
      <c r="AZ388" s="288" t="s">
        <v>2479</v>
      </c>
      <c r="BA388" s="288" t="s">
        <v>373</v>
      </c>
      <c r="BB388" s="288" t="s">
        <v>1610</v>
      </c>
      <c r="BC388" s="288" t="s">
        <v>2192</v>
      </c>
    </row>
    <row r="389" spans="1:55" ht="45" customHeight="1">
      <c r="A389" s="271">
        <f t="shared" si="6"/>
        <v>388</v>
      </c>
      <c r="B389" s="284" t="s">
        <v>2561</v>
      </c>
      <c r="C389" s="270" t="s">
        <v>2562</v>
      </c>
      <c r="D389" s="270" t="s">
        <v>8</v>
      </c>
      <c r="E389" s="270" t="s">
        <v>9</v>
      </c>
      <c r="F389" s="270" t="s">
        <v>1773</v>
      </c>
      <c r="G389" s="302">
        <v>44466</v>
      </c>
      <c r="L389" s="270" t="s">
        <v>2479</v>
      </c>
      <c r="M389" s="270" t="s">
        <v>2479</v>
      </c>
      <c r="N389" s="272" t="s">
        <v>122</v>
      </c>
      <c r="O389" s="270" t="s">
        <v>2479</v>
      </c>
      <c r="P389" s="270" t="s">
        <v>1554</v>
      </c>
      <c r="Q389" s="270" t="s">
        <v>2198</v>
      </c>
      <c r="R389" s="306">
        <v>44571.6403587963</v>
      </c>
      <c r="S389" s="285">
        <v>2021</v>
      </c>
      <c r="T389" s="270" t="s">
        <v>2001</v>
      </c>
      <c r="U389" s="270" t="s">
        <v>678</v>
      </c>
      <c r="V389" s="270" t="s">
        <v>679</v>
      </c>
      <c r="W389" s="270" t="s">
        <v>145</v>
      </c>
      <c r="X389" s="270" t="s">
        <v>309</v>
      </c>
      <c r="Y389" s="273">
        <v>45078</v>
      </c>
      <c r="Z389" s="288" t="s">
        <v>1875</v>
      </c>
      <c r="AA389" s="288" t="s">
        <v>2479</v>
      </c>
      <c r="AB389" s="288" t="s">
        <v>139</v>
      </c>
      <c r="AC389" s="288" t="s">
        <v>1875</v>
      </c>
      <c r="AD389" s="288" t="s">
        <v>1805</v>
      </c>
      <c r="AE389" s="288" t="s">
        <v>1805</v>
      </c>
      <c r="AF389" s="288" t="s">
        <v>2479</v>
      </c>
      <c r="AG389" s="288" t="s">
        <v>2479</v>
      </c>
      <c r="AH389" s="288" t="s">
        <v>2479</v>
      </c>
      <c r="AI389" s="288" t="s">
        <v>2479</v>
      </c>
      <c r="AJ389" s="303" t="s">
        <v>2191</v>
      </c>
      <c r="AK389" s="288" t="s">
        <v>2479</v>
      </c>
      <c r="AL389" s="303" t="s">
        <v>2190</v>
      </c>
      <c r="AM389" s="288" t="s">
        <v>1975</v>
      </c>
      <c r="AN389" s="207" t="b">
        <v>0</v>
      </c>
      <c r="AY389" s="288" t="s">
        <v>2479</v>
      </c>
      <c r="AZ389" s="288" t="s">
        <v>2479</v>
      </c>
      <c r="BA389" s="288" t="s">
        <v>373</v>
      </c>
      <c r="BB389" s="288" t="s">
        <v>1610</v>
      </c>
      <c r="BC389" s="288" t="s">
        <v>2192</v>
      </c>
    </row>
    <row r="390" spans="1:55" ht="45" customHeight="1">
      <c r="A390" s="271">
        <f t="shared" si="6"/>
        <v>389</v>
      </c>
      <c r="B390" s="284" t="s">
        <v>2563</v>
      </c>
      <c r="C390" s="270" t="s">
        <v>2564</v>
      </c>
      <c r="D390" s="270" t="s">
        <v>8</v>
      </c>
      <c r="E390" s="270" t="s">
        <v>9</v>
      </c>
      <c r="F390" s="270" t="s">
        <v>1773</v>
      </c>
      <c r="G390" s="302">
        <v>44602</v>
      </c>
      <c r="L390" s="270" t="s">
        <v>2479</v>
      </c>
      <c r="M390" s="270" t="s">
        <v>2479</v>
      </c>
      <c r="N390" s="272" t="s">
        <v>122</v>
      </c>
      <c r="O390" s="270" t="s">
        <v>2479</v>
      </c>
      <c r="P390" s="270" t="s">
        <v>1554</v>
      </c>
      <c r="Q390" s="270" t="s">
        <v>2198</v>
      </c>
      <c r="R390" s="306">
        <v>44571.641875000001</v>
      </c>
      <c r="S390" s="285">
        <v>2022</v>
      </c>
      <c r="T390" s="270" t="s">
        <v>2001</v>
      </c>
      <c r="U390" s="270" t="s">
        <v>678</v>
      </c>
      <c r="V390" s="270" t="s">
        <v>679</v>
      </c>
      <c r="W390" s="270" t="s">
        <v>145</v>
      </c>
      <c r="X390" s="270" t="s">
        <v>309</v>
      </c>
      <c r="Y390" s="273">
        <v>45078</v>
      </c>
      <c r="Z390" s="288" t="s">
        <v>1875</v>
      </c>
      <c r="AA390" s="288" t="s">
        <v>2479</v>
      </c>
      <c r="AB390" s="288" t="s">
        <v>139</v>
      </c>
      <c r="AC390" s="288" t="s">
        <v>1875</v>
      </c>
      <c r="AD390" s="288" t="s">
        <v>1805</v>
      </c>
      <c r="AE390" s="288" t="s">
        <v>1805</v>
      </c>
      <c r="AF390" s="288" t="s">
        <v>2479</v>
      </c>
      <c r="AG390" s="288" t="s">
        <v>2479</v>
      </c>
      <c r="AH390" s="288" t="s">
        <v>2479</v>
      </c>
      <c r="AI390" s="288" t="s">
        <v>2479</v>
      </c>
      <c r="AJ390" s="303" t="s">
        <v>2191</v>
      </c>
      <c r="AK390" s="288" t="s">
        <v>2479</v>
      </c>
      <c r="AL390" s="303" t="s">
        <v>2190</v>
      </c>
      <c r="AM390" s="288" t="s">
        <v>1975</v>
      </c>
      <c r="AN390" s="207" t="b">
        <v>0</v>
      </c>
      <c r="AY390" s="288" t="s">
        <v>2479</v>
      </c>
      <c r="AZ390" s="288" t="s">
        <v>2479</v>
      </c>
      <c r="BA390" s="288" t="s">
        <v>373</v>
      </c>
      <c r="BB390" s="288" t="s">
        <v>1610</v>
      </c>
      <c r="BC390" s="288" t="s">
        <v>2192</v>
      </c>
    </row>
    <row r="391" spans="1:55" ht="45" customHeight="1">
      <c r="A391" s="271">
        <f t="shared" si="6"/>
        <v>390</v>
      </c>
      <c r="B391" s="284" t="s">
        <v>2554</v>
      </c>
      <c r="C391" s="270" t="s">
        <v>2567</v>
      </c>
      <c r="D391" s="270" t="s">
        <v>8</v>
      </c>
      <c r="E391" s="270" t="s">
        <v>9</v>
      </c>
      <c r="F391" s="270" t="s">
        <v>1773</v>
      </c>
      <c r="G391" s="302">
        <v>44757</v>
      </c>
      <c r="L391" s="270" t="s">
        <v>2479</v>
      </c>
      <c r="M391" s="270" t="s">
        <v>2479</v>
      </c>
      <c r="N391" s="272" t="s">
        <v>122</v>
      </c>
      <c r="O391" s="270" t="s">
        <v>2479</v>
      </c>
      <c r="P391" s="270" t="s">
        <v>1554</v>
      </c>
      <c r="Q391" s="270" t="s">
        <v>2198</v>
      </c>
      <c r="R391" s="306">
        <v>44571.643275462964</v>
      </c>
      <c r="S391" s="285">
        <v>2022</v>
      </c>
      <c r="T391" s="270" t="s">
        <v>2001</v>
      </c>
      <c r="U391" s="270" t="s">
        <v>678</v>
      </c>
      <c r="V391" s="270" t="s">
        <v>679</v>
      </c>
      <c r="W391" s="270" t="s">
        <v>145</v>
      </c>
      <c r="X391" s="270" t="s">
        <v>309</v>
      </c>
      <c r="Y391" s="273">
        <v>45078</v>
      </c>
      <c r="Z391" s="288" t="s">
        <v>1875</v>
      </c>
      <c r="AA391" s="288" t="s">
        <v>2479</v>
      </c>
      <c r="AB391" s="288" t="s">
        <v>139</v>
      </c>
      <c r="AC391" s="288" t="s">
        <v>1875</v>
      </c>
      <c r="AD391" s="288" t="s">
        <v>1805</v>
      </c>
      <c r="AE391" s="288" t="s">
        <v>1805</v>
      </c>
      <c r="AF391" s="288" t="s">
        <v>2479</v>
      </c>
      <c r="AG391" s="288" t="s">
        <v>2479</v>
      </c>
      <c r="AH391" s="288" t="s">
        <v>2479</v>
      </c>
      <c r="AI391" s="288" t="s">
        <v>2479</v>
      </c>
      <c r="AJ391" s="303" t="s">
        <v>2191</v>
      </c>
      <c r="AK391" s="288" t="s">
        <v>2479</v>
      </c>
      <c r="AL391" s="303" t="s">
        <v>2190</v>
      </c>
      <c r="AM391" s="288" t="s">
        <v>1975</v>
      </c>
      <c r="AN391" s="207" t="b">
        <v>0</v>
      </c>
      <c r="AY391" s="288" t="s">
        <v>2479</v>
      </c>
      <c r="AZ391" s="288" t="s">
        <v>2479</v>
      </c>
      <c r="BA391" s="288" t="s">
        <v>373</v>
      </c>
      <c r="BB391" s="288" t="s">
        <v>1610</v>
      </c>
      <c r="BC391" s="288" t="s">
        <v>2192</v>
      </c>
    </row>
    <row r="392" spans="1:55" ht="45" customHeight="1">
      <c r="A392" s="271">
        <f t="shared" si="6"/>
        <v>391</v>
      </c>
      <c r="B392" s="276" t="s">
        <v>2563</v>
      </c>
      <c r="C392" s="277" t="s">
        <v>2919</v>
      </c>
      <c r="D392" s="277" t="s">
        <v>8</v>
      </c>
      <c r="E392" s="277" t="s">
        <v>9</v>
      </c>
      <c r="F392" s="277" t="s">
        <v>1773</v>
      </c>
      <c r="G392" s="307">
        <v>44835</v>
      </c>
      <c r="H392" s="308"/>
      <c r="I392" s="308"/>
      <c r="J392" s="277"/>
      <c r="K392" s="279"/>
      <c r="L392" s="277" t="s">
        <v>2479</v>
      </c>
      <c r="M392" s="277" t="s">
        <v>2479</v>
      </c>
      <c r="N392" s="277" t="s">
        <v>122</v>
      </c>
      <c r="O392" s="277" t="s">
        <v>2479</v>
      </c>
      <c r="P392" s="277" t="s">
        <v>1554</v>
      </c>
      <c r="Q392" s="277" t="s">
        <v>2198</v>
      </c>
      <c r="R392" s="279" t="s">
        <v>2920</v>
      </c>
      <c r="S392" s="286">
        <v>2022</v>
      </c>
      <c r="T392" s="277" t="s">
        <v>2001</v>
      </c>
      <c r="U392" s="277" t="s">
        <v>678</v>
      </c>
      <c r="V392" s="277" t="s">
        <v>679</v>
      </c>
      <c r="W392" s="277" t="s">
        <v>145</v>
      </c>
      <c r="X392" s="277" t="s">
        <v>309</v>
      </c>
      <c r="Y392" s="278">
        <v>45078</v>
      </c>
      <c r="Z392" s="287" t="s">
        <v>1875</v>
      </c>
      <c r="AA392" s="287" t="s">
        <v>2479</v>
      </c>
      <c r="AB392" s="287" t="s">
        <v>139</v>
      </c>
      <c r="AC392" s="287" t="s">
        <v>1875</v>
      </c>
      <c r="AD392" s="287" t="s">
        <v>1805</v>
      </c>
      <c r="AE392" s="287" t="s">
        <v>1805</v>
      </c>
      <c r="AF392" s="287" t="s">
        <v>2479</v>
      </c>
      <c r="AG392" s="287" t="s">
        <v>2479</v>
      </c>
      <c r="AH392" s="287" t="s">
        <v>2479</v>
      </c>
      <c r="AI392" s="287" t="s">
        <v>2479</v>
      </c>
      <c r="AJ392" s="304" t="s">
        <v>2191</v>
      </c>
      <c r="AK392" s="287" t="s">
        <v>2479</v>
      </c>
      <c r="AL392" s="304" t="s">
        <v>2190</v>
      </c>
      <c r="AM392" s="289" t="s">
        <v>1975</v>
      </c>
      <c r="AN392" s="281" t="b">
        <v>0</v>
      </c>
      <c r="AO392" s="305"/>
      <c r="AP392" s="291"/>
      <c r="AQ392" s="291"/>
      <c r="AR392" s="291"/>
      <c r="AS392" s="291"/>
      <c r="AT392" s="291"/>
      <c r="AU392" s="291"/>
      <c r="AV392" s="305"/>
      <c r="AW392" s="281"/>
      <c r="AX392" s="281"/>
      <c r="AY392" s="289" t="s">
        <v>2479</v>
      </c>
      <c r="AZ392" s="289" t="s">
        <v>2479</v>
      </c>
      <c r="BA392" s="289" t="s">
        <v>373</v>
      </c>
      <c r="BB392" s="289" t="s">
        <v>1610</v>
      </c>
      <c r="BC392" s="292" t="s">
        <v>2192</v>
      </c>
    </row>
    <row r="393" spans="1:55" ht="45" customHeight="1">
      <c r="A393" s="271">
        <f t="shared" si="6"/>
        <v>392</v>
      </c>
      <c r="B393" s="276" t="s">
        <v>2923</v>
      </c>
      <c r="C393" s="277" t="s">
        <v>2924</v>
      </c>
      <c r="D393" s="277" t="s">
        <v>8</v>
      </c>
      <c r="E393" s="277" t="s">
        <v>9</v>
      </c>
      <c r="F393" s="277" t="s">
        <v>1773</v>
      </c>
      <c r="G393" s="307">
        <v>44863</v>
      </c>
      <c r="H393" s="308"/>
      <c r="I393" s="308"/>
      <c r="J393" s="277"/>
      <c r="K393" s="279"/>
      <c r="L393" s="277" t="s">
        <v>2479</v>
      </c>
      <c r="M393" s="277" t="s">
        <v>2479</v>
      </c>
      <c r="N393" s="277" t="s">
        <v>122</v>
      </c>
      <c r="O393" s="277" t="s">
        <v>2479</v>
      </c>
      <c r="P393" s="277" t="s">
        <v>1554</v>
      </c>
      <c r="Q393" s="277" t="s">
        <v>2198</v>
      </c>
      <c r="R393" s="279" t="s">
        <v>2925</v>
      </c>
      <c r="S393" s="286">
        <v>2022</v>
      </c>
      <c r="T393" s="277" t="s">
        <v>2001</v>
      </c>
      <c r="U393" s="277" t="s">
        <v>678</v>
      </c>
      <c r="V393" s="277" t="s">
        <v>679</v>
      </c>
      <c r="W393" s="277" t="s">
        <v>145</v>
      </c>
      <c r="X393" s="277" t="s">
        <v>309</v>
      </c>
      <c r="Y393" s="278">
        <v>45078</v>
      </c>
      <c r="Z393" s="287" t="s">
        <v>1875</v>
      </c>
      <c r="AA393" s="287" t="s">
        <v>2479</v>
      </c>
      <c r="AB393" s="287" t="s">
        <v>139</v>
      </c>
      <c r="AC393" s="287" t="s">
        <v>1875</v>
      </c>
      <c r="AD393" s="287" t="s">
        <v>1805</v>
      </c>
      <c r="AE393" s="287" t="s">
        <v>1805</v>
      </c>
      <c r="AF393" s="287" t="s">
        <v>2479</v>
      </c>
      <c r="AG393" s="287" t="s">
        <v>2479</v>
      </c>
      <c r="AH393" s="287" t="s">
        <v>2479</v>
      </c>
      <c r="AI393" s="287" t="s">
        <v>2479</v>
      </c>
      <c r="AJ393" s="304" t="s">
        <v>2191</v>
      </c>
      <c r="AK393" s="287" t="s">
        <v>2479</v>
      </c>
      <c r="AL393" s="304" t="s">
        <v>2190</v>
      </c>
      <c r="AM393" s="289" t="s">
        <v>1975</v>
      </c>
      <c r="AN393" s="281" t="b">
        <v>0</v>
      </c>
      <c r="AO393" s="305"/>
      <c r="AP393" s="291"/>
      <c r="AQ393" s="291"/>
      <c r="AR393" s="291"/>
      <c r="AS393" s="291"/>
      <c r="AT393" s="291"/>
      <c r="AU393" s="291"/>
      <c r="AV393" s="305"/>
      <c r="AW393" s="281"/>
      <c r="AX393" s="281"/>
      <c r="AY393" s="289" t="s">
        <v>2479</v>
      </c>
      <c r="AZ393" s="289" t="s">
        <v>2479</v>
      </c>
      <c r="BA393" s="289" t="s">
        <v>373</v>
      </c>
      <c r="BB393" s="289" t="s">
        <v>1610</v>
      </c>
      <c r="BC393" s="292" t="s">
        <v>2192</v>
      </c>
    </row>
    <row r="394" spans="1:55" ht="45" customHeight="1">
      <c r="A394" s="271">
        <f t="shared" si="6"/>
        <v>393</v>
      </c>
      <c r="B394" s="276" t="s">
        <v>2559</v>
      </c>
      <c r="C394" s="277" t="s">
        <v>2926</v>
      </c>
      <c r="D394" s="277" t="s">
        <v>8</v>
      </c>
      <c r="E394" s="277" t="s">
        <v>9</v>
      </c>
      <c r="F394" s="277" t="s">
        <v>1773</v>
      </c>
      <c r="G394" s="308">
        <v>44865</v>
      </c>
      <c r="H394" s="308"/>
      <c r="I394" s="308"/>
      <c r="J394" s="277"/>
      <c r="K394" s="279">
        <v>45091</v>
      </c>
      <c r="L394" s="277" t="s">
        <v>2193</v>
      </c>
      <c r="M394" s="277" t="s">
        <v>114</v>
      </c>
      <c r="N394" s="277" t="s">
        <v>2479</v>
      </c>
      <c r="O394" s="277" t="s">
        <v>2479</v>
      </c>
      <c r="P394" s="277" t="s">
        <v>1554</v>
      </c>
      <c r="Q394" s="277" t="s">
        <v>2198</v>
      </c>
      <c r="R394" s="279">
        <v>44992.541921296295</v>
      </c>
      <c r="S394" s="286">
        <v>2022</v>
      </c>
      <c r="T394" s="277" t="s">
        <v>2194</v>
      </c>
      <c r="U394" s="277" t="s">
        <v>678</v>
      </c>
      <c r="V394" s="277" t="s">
        <v>679</v>
      </c>
      <c r="W394" s="277" t="s">
        <v>145</v>
      </c>
      <c r="X394" s="277" t="s">
        <v>309</v>
      </c>
      <c r="Y394" s="278">
        <v>45078</v>
      </c>
      <c r="Z394" s="287" t="s">
        <v>1875</v>
      </c>
      <c r="AA394" s="287" t="s">
        <v>2479</v>
      </c>
      <c r="AB394" s="287" t="s">
        <v>139</v>
      </c>
      <c r="AC394" s="287" t="s">
        <v>1875</v>
      </c>
      <c r="AD394" s="287" t="s">
        <v>1805</v>
      </c>
      <c r="AE394" s="287" t="s">
        <v>1805</v>
      </c>
      <c r="AF394" s="287" t="s">
        <v>2479</v>
      </c>
      <c r="AG394" s="287" t="s">
        <v>2479</v>
      </c>
      <c r="AH394" s="287" t="s">
        <v>2479</v>
      </c>
      <c r="AI394" s="287" t="s">
        <v>2479</v>
      </c>
      <c r="AJ394" s="304" t="s">
        <v>2191</v>
      </c>
      <c r="AK394" s="287" t="s">
        <v>2479</v>
      </c>
      <c r="AL394" s="304" t="s">
        <v>2190</v>
      </c>
      <c r="AM394" s="289" t="s">
        <v>1975</v>
      </c>
      <c r="AN394" s="281" t="b">
        <v>0</v>
      </c>
      <c r="AO394" s="305"/>
      <c r="AP394" s="291"/>
      <c r="AQ394" s="291"/>
      <c r="AR394" s="291"/>
      <c r="AS394" s="291"/>
      <c r="AT394" s="291"/>
      <c r="AU394" s="291"/>
      <c r="AV394" s="305"/>
      <c r="AW394" s="281"/>
      <c r="AX394" s="281"/>
      <c r="AY394" s="289" t="s">
        <v>2479</v>
      </c>
      <c r="AZ394" s="289" t="s">
        <v>2479</v>
      </c>
      <c r="BA394" s="289" t="s">
        <v>373</v>
      </c>
      <c r="BB394" s="289" t="s">
        <v>139</v>
      </c>
      <c r="BC394" s="292" t="s">
        <v>2192</v>
      </c>
    </row>
    <row r="395" spans="1:55" ht="45" customHeight="1">
      <c r="A395" s="271">
        <f t="shared" si="6"/>
        <v>394</v>
      </c>
      <c r="B395" s="284" t="s">
        <v>3242</v>
      </c>
      <c r="C395" s="270" t="s">
        <v>3243</v>
      </c>
      <c r="D395" s="270" t="s">
        <v>8</v>
      </c>
      <c r="E395" s="270" t="s">
        <v>9</v>
      </c>
      <c r="F395" s="270" t="s">
        <v>1773</v>
      </c>
      <c r="G395" s="302">
        <v>44914</v>
      </c>
      <c r="L395" s="270" t="s">
        <v>2479</v>
      </c>
      <c r="M395" s="270" t="s">
        <v>2479</v>
      </c>
      <c r="N395" s="272" t="s">
        <v>122</v>
      </c>
      <c r="O395" s="270" t="s">
        <v>2479</v>
      </c>
      <c r="P395" s="270" t="s">
        <v>1554</v>
      </c>
      <c r="Q395" s="270" t="s">
        <v>2198</v>
      </c>
      <c r="R395" s="306" t="s">
        <v>3244</v>
      </c>
      <c r="S395" s="285">
        <v>2022</v>
      </c>
      <c r="T395" s="270" t="s">
        <v>2001</v>
      </c>
      <c r="U395" s="270" t="s">
        <v>678</v>
      </c>
      <c r="V395" s="270" t="s">
        <v>679</v>
      </c>
      <c r="W395" s="270" t="s">
        <v>145</v>
      </c>
      <c r="X395" s="270" t="s">
        <v>309</v>
      </c>
      <c r="Y395" s="273">
        <v>45078</v>
      </c>
      <c r="Z395" s="288" t="s">
        <v>1875</v>
      </c>
      <c r="AA395" s="288" t="s">
        <v>2479</v>
      </c>
      <c r="AB395" s="288" t="s">
        <v>139</v>
      </c>
      <c r="AC395" s="288" t="s">
        <v>1875</v>
      </c>
      <c r="AD395" s="288" t="s">
        <v>1805</v>
      </c>
      <c r="AE395" s="288" t="s">
        <v>1805</v>
      </c>
      <c r="AF395" s="288" t="s">
        <v>2479</v>
      </c>
      <c r="AG395" s="288" t="s">
        <v>2479</v>
      </c>
      <c r="AH395" s="288" t="s">
        <v>2479</v>
      </c>
      <c r="AI395" s="288" t="s">
        <v>2479</v>
      </c>
      <c r="AJ395" s="303" t="s">
        <v>2191</v>
      </c>
      <c r="AK395" s="288" t="s">
        <v>2479</v>
      </c>
      <c r="AL395" s="303" t="s">
        <v>2190</v>
      </c>
      <c r="AM395" s="288" t="s">
        <v>1975</v>
      </c>
      <c r="AN395" s="207" t="b">
        <v>0</v>
      </c>
      <c r="AY395" s="288" t="s">
        <v>2479</v>
      </c>
      <c r="AZ395" s="288" t="s">
        <v>2479</v>
      </c>
      <c r="BA395" s="288" t="s">
        <v>373</v>
      </c>
      <c r="BB395" s="288" t="s">
        <v>1610</v>
      </c>
      <c r="BC395" s="288" t="s">
        <v>2192</v>
      </c>
    </row>
    <row r="396" spans="1:55" ht="45" customHeight="1">
      <c r="A396" s="271">
        <f t="shared" si="6"/>
        <v>395</v>
      </c>
      <c r="B396" s="284" t="s">
        <v>3245</v>
      </c>
      <c r="C396" s="270" t="s">
        <v>3246</v>
      </c>
      <c r="D396" s="270" t="s">
        <v>8</v>
      </c>
      <c r="E396" s="270" t="s">
        <v>9</v>
      </c>
      <c r="F396" s="270" t="s">
        <v>1773</v>
      </c>
      <c r="G396" s="302">
        <v>44916</v>
      </c>
      <c r="L396" s="270" t="s">
        <v>2479</v>
      </c>
      <c r="M396" s="270" t="s">
        <v>2479</v>
      </c>
      <c r="N396" s="272" t="s">
        <v>122</v>
      </c>
      <c r="O396" s="270" t="s">
        <v>2479</v>
      </c>
      <c r="P396" s="270" t="s">
        <v>1554</v>
      </c>
      <c r="Q396" s="270" t="s">
        <v>2198</v>
      </c>
      <c r="R396" s="306" t="s">
        <v>3247</v>
      </c>
      <c r="S396" s="285">
        <v>2022</v>
      </c>
      <c r="T396" s="270" t="s">
        <v>2001</v>
      </c>
      <c r="U396" s="270" t="s">
        <v>678</v>
      </c>
      <c r="V396" s="270" t="s">
        <v>679</v>
      </c>
      <c r="W396" s="270" t="s">
        <v>145</v>
      </c>
      <c r="X396" s="270" t="s">
        <v>309</v>
      </c>
      <c r="Y396" s="273">
        <v>45078</v>
      </c>
      <c r="Z396" s="288" t="s">
        <v>1875</v>
      </c>
      <c r="AA396" s="288" t="s">
        <v>2479</v>
      </c>
      <c r="AB396" s="288" t="s">
        <v>139</v>
      </c>
      <c r="AC396" s="288" t="s">
        <v>1875</v>
      </c>
      <c r="AD396" s="288" t="s">
        <v>1805</v>
      </c>
      <c r="AE396" s="288" t="s">
        <v>1805</v>
      </c>
      <c r="AF396" s="288" t="s">
        <v>2479</v>
      </c>
      <c r="AG396" s="288" t="s">
        <v>2479</v>
      </c>
      <c r="AH396" s="288" t="s">
        <v>2479</v>
      </c>
      <c r="AI396" s="288" t="s">
        <v>2479</v>
      </c>
      <c r="AJ396" s="303" t="s">
        <v>2191</v>
      </c>
      <c r="AK396" s="288" t="s">
        <v>2479</v>
      </c>
      <c r="AL396" s="303" t="s">
        <v>2190</v>
      </c>
      <c r="AM396" s="288" t="s">
        <v>1975</v>
      </c>
      <c r="AN396" s="207" t="b">
        <v>0</v>
      </c>
      <c r="AY396" s="288" t="s">
        <v>2479</v>
      </c>
      <c r="AZ396" s="288" t="s">
        <v>2479</v>
      </c>
      <c r="BA396" s="288" t="s">
        <v>373</v>
      </c>
      <c r="BB396" s="288" t="s">
        <v>1610</v>
      </c>
      <c r="BC396" s="288" t="s">
        <v>2192</v>
      </c>
    </row>
    <row r="397" spans="1:55" ht="45" customHeight="1">
      <c r="A397" s="271">
        <f t="shared" si="6"/>
        <v>396</v>
      </c>
      <c r="B397" s="284" t="s">
        <v>3248</v>
      </c>
      <c r="C397" s="270" t="s">
        <v>3249</v>
      </c>
      <c r="D397" s="270" t="s">
        <v>8</v>
      </c>
      <c r="E397" s="270" t="s">
        <v>9</v>
      </c>
      <c r="F397" s="270" t="s">
        <v>1773</v>
      </c>
      <c r="G397" s="302">
        <v>44916</v>
      </c>
      <c r="L397" s="270" t="s">
        <v>2479</v>
      </c>
      <c r="M397" s="270" t="s">
        <v>2479</v>
      </c>
      <c r="N397" s="272" t="s">
        <v>122</v>
      </c>
      <c r="O397" s="270" t="s">
        <v>2479</v>
      </c>
      <c r="P397" s="270" t="s">
        <v>1554</v>
      </c>
      <c r="Q397" s="270" t="s">
        <v>2198</v>
      </c>
      <c r="R397" s="306" t="s">
        <v>3250</v>
      </c>
      <c r="S397" s="285">
        <v>2022</v>
      </c>
      <c r="T397" s="270" t="s">
        <v>2001</v>
      </c>
      <c r="U397" s="270" t="s">
        <v>678</v>
      </c>
      <c r="V397" s="270" t="s">
        <v>679</v>
      </c>
      <c r="W397" s="270" t="s">
        <v>145</v>
      </c>
      <c r="X397" s="270" t="s">
        <v>309</v>
      </c>
      <c r="Y397" s="273">
        <v>45078</v>
      </c>
      <c r="Z397" s="288" t="s">
        <v>1875</v>
      </c>
      <c r="AA397" s="288" t="s">
        <v>2479</v>
      </c>
      <c r="AB397" s="288" t="s">
        <v>139</v>
      </c>
      <c r="AC397" s="288" t="s">
        <v>1875</v>
      </c>
      <c r="AD397" s="288" t="s">
        <v>1805</v>
      </c>
      <c r="AE397" s="288" t="s">
        <v>1805</v>
      </c>
      <c r="AF397" s="288" t="s">
        <v>2479</v>
      </c>
      <c r="AG397" s="288" t="s">
        <v>2479</v>
      </c>
      <c r="AH397" s="288" t="s">
        <v>2479</v>
      </c>
      <c r="AI397" s="288" t="s">
        <v>2479</v>
      </c>
      <c r="AJ397" s="303" t="s">
        <v>2191</v>
      </c>
      <c r="AK397" s="288" t="s">
        <v>2479</v>
      </c>
      <c r="AL397" s="303" t="s">
        <v>2190</v>
      </c>
      <c r="AM397" s="288" t="s">
        <v>1975</v>
      </c>
      <c r="AN397" s="207" t="b">
        <v>0</v>
      </c>
      <c r="AY397" s="288" t="s">
        <v>2479</v>
      </c>
      <c r="AZ397" s="288" t="s">
        <v>2479</v>
      </c>
      <c r="BA397" s="288" t="s">
        <v>373</v>
      </c>
      <c r="BB397" s="288" t="s">
        <v>1610</v>
      </c>
      <c r="BC397" s="288" t="s">
        <v>2192</v>
      </c>
    </row>
    <row r="398" spans="1:55" ht="45" customHeight="1">
      <c r="A398" s="271">
        <f t="shared" si="6"/>
        <v>397</v>
      </c>
      <c r="B398" s="284" t="s">
        <v>2802</v>
      </c>
      <c r="C398" s="270" t="s">
        <v>3473</v>
      </c>
      <c r="D398" s="270" t="s">
        <v>8</v>
      </c>
      <c r="E398" s="270" t="s">
        <v>9</v>
      </c>
      <c r="F398" s="270" t="s">
        <v>1773</v>
      </c>
      <c r="G398" s="302">
        <v>44967</v>
      </c>
      <c r="L398" s="270" t="s">
        <v>2479</v>
      </c>
      <c r="M398" s="270" t="s">
        <v>2479</v>
      </c>
      <c r="N398" s="272" t="s">
        <v>122</v>
      </c>
      <c r="O398" s="270" t="s">
        <v>2479</v>
      </c>
      <c r="P398" s="270" t="s">
        <v>1554</v>
      </c>
      <c r="Q398" s="270" t="s">
        <v>2198</v>
      </c>
      <c r="R398" s="306" t="s">
        <v>3474</v>
      </c>
      <c r="S398" s="285">
        <v>2023</v>
      </c>
      <c r="T398" s="270" t="s">
        <v>2001</v>
      </c>
      <c r="U398" s="270" t="s">
        <v>678</v>
      </c>
      <c r="V398" s="270" t="s">
        <v>679</v>
      </c>
      <c r="W398" s="270" t="s">
        <v>145</v>
      </c>
      <c r="X398" s="270" t="s">
        <v>309</v>
      </c>
      <c r="Y398" s="273">
        <v>45078</v>
      </c>
      <c r="Z398" s="288" t="s">
        <v>1875</v>
      </c>
      <c r="AA398" s="288" t="s">
        <v>2479</v>
      </c>
      <c r="AB398" s="288" t="s">
        <v>139</v>
      </c>
      <c r="AC398" s="288" t="s">
        <v>1875</v>
      </c>
      <c r="AD398" s="288" t="s">
        <v>1805</v>
      </c>
      <c r="AE398" s="288" t="s">
        <v>1805</v>
      </c>
      <c r="AF398" s="288" t="s">
        <v>2479</v>
      </c>
      <c r="AG398" s="288" t="s">
        <v>2479</v>
      </c>
      <c r="AH398" s="288" t="s">
        <v>2479</v>
      </c>
      <c r="AI398" s="288" t="s">
        <v>2479</v>
      </c>
      <c r="AJ398" s="303" t="s">
        <v>2191</v>
      </c>
      <c r="AK398" s="288" t="s">
        <v>2479</v>
      </c>
      <c r="AL398" s="303" t="s">
        <v>2190</v>
      </c>
      <c r="AM398" s="288" t="s">
        <v>1975</v>
      </c>
      <c r="AN398" s="207" t="b">
        <v>0</v>
      </c>
      <c r="AY398" s="288" t="s">
        <v>2479</v>
      </c>
      <c r="AZ398" s="288" t="s">
        <v>2479</v>
      </c>
      <c r="BA398" s="288" t="s">
        <v>373</v>
      </c>
      <c r="BB398" s="288" t="s">
        <v>1610</v>
      </c>
      <c r="BC398" s="288" t="s">
        <v>2192</v>
      </c>
    </row>
    <row r="399" spans="1:55" ht="45" customHeight="1">
      <c r="A399" s="271">
        <f t="shared" si="6"/>
        <v>398</v>
      </c>
      <c r="B399" s="284" t="s">
        <v>2921</v>
      </c>
      <c r="C399" s="270" t="s">
        <v>3475</v>
      </c>
      <c r="D399" s="270" t="s">
        <v>8</v>
      </c>
      <c r="E399" s="270" t="s">
        <v>9</v>
      </c>
      <c r="F399" s="270" t="s">
        <v>1773</v>
      </c>
      <c r="G399" s="302">
        <v>44971</v>
      </c>
      <c r="L399" s="270" t="s">
        <v>2479</v>
      </c>
      <c r="M399" s="270" t="s">
        <v>2479</v>
      </c>
      <c r="N399" s="272" t="s">
        <v>122</v>
      </c>
      <c r="O399" s="270" t="s">
        <v>2479</v>
      </c>
      <c r="P399" s="270" t="s">
        <v>1554</v>
      </c>
      <c r="Q399" s="270" t="s">
        <v>2198</v>
      </c>
      <c r="R399" s="306" t="s">
        <v>3476</v>
      </c>
      <c r="S399" s="285">
        <v>2023</v>
      </c>
      <c r="T399" s="270" t="s">
        <v>2001</v>
      </c>
      <c r="U399" s="270" t="s">
        <v>678</v>
      </c>
      <c r="V399" s="270" t="s">
        <v>679</v>
      </c>
      <c r="W399" s="270" t="s">
        <v>145</v>
      </c>
      <c r="X399" s="270" t="s">
        <v>309</v>
      </c>
      <c r="Y399" s="273">
        <v>45078</v>
      </c>
      <c r="Z399" s="288" t="s">
        <v>1875</v>
      </c>
      <c r="AA399" s="288" t="s">
        <v>2479</v>
      </c>
      <c r="AB399" s="288" t="s">
        <v>139</v>
      </c>
      <c r="AC399" s="288" t="s">
        <v>1875</v>
      </c>
      <c r="AD399" s="288" t="s">
        <v>1805</v>
      </c>
      <c r="AE399" s="288" t="s">
        <v>1805</v>
      </c>
      <c r="AF399" s="288" t="s">
        <v>2479</v>
      </c>
      <c r="AG399" s="288" t="s">
        <v>2479</v>
      </c>
      <c r="AH399" s="288" t="s">
        <v>2479</v>
      </c>
      <c r="AI399" s="288" t="s">
        <v>2479</v>
      </c>
      <c r="AJ399" s="303" t="s">
        <v>2191</v>
      </c>
      <c r="AK399" s="288" t="s">
        <v>2479</v>
      </c>
      <c r="AL399" s="303" t="s">
        <v>2190</v>
      </c>
      <c r="AM399" s="288" t="s">
        <v>1975</v>
      </c>
      <c r="AN399" s="207" t="b">
        <v>0</v>
      </c>
      <c r="AY399" s="288" t="s">
        <v>2479</v>
      </c>
      <c r="AZ399" s="288" t="s">
        <v>2479</v>
      </c>
      <c r="BA399" s="288" t="s">
        <v>373</v>
      </c>
      <c r="BB399" s="288" t="s">
        <v>1610</v>
      </c>
      <c r="BC399" s="288" t="s">
        <v>2192</v>
      </c>
    </row>
    <row r="400" spans="1:55" ht="45" customHeight="1">
      <c r="A400" s="271">
        <f t="shared" si="6"/>
        <v>399</v>
      </c>
      <c r="B400" s="284" t="s">
        <v>3568</v>
      </c>
      <c r="C400" s="270" t="s">
        <v>3569</v>
      </c>
      <c r="D400" s="270" t="s">
        <v>8</v>
      </c>
      <c r="E400" s="270" t="s">
        <v>9</v>
      </c>
      <c r="F400" s="270" t="s">
        <v>1773</v>
      </c>
      <c r="G400" s="302">
        <v>44993</v>
      </c>
      <c r="L400" s="270" t="s">
        <v>2479</v>
      </c>
      <c r="M400" s="270" t="s">
        <v>2479</v>
      </c>
      <c r="N400" s="272" t="s">
        <v>122</v>
      </c>
      <c r="O400" s="270" t="s">
        <v>2479</v>
      </c>
      <c r="P400" s="270" t="s">
        <v>1554</v>
      </c>
      <c r="Q400" s="270" t="s">
        <v>2198</v>
      </c>
      <c r="R400" s="306">
        <v>44930.432372685187</v>
      </c>
      <c r="S400" s="285">
        <v>2023</v>
      </c>
      <c r="T400" s="270" t="s">
        <v>2001</v>
      </c>
      <c r="U400" s="270" t="s">
        <v>678</v>
      </c>
      <c r="V400" s="270" t="s">
        <v>679</v>
      </c>
      <c r="W400" s="270" t="s">
        <v>145</v>
      </c>
      <c r="X400" s="270" t="s">
        <v>309</v>
      </c>
      <c r="Y400" s="273">
        <v>45078</v>
      </c>
      <c r="Z400" s="288" t="s">
        <v>1875</v>
      </c>
      <c r="AA400" s="288" t="s">
        <v>2479</v>
      </c>
      <c r="AB400" s="288" t="s">
        <v>139</v>
      </c>
      <c r="AC400" s="288" t="s">
        <v>1875</v>
      </c>
      <c r="AD400" s="288" t="s">
        <v>1805</v>
      </c>
      <c r="AE400" s="288" t="s">
        <v>1805</v>
      </c>
      <c r="AF400" s="288" t="s">
        <v>2479</v>
      </c>
      <c r="AG400" s="288" t="s">
        <v>2479</v>
      </c>
      <c r="AH400" s="288" t="s">
        <v>2479</v>
      </c>
      <c r="AI400" s="288" t="s">
        <v>2479</v>
      </c>
      <c r="AJ400" s="303" t="s">
        <v>2191</v>
      </c>
      <c r="AK400" s="288" t="s">
        <v>2479</v>
      </c>
      <c r="AL400" s="303" t="s">
        <v>2190</v>
      </c>
      <c r="AM400" s="288" t="s">
        <v>1975</v>
      </c>
      <c r="AN400" s="207" t="b">
        <v>0</v>
      </c>
      <c r="AY400" s="288" t="s">
        <v>2479</v>
      </c>
      <c r="AZ400" s="288" t="s">
        <v>2479</v>
      </c>
      <c r="BA400" s="288" t="s">
        <v>373</v>
      </c>
      <c r="BB400" s="288" t="s">
        <v>1610</v>
      </c>
      <c r="BC400" s="288" t="s">
        <v>2192</v>
      </c>
    </row>
    <row r="401" spans="1:55" ht="45" customHeight="1">
      <c r="A401" s="271">
        <f t="shared" si="6"/>
        <v>400</v>
      </c>
      <c r="B401" s="284" t="s">
        <v>2922</v>
      </c>
      <c r="C401" s="270" t="s">
        <v>3570</v>
      </c>
      <c r="D401" s="270" t="s">
        <v>8</v>
      </c>
      <c r="E401" s="270" t="s">
        <v>9</v>
      </c>
      <c r="F401" s="270" t="s">
        <v>1773</v>
      </c>
      <c r="G401" s="302">
        <v>44995</v>
      </c>
      <c r="L401" s="270" t="s">
        <v>2479</v>
      </c>
      <c r="M401" s="270" t="s">
        <v>2479</v>
      </c>
      <c r="N401" s="272" t="s">
        <v>122</v>
      </c>
      <c r="O401" s="270" t="s">
        <v>2479</v>
      </c>
      <c r="P401" s="270" t="s">
        <v>1554</v>
      </c>
      <c r="Q401" s="270" t="s">
        <v>2198</v>
      </c>
      <c r="R401" s="306">
        <v>44930.433078703703</v>
      </c>
      <c r="S401" s="285">
        <v>2023</v>
      </c>
      <c r="T401" s="270" t="s">
        <v>2001</v>
      </c>
      <c r="U401" s="270" t="s">
        <v>678</v>
      </c>
      <c r="V401" s="270" t="s">
        <v>679</v>
      </c>
      <c r="W401" s="270" t="s">
        <v>145</v>
      </c>
      <c r="X401" s="270" t="s">
        <v>309</v>
      </c>
      <c r="Y401" s="273">
        <v>45078</v>
      </c>
      <c r="Z401" s="288" t="s">
        <v>1875</v>
      </c>
      <c r="AA401" s="288" t="s">
        <v>2479</v>
      </c>
      <c r="AB401" s="288" t="s">
        <v>139</v>
      </c>
      <c r="AC401" s="288" t="s">
        <v>1875</v>
      </c>
      <c r="AD401" s="288" t="s">
        <v>1805</v>
      </c>
      <c r="AE401" s="288" t="s">
        <v>1805</v>
      </c>
      <c r="AF401" s="288" t="s">
        <v>2479</v>
      </c>
      <c r="AG401" s="288" t="s">
        <v>2479</v>
      </c>
      <c r="AH401" s="288" t="s">
        <v>2479</v>
      </c>
      <c r="AI401" s="288" t="s">
        <v>2479</v>
      </c>
      <c r="AJ401" s="303" t="s">
        <v>2191</v>
      </c>
      <c r="AK401" s="288" t="s">
        <v>2479</v>
      </c>
      <c r="AL401" s="303" t="s">
        <v>2190</v>
      </c>
      <c r="AM401" s="288" t="s">
        <v>1975</v>
      </c>
      <c r="AN401" s="207" t="b">
        <v>0</v>
      </c>
      <c r="AY401" s="288" t="s">
        <v>2479</v>
      </c>
      <c r="AZ401" s="288" t="s">
        <v>2479</v>
      </c>
      <c r="BA401" s="288" t="s">
        <v>373</v>
      </c>
      <c r="BB401" s="288" t="s">
        <v>1610</v>
      </c>
      <c r="BC401" s="288" t="s">
        <v>2192</v>
      </c>
    </row>
    <row r="402" spans="1:55" ht="45" customHeight="1">
      <c r="A402" s="271">
        <f>ROW()-1</f>
        <v>401</v>
      </c>
      <c r="B402" s="284" t="s">
        <v>3571</v>
      </c>
      <c r="C402" s="270" t="s">
        <v>3572</v>
      </c>
      <c r="D402" s="270" t="s">
        <v>8</v>
      </c>
      <c r="E402" s="270" t="s">
        <v>9</v>
      </c>
      <c r="F402" s="270" t="s">
        <v>1773</v>
      </c>
      <c r="G402" s="302">
        <v>45001</v>
      </c>
      <c r="K402" s="306">
        <v>45099</v>
      </c>
      <c r="L402" s="270" t="s">
        <v>2193</v>
      </c>
      <c r="M402" s="270" t="s">
        <v>114</v>
      </c>
      <c r="N402" s="272" t="s">
        <v>2479</v>
      </c>
      <c r="O402" s="270" t="s">
        <v>2479</v>
      </c>
      <c r="P402" s="270" t="s">
        <v>1554</v>
      </c>
      <c r="Q402" s="270" t="s">
        <v>2198</v>
      </c>
      <c r="R402" s="306">
        <v>44992.60864583333</v>
      </c>
      <c r="S402" s="285">
        <v>2023</v>
      </c>
      <c r="T402" s="270" t="s">
        <v>2194</v>
      </c>
      <c r="U402" s="270" t="s">
        <v>678</v>
      </c>
      <c r="V402" s="270" t="s">
        <v>679</v>
      </c>
      <c r="W402" s="270" t="s">
        <v>145</v>
      </c>
      <c r="X402" s="270" t="s">
        <v>309</v>
      </c>
      <c r="Y402" s="273">
        <v>45078</v>
      </c>
      <c r="Z402" s="288" t="s">
        <v>1875</v>
      </c>
      <c r="AA402" s="288" t="s">
        <v>2479</v>
      </c>
      <c r="AB402" s="288" t="s">
        <v>139</v>
      </c>
      <c r="AC402" s="288" t="s">
        <v>1875</v>
      </c>
      <c r="AD402" s="288" t="s">
        <v>1805</v>
      </c>
      <c r="AE402" s="288" t="s">
        <v>1805</v>
      </c>
      <c r="AF402" s="288" t="s">
        <v>2479</v>
      </c>
      <c r="AG402" s="288" t="s">
        <v>2479</v>
      </c>
      <c r="AH402" s="288" t="s">
        <v>2479</v>
      </c>
      <c r="AI402" s="288" t="s">
        <v>2479</v>
      </c>
      <c r="AJ402" s="303" t="s">
        <v>2191</v>
      </c>
      <c r="AK402" s="288" t="s">
        <v>2479</v>
      </c>
      <c r="AL402" s="303" t="s">
        <v>2190</v>
      </c>
      <c r="AM402" s="288" t="s">
        <v>1975</v>
      </c>
      <c r="AN402" s="207" t="b">
        <v>0</v>
      </c>
      <c r="AY402" s="288" t="s">
        <v>2479</v>
      </c>
      <c r="AZ402" s="288" t="s">
        <v>2479</v>
      </c>
      <c r="BA402" s="288" t="s">
        <v>373</v>
      </c>
      <c r="BB402" s="288" t="s">
        <v>139</v>
      </c>
      <c r="BC402" s="288" t="s">
        <v>2192</v>
      </c>
    </row>
    <row r="403" spans="1:55" ht="45" customHeight="1">
      <c r="A403" s="271">
        <f t="shared" si="6"/>
        <v>402</v>
      </c>
      <c r="B403" s="284" t="s">
        <v>2559</v>
      </c>
      <c r="C403" s="270" t="s">
        <v>3777</v>
      </c>
      <c r="D403" s="270" t="s">
        <v>8</v>
      </c>
      <c r="E403" s="270" t="s">
        <v>9</v>
      </c>
      <c r="F403" s="270" t="s">
        <v>1773</v>
      </c>
      <c r="G403" s="302">
        <v>45054</v>
      </c>
      <c r="K403" s="306">
        <v>45096</v>
      </c>
      <c r="L403" s="270" t="s">
        <v>2193</v>
      </c>
      <c r="M403" s="270" t="s">
        <v>114</v>
      </c>
      <c r="N403" s="272" t="s">
        <v>2479</v>
      </c>
      <c r="O403" s="270" t="s">
        <v>2479</v>
      </c>
      <c r="P403" s="270" t="s">
        <v>1554</v>
      </c>
      <c r="Q403" s="270" t="s">
        <v>2198</v>
      </c>
      <c r="R403" s="306">
        <v>44992.543229166666</v>
      </c>
      <c r="S403" s="285">
        <v>2023</v>
      </c>
      <c r="T403" s="270" t="s">
        <v>2194</v>
      </c>
      <c r="U403" s="270" t="s">
        <v>678</v>
      </c>
      <c r="V403" s="270" t="s">
        <v>679</v>
      </c>
      <c r="W403" s="270" t="s">
        <v>145</v>
      </c>
      <c r="X403" s="270" t="s">
        <v>309</v>
      </c>
      <c r="Y403" s="273">
        <v>45078</v>
      </c>
      <c r="Z403" s="288" t="s">
        <v>1875</v>
      </c>
      <c r="AA403" s="288" t="s">
        <v>2479</v>
      </c>
      <c r="AB403" s="288" t="s">
        <v>139</v>
      </c>
      <c r="AC403" s="288" t="s">
        <v>1875</v>
      </c>
      <c r="AD403" s="288" t="s">
        <v>1805</v>
      </c>
      <c r="AE403" s="288" t="s">
        <v>1805</v>
      </c>
      <c r="AF403" s="288" t="s">
        <v>2479</v>
      </c>
      <c r="AG403" s="288" t="s">
        <v>2479</v>
      </c>
      <c r="AH403" s="288" t="s">
        <v>2479</v>
      </c>
      <c r="AI403" s="288" t="s">
        <v>2479</v>
      </c>
      <c r="AJ403" s="303" t="s">
        <v>2191</v>
      </c>
      <c r="AK403" s="288" t="s">
        <v>2479</v>
      </c>
      <c r="AL403" s="303" t="s">
        <v>2190</v>
      </c>
      <c r="AM403" s="288" t="s">
        <v>1975</v>
      </c>
      <c r="AN403" s="207" t="b">
        <v>0</v>
      </c>
      <c r="AY403" s="288" t="s">
        <v>2479</v>
      </c>
      <c r="AZ403" s="288" t="s">
        <v>2479</v>
      </c>
      <c r="BA403" s="288" t="s">
        <v>373</v>
      </c>
      <c r="BB403" s="288" t="s">
        <v>139</v>
      </c>
      <c r="BC403" s="288" t="s">
        <v>2192</v>
      </c>
    </row>
    <row r="404" spans="1:55" ht="45" customHeight="1">
      <c r="A404" s="271">
        <f t="shared" si="6"/>
        <v>403</v>
      </c>
      <c r="B404" s="284" t="s">
        <v>3778</v>
      </c>
      <c r="C404" s="270" t="s">
        <v>3779</v>
      </c>
      <c r="D404" s="270" t="s">
        <v>8</v>
      </c>
      <c r="E404" s="270" t="s">
        <v>9</v>
      </c>
      <c r="F404" s="270" t="s">
        <v>1773</v>
      </c>
      <c r="G404" s="302">
        <v>45058</v>
      </c>
      <c r="L404" s="270" t="s">
        <v>2479</v>
      </c>
      <c r="M404" s="270" t="s">
        <v>2479</v>
      </c>
      <c r="N404" s="272" t="s">
        <v>122</v>
      </c>
      <c r="O404" s="270" t="s">
        <v>2479</v>
      </c>
      <c r="P404" s="270" t="s">
        <v>1554</v>
      </c>
      <c r="Q404" s="270" t="s">
        <v>2198</v>
      </c>
      <c r="R404" s="306">
        <v>44932.477060185185</v>
      </c>
      <c r="S404" s="285">
        <v>2023</v>
      </c>
      <c r="T404" s="270" t="s">
        <v>2001</v>
      </c>
      <c r="U404" s="270" t="s">
        <v>678</v>
      </c>
      <c r="V404" s="270" t="s">
        <v>679</v>
      </c>
      <c r="W404" s="270" t="s">
        <v>145</v>
      </c>
      <c r="X404" s="270" t="s">
        <v>309</v>
      </c>
      <c r="Y404" s="273">
        <v>45078</v>
      </c>
      <c r="Z404" s="288" t="s">
        <v>1875</v>
      </c>
      <c r="AA404" s="288" t="s">
        <v>2479</v>
      </c>
      <c r="AB404" s="288" t="s">
        <v>139</v>
      </c>
      <c r="AC404" s="288" t="s">
        <v>1875</v>
      </c>
      <c r="AD404" s="288" t="s">
        <v>1805</v>
      </c>
      <c r="AE404" s="288" t="s">
        <v>1805</v>
      </c>
      <c r="AF404" s="288" t="s">
        <v>2479</v>
      </c>
      <c r="AG404" s="288" t="s">
        <v>2479</v>
      </c>
      <c r="AH404" s="288" t="s">
        <v>2479</v>
      </c>
      <c r="AI404" s="288" t="s">
        <v>2479</v>
      </c>
      <c r="AJ404" s="303" t="s">
        <v>2191</v>
      </c>
      <c r="AK404" s="288" t="s">
        <v>2479</v>
      </c>
      <c r="AL404" s="303" t="s">
        <v>2190</v>
      </c>
      <c r="AM404" s="288" t="s">
        <v>1975</v>
      </c>
      <c r="AN404" s="207" t="b">
        <v>0</v>
      </c>
      <c r="AY404" s="288" t="s">
        <v>2479</v>
      </c>
      <c r="AZ404" s="288" t="s">
        <v>2479</v>
      </c>
      <c r="BA404" s="288" t="s">
        <v>373</v>
      </c>
      <c r="BB404" s="288" t="s">
        <v>1610</v>
      </c>
      <c r="BC404" s="288" t="s">
        <v>2192</v>
      </c>
    </row>
    <row r="405" spans="1:55" ht="45" customHeight="1">
      <c r="A405" s="271">
        <f t="shared" si="6"/>
        <v>404</v>
      </c>
      <c r="B405" s="284" t="s">
        <v>3780</v>
      </c>
      <c r="C405" s="270" t="s">
        <v>3781</v>
      </c>
      <c r="D405" s="270" t="s">
        <v>8</v>
      </c>
      <c r="E405" s="270" t="s">
        <v>9</v>
      </c>
      <c r="F405" s="270" t="s">
        <v>1773</v>
      </c>
      <c r="G405" s="302">
        <v>45068</v>
      </c>
      <c r="L405" s="270" t="s">
        <v>2479</v>
      </c>
      <c r="M405" s="270" t="s">
        <v>2479</v>
      </c>
      <c r="N405" s="272" t="s">
        <v>122</v>
      </c>
      <c r="O405" s="270" t="s">
        <v>2479</v>
      </c>
      <c r="P405" s="270" t="s">
        <v>1554</v>
      </c>
      <c r="Q405" s="270" t="s">
        <v>2198</v>
      </c>
      <c r="R405" s="306">
        <v>44932.477581018517</v>
      </c>
      <c r="S405" s="285">
        <v>2023</v>
      </c>
      <c r="T405" s="270" t="s">
        <v>2001</v>
      </c>
      <c r="U405" s="270" t="s">
        <v>678</v>
      </c>
      <c r="V405" s="270" t="s">
        <v>679</v>
      </c>
      <c r="W405" s="270" t="s">
        <v>145</v>
      </c>
      <c r="X405" s="270" t="s">
        <v>309</v>
      </c>
      <c r="Y405" s="273">
        <v>45078</v>
      </c>
      <c r="Z405" s="288" t="s">
        <v>1875</v>
      </c>
      <c r="AA405" s="288" t="s">
        <v>2479</v>
      </c>
      <c r="AB405" s="288" t="s">
        <v>139</v>
      </c>
      <c r="AC405" s="288" t="s">
        <v>1875</v>
      </c>
      <c r="AD405" s="288" t="s">
        <v>1805</v>
      </c>
      <c r="AE405" s="288" t="s">
        <v>1805</v>
      </c>
      <c r="AF405" s="288" t="s">
        <v>2479</v>
      </c>
      <c r="AG405" s="288" t="s">
        <v>2479</v>
      </c>
      <c r="AH405" s="288" t="s">
        <v>2479</v>
      </c>
      <c r="AI405" s="288" t="s">
        <v>2479</v>
      </c>
      <c r="AJ405" s="303" t="s">
        <v>2191</v>
      </c>
      <c r="AK405" s="288" t="s">
        <v>2479</v>
      </c>
      <c r="AL405" s="303" t="s">
        <v>2190</v>
      </c>
      <c r="AM405" s="288" t="s">
        <v>1975</v>
      </c>
      <c r="AN405" s="207" t="b">
        <v>0</v>
      </c>
      <c r="AY405" s="288" t="s">
        <v>2479</v>
      </c>
      <c r="AZ405" s="288" t="s">
        <v>2479</v>
      </c>
      <c r="BA405" s="288" t="s">
        <v>373</v>
      </c>
      <c r="BB405" s="288" t="s">
        <v>1610</v>
      </c>
      <c r="BC405" s="288" t="s">
        <v>2192</v>
      </c>
    </row>
    <row r="406" spans="1:55" ht="45" customHeight="1">
      <c r="A406" s="271">
        <f t="shared" si="6"/>
        <v>405</v>
      </c>
      <c r="B406" s="284" t="s">
        <v>2561</v>
      </c>
      <c r="C406" s="270" t="s">
        <v>3782</v>
      </c>
      <c r="D406" s="270" t="s">
        <v>8</v>
      </c>
      <c r="E406" s="270" t="s">
        <v>9</v>
      </c>
      <c r="F406" s="270" t="s">
        <v>1773</v>
      </c>
      <c r="G406" s="302">
        <v>45070</v>
      </c>
      <c r="L406" s="270" t="s">
        <v>2479</v>
      </c>
      <c r="M406" s="270" t="s">
        <v>2479</v>
      </c>
      <c r="N406" s="272" t="s">
        <v>122</v>
      </c>
      <c r="O406" s="270" t="s">
        <v>2479</v>
      </c>
      <c r="P406" s="270" t="s">
        <v>1554</v>
      </c>
      <c r="Q406" s="270" t="s">
        <v>2198</v>
      </c>
      <c r="R406" s="306">
        <v>44932.478043981479</v>
      </c>
      <c r="S406" s="285">
        <v>2023</v>
      </c>
      <c r="T406" s="270" t="s">
        <v>2001</v>
      </c>
      <c r="U406" s="270" t="s">
        <v>678</v>
      </c>
      <c r="V406" s="270" t="s">
        <v>679</v>
      </c>
      <c r="W406" s="270" t="s">
        <v>145</v>
      </c>
      <c r="X406" s="270" t="s">
        <v>309</v>
      </c>
      <c r="Y406" s="273">
        <v>45078</v>
      </c>
      <c r="Z406" s="288" t="s">
        <v>1875</v>
      </c>
      <c r="AA406" s="288" t="s">
        <v>2479</v>
      </c>
      <c r="AB406" s="288" t="s">
        <v>139</v>
      </c>
      <c r="AC406" s="288" t="s">
        <v>1875</v>
      </c>
      <c r="AD406" s="288" t="s">
        <v>1805</v>
      </c>
      <c r="AE406" s="288" t="s">
        <v>1805</v>
      </c>
      <c r="AF406" s="288" t="s">
        <v>2479</v>
      </c>
      <c r="AG406" s="288" t="s">
        <v>2479</v>
      </c>
      <c r="AH406" s="288" t="s">
        <v>2479</v>
      </c>
      <c r="AI406" s="288" t="s">
        <v>2479</v>
      </c>
      <c r="AJ406" s="303" t="s">
        <v>2191</v>
      </c>
      <c r="AK406" s="288" t="s">
        <v>2479</v>
      </c>
      <c r="AL406" s="303" t="s">
        <v>2190</v>
      </c>
      <c r="AM406" s="288" t="s">
        <v>1975</v>
      </c>
      <c r="AN406" s="207" t="b">
        <v>0</v>
      </c>
      <c r="AY406" s="288" t="s">
        <v>2479</v>
      </c>
      <c r="AZ406" s="288" t="s">
        <v>2479</v>
      </c>
      <c r="BA406" s="288" t="s">
        <v>373</v>
      </c>
      <c r="BB406" s="288" t="s">
        <v>1610</v>
      </c>
      <c r="BC406" s="288" t="s">
        <v>2192</v>
      </c>
    </row>
    <row r="407" spans="1:55" ht="45" customHeight="1">
      <c r="A407" s="271">
        <f t="shared" si="6"/>
        <v>406</v>
      </c>
      <c r="B407" s="284" t="s">
        <v>3783</v>
      </c>
      <c r="C407" s="270" t="s">
        <v>3784</v>
      </c>
      <c r="D407" s="270" t="s">
        <v>8</v>
      </c>
      <c r="E407" s="270" t="s">
        <v>9</v>
      </c>
      <c r="F407" s="270" t="s">
        <v>1773</v>
      </c>
      <c r="G407" s="302">
        <v>45073</v>
      </c>
      <c r="L407" s="270" t="s">
        <v>2479</v>
      </c>
      <c r="M407" s="270" t="s">
        <v>2479</v>
      </c>
      <c r="N407" s="272" t="s">
        <v>122</v>
      </c>
      <c r="O407" s="270" t="s">
        <v>2479</v>
      </c>
      <c r="P407" s="270" t="s">
        <v>1554</v>
      </c>
      <c r="Q407" s="270" t="s">
        <v>2198</v>
      </c>
      <c r="R407" s="306">
        <v>44932.478495370371</v>
      </c>
      <c r="S407" s="285">
        <v>2023</v>
      </c>
      <c r="T407" s="270" t="s">
        <v>2001</v>
      </c>
      <c r="U407" s="270" t="s">
        <v>678</v>
      </c>
      <c r="V407" s="270" t="s">
        <v>679</v>
      </c>
      <c r="W407" s="270" t="s">
        <v>145</v>
      </c>
      <c r="X407" s="270" t="s">
        <v>309</v>
      </c>
      <c r="Y407" s="273">
        <v>45078</v>
      </c>
      <c r="Z407" s="288" t="s">
        <v>1875</v>
      </c>
      <c r="AA407" s="288" t="s">
        <v>2479</v>
      </c>
      <c r="AB407" s="288" t="s">
        <v>139</v>
      </c>
      <c r="AC407" s="288" t="s">
        <v>1875</v>
      </c>
      <c r="AD407" s="288" t="s">
        <v>1805</v>
      </c>
      <c r="AE407" s="288" t="s">
        <v>1805</v>
      </c>
      <c r="AF407" s="288" t="s">
        <v>2479</v>
      </c>
      <c r="AG407" s="288" t="s">
        <v>2479</v>
      </c>
      <c r="AH407" s="288" t="s">
        <v>2479</v>
      </c>
      <c r="AI407" s="288" t="s">
        <v>2479</v>
      </c>
      <c r="AJ407" s="303" t="s">
        <v>2191</v>
      </c>
      <c r="AK407" s="288" t="s">
        <v>2479</v>
      </c>
      <c r="AL407" s="303" t="s">
        <v>2190</v>
      </c>
      <c r="AM407" s="288" t="s">
        <v>1975</v>
      </c>
      <c r="AN407" s="207" t="b">
        <v>0</v>
      </c>
      <c r="AY407" s="288" t="s">
        <v>2479</v>
      </c>
      <c r="AZ407" s="288" t="s">
        <v>2479</v>
      </c>
      <c r="BA407" s="288" t="s">
        <v>373</v>
      </c>
      <c r="BB407" s="288" t="s">
        <v>1610</v>
      </c>
      <c r="BC407" s="288" t="s">
        <v>2192</v>
      </c>
    </row>
    <row r="408" spans="1:55" ht="45" customHeight="1">
      <c r="A408" s="271">
        <f t="shared" si="6"/>
        <v>407</v>
      </c>
      <c r="B408" s="284" t="s">
        <v>3795</v>
      </c>
      <c r="C408" s="270" t="s">
        <v>3819</v>
      </c>
      <c r="D408" s="270" t="s">
        <v>8</v>
      </c>
      <c r="E408" s="270" t="s">
        <v>9</v>
      </c>
      <c r="F408" s="270" t="s">
        <v>1773</v>
      </c>
      <c r="G408" s="302">
        <v>45084</v>
      </c>
      <c r="L408" s="270" t="s">
        <v>2479</v>
      </c>
      <c r="M408" s="270" t="s">
        <v>2479</v>
      </c>
      <c r="N408" s="272" t="s">
        <v>122</v>
      </c>
      <c r="O408" s="270" t="s">
        <v>2479</v>
      </c>
      <c r="P408" s="270" t="s">
        <v>1555</v>
      </c>
      <c r="Q408" s="270" t="s">
        <v>2198</v>
      </c>
      <c r="R408" s="306">
        <v>44992.389780092592</v>
      </c>
      <c r="S408" s="285">
        <v>2023</v>
      </c>
      <c r="T408" s="270" t="s">
        <v>2001</v>
      </c>
      <c r="U408" s="270" t="s">
        <v>678</v>
      </c>
      <c r="V408" s="270" t="s">
        <v>679</v>
      </c>
      <c r="W408" s="270" t="s">
        <v>145</v>
      </c>
      <c r="X408" s="270" t="s">
        <v>309</v>
      </c>
      <c r="Y408" s="273">
        <v>45078</v>
      </c>
      <c r="Z408" s="288" t="s">
        <v>1875</v>
      </c>
      <c r="AA408" s="288" t="s">
        <v>2479</v>
      </c>
      <c r="AB408" s="288" t="s">
        <v>139</v>
      </c>
      <c r="AC408" s="288" t="s">
        <v>1875</v>
      </c>
      <c r="AD408" s="288" t="s">
        <v>1805</v>
      </c>
      <c r="AE408" s="288" t="s">
        <v>1805</v>
      </c>
      <c r="AF408" s="288" t="s">
        <v>2479</v>
      </c>
      <c r="AG408" s="288" t="s">
        <v>2479</v>
      </c>
      <c r="AH408" s="288" t="s">
        <v>2479</v>
      </c>
      <c r="AI408" s="288" t="s">
        <v>2479</v>
      </c>
      <c r="AJ408" s="303" t="s">
        <v>2191</v>
      </c>
      <c r="AK408" s="288" t="s">
        <v>2479</v>
      </c>
      <c r="AL408" s="303" t="s">
        <v>2190</v>
      </c>
      <c r="AM408" s="288" t="s">
        <v>1975</v>
      </c>
      <c r="AN408" s="207" t="b">
        <v>0</v>
      </c>
      <c r="AY408" s="288" t="s">
        <v>2479</v>
      </c>
      <c r="AZ408" s="288" t="s">
        <v>2479</v>
      </c>
      <c r="BA408" s="288" t="s">
        <v>373</v>
      </c>
      <c r="BB408" s="288" t="s">
        <v>139</v>
      </c>
      <c r="BC408" s="288" t="s">
        <v>2192</v>
      </c>
    </row>
    <row r="409" spans="1:55" ht="45" customHeight="1">
      <c r="A409" s="271">
        <f t="shared" si="6"/>
        <v>408</v>
      </c>
      <c r="B409" s="284" t="s">
        <v>3820</v>
      </c>
      <c r="C409" s="270" t="s">
        <v>3821</v>
      </c>
      <c r="D409" s="270" t="s">
        <v>8</v>
      </c>
      <c r="E409" s="270" t="s">
        <v>9</v>
      </c>
      <c r="F409" s="270" t="s">
        <v>1773</v>
      </c>
      <c r="G409" s="302">
        <v>45089</v>
      </c>
      <c r="L409" s="270" t="s">
        <v>2479</v>
      </c>
      <c r="M409" s="270" t="s">
        <v>2479</v>
      </c>
      <c r="N409" s="272" t="s">
        <v>122</v>
      </c>
      <c r="O409" s="270" t="s">
        <v>2479</v>
      </c>
      <c r="P409" s="270" t="s">
        <v>1555</v>
      </c>
      <c r="Q409" s="270" t="s">
        <v>2198</v>
      </c>
      <c r="R409" s="306">
        <v>44992.390393518515</v>
      </c>
      <c r="S409" s="285">
        <v>2023</v>
      </c>
      <c r="T409" s="270" t="s">
        <v>2001</v>
      </c>
      <c r="U409" s="270" t="s">
        <v>678</v>
      </c>
      <c r="V409" s="270" t="s">
        <v>679</v>
      </c>
      <c r="W409" s="270" t="s">
        <v>145</v>
      </c>
      <c r="X409" s="270" t="s">
        <v>309</v>
      </c>
      <c r="Y409" s="273">
        <v>45078</v>
      </c>
      <c r="Z409" s="288" t="s">
        <v>1875</v>
      </c>
      <c r="AA409" s="288" t="s">
        <v>2479</v>
      </c>
      <c r="AB409" s="288" t="s">
        <v>139</v>
      </c>
      <c r="AC409" s="288" t="s">
        <v>1875</v>
      </c>
      <c r="AD409" s="288" t="s">
        <v>1805</v>
      </c>
      <c r="AE409" s="288" t="s">
        <v>1805</v>
      </c>
      <c r="AF409" s="288" t="s">
        <v>2479</v>
      </c>
      <c r="AG409" s="288" t="s">
        <v>2479</v>
      </c>
      <c r="AH409" s="288" t="s">
        <v>2479</v>
      </c>
      <c r="AI409" s="288" t="s">
        <v>2479</v>
      </c>
      <c r="AJ409" s="303" t="s">
        <v>2191</v>
      </c>
      <c r="AK409" s="288" t="s">
        <v>2479</v>
      </c>
      <c r="AL409" s="303" t="s">
        <v>2190</v>
      </c>
      <c r="AM409" s="288" t="s">
        <v>1975</v>
      </c>
      <c r="AN409" s="207" t="b">
        <v>0</v>
      </c>
      <c r="AY409" s="288" t="s">
        <v>2479</v>
      </c>
      <c r="AZ409" s="288" t="s">
        <v>2479</v>
      </c>
      <c r="BA409" s="288" t="s">
        <v>373</v>
      </c>
      <c r="BB409" s="288" t="s">
        <v>139</v>
      </c>
      <c r="BC409" s="288" t="s">
        <v>2192</v>
      </c>
    </row>
    <row r="410" spans="1:55" ht="45" customHeight="1">
      <c r="A410" s="271">
        <f t="shared" si="6"/>
        <v>409</v>
      </c>
      <c r="B410" s="284" t="s">
        <v>3242</v>
      </c>
      <c r="C410" s="270" t="s">
        <v>3822</v>
      </c>
      <c r="D410" s="270" t="s">
        <v>8</v>
      </c>
      <c r="E410" s="270" t="s">
        <v>9</v>
      </c>
      <c r="F410" s="270" t="s">
        <v>1773</v>
      </c>
      <c r="G410" s="302">
        <v>45090</v>
      </c>
      <c r="L410" s="270" t="s">
        <v>2479</v>
      </c>
      <c r="M410" s="270" t="s">
        <v>2479</v>
      </c>
      <c r="N410" s="272" t="s">
        <v>122</v>
      </c>
      <c r="O410" s="270" t="s">
        <v>2479</v>
      </c>
      <c r="P410" s="270" t="s">
        <v>1555</v>
      </c>
      <c r="Q410" s="270" t="s">
        <v>2198</v>
      </c>
      <c r="R410" s="306">
        <v>44992.392546296294</v>
      </c>
      <c r="S410" s="285">
        <v>2023</v>
      </c>
      <c r="T410" s="270" t="s">
        <v>2001</v>
      </c>
      <c r="U410" s="270" t="s">
        <v>678</v>
      </c>
      <c r="V410" s="270" t="s">
        <v>679</v>
      </c>
      <c r="W410" s="270" t="s">
        <v>145</v>
      </c>
      <c r="X410" s="270" t="s">
        <v>309</v>
      </c>
      <c r="Y410" s="273">
        <v>45078</v>
      </c>
      <c r="Z410" s="288" t="s">
        <v>1875</v>
      </c>
      <c r="AA410" s="288" t="s">
        <v>2479</v>
      </c>
      <c r="AB410" s="288" t="s">
        <v>139</v>
      </c>
      <c r="AC410" s="288" t="s">
        <v>1875</v>
      </c>
      <c r="AD410" s="288" t="s">
        <v>1805</v>
      </c>
      <c r="AE410" s="288" t="s">
        <v>1805</v>
      </c>
      <c r="AF410" s="288" t="s">
        <v>2479</v>
      </c>
      <c r="AG410" s="288" t="s">
        <v>2479</v>
      </c>
      <c r="AH410" s="288" t="s">
        <v>2479</v>
      </c>
      <c r="AI410" s="288" t="s">
        <v>2479</v>
      </c>
      <c r="AJ410" s="303" t="s">
        <v>2191</v>
      </c>
      <c r="AK410" s="288" t="s">
        <v>2479</v>
      </c>
      <c r="AL410" s="303" t="s">
        <v>2190</v>
      </c>
      <c r="AM410" s="288" t="s">
        <v>1975</v>
      </c>
      <c r="AN410" s="207" t="b">
        <v>0</v>
      </c>
      <c r="AY410" s="288" t="s">
        <v>2479</v>
      </c>
      <c r="AZ410" s="288" t="s">
        <v>2479</v>
      </c>
      <c r="BA410" s="288" t="s">
        <v>373</v>
      </c>
      <c r="BB410" s="288" t="s">
        <v>139</v>
      </c>
      <c r="BC410" s="288" t="s">
        <v>2192</v>
      </c>
    </row>
    <row r="411" spans="1:55" ht="45" customHeight="1">
      <c r="A411" s="271">
        <f t="shared" si="6"/>
        <v>410</v>
      </c>
      <c r="B411" s="284" t="s">
        <v>3245</v>
      </c>
      <c r="C411" s="270" t="s">
        <v>3823</v>
      </c>
      <c r="D411" s="270" t="s">
        <v>8</v>
      </c>
      <c r="E411" s="270" t="s">
        <v>9</v>
      </c>
      <c r="F411" s="270" t="s">
        <v>1773</v>
      </c>
      <c r="G411" s="302">
        <v>45092</v>
      </c>
      <c r="L411" s="270" t="s">
        <v>2479</v>
      </c>
      <c r="M411" s="270" t="s">
        <v>2479</v>
      </c>
      <c r="N411" s="272" t="s">
        <v>122</v>
      </c>
      <c r="O411" s="270" t="s">
        <v>2479</v>
      </c>
      <c r="P411" s="270" t="s">
        <v>1555</v>
      </c>
      <c r="Q411" s="270" t="s">
        <v>2198</v>
      </c>
      <c r="R411" s="306">
        <v>44992.393414351849</v>
      </c>
      <c r="S411" s="285">
        <v>2023</v>
      </c>
      <c r="T411" s="270" t="s">
        <v>2001</v>
      </c>
      <c r="U411" s="270" t="s">
        <v>678</v>
      </c>
      <c r="V411" s="270" t="s">
        <v>679</v>
      </c>
      <c r="W411" s="270" t="s">
        <v>145</v>
      </c>
      <c r="X411" s="270" t="s">
        <v>309</v>
      </c>
      <c r="Y411" s="273">
        <v>45078</v>
      </c>
      <c r="Z411" s="288" t="s">
        <v>1875</v>
      </c>
      <c r="AA411" s="288" t="s">
        <v>2479</v>
      </c>
      <c r="AB411" s="288" t="s">
        <v>139</v>
      </c>
      <c r="AC411" s="288" t="s">
        <v>1875</v>
      </c>
      <c r="AD411" s="288" t="s">
        <v>1805</v>
      </c>
      <c r="AE411" s="288" t="s">
        <v>1805</v>
      </c>
      <c r="AF411" s="288" t="s">
        <v>2479</v>
      </c>
      <c r="AG411" s="288" t="s">
        <v>2479</v>
      </c>
      <c r="AH411" s="288" t="s">
        <v>2479</v>
      </c>
      <c r="AI411" s="288" t="s">
        <v>2479</v>
      </c>
      <c r="AJ411" s="303" t="s">
        <v>2191</v>
      </c>
      <c r="AK411" s="288" t="s">
        <v>2479</v>
      </c>
      <c r="AL411" s="303" t="s">
        <v>2190</v>
      </c>
      <c r="AM411" s="288" t="s">
        <v>1975</v>
      </c>
      <c r="AN411" s="207" t="b">
        <v>0</v>
      </c>
      <c r="AY411" s="288" t="s">
        <v>2479</v>
      </c>
      <c r="AZ411" s="288" t="s">
        <v>2479</v>
      </c>
      <c r="BA411" s="288" t="s">
        <v>373</v>
      </c>
      <c r="BB411" s="288" t="s">
        <v>139</v>
      </c>
      <c r="BC411" s="288" t="s">
        <v>2192</v>
      </c>
    </row>
    <row r="412" spans="1:55" ht="45" customHeight="1">
      <c r="A412" s="271">
        <f t="shared" si="6"/>
        <v>411</v>
      </c>
      <c r="B412" s="284" t="s">
        <v>3248</v>
      </c>
      <c r="C412" s="270" t="s">
        <v>3824</v>
      </c>
      <c r="D412" s="270" t="s">
        <v>8</v>
      </c>
      <c r="E412" s="270" t="s">
        <v>9</v>
      </c>
      <c r="F412" s="270" t="s">
        <v>1773</v>
      </c>
      <c r="G412" s="302">
        <v>45097</v>
      </c>
      <c r="L412" s="270" t="s">
        <v>2479</v>
      </c>
      <c r="M412" s="270" t="s">
        <v>2479</v>
      </c>
      <c r="N412" s="272" t="s">
        <v>122</v>
      </c>
      <c r="O412" s="270" t="s">
        <v>2479</v>
      </c>
      <c r="P412" s="270" t="s">
        <v>1555</v>
      </c>
      <c r="Q412" s="270" t="s">
        <v>2198</v>
      </c>
      <c r="R412" s="306">
        <v>44992.393935185188</v>
      </c>
      <c r="S412" s="285">
        <v>2023</v>
      </c>
      <c r="T412" s="270" t="s">
        <v>2001</v>
      </c>
      <c r="U412" s="270" t="s">
        <v>678</v>
      </c>
      <c r="V412" s="270" t="s">
        <v>679</v>
      </c>
      <c r="W412" s="270" t="s">
        <v>145</v>
      </c>
      <c r="X412" s="270" t="s">
        <v>309</v>
      </c>
      <c r="Y412" s="273">
        <v>45078</v>
      </c>
      <c r="Z412" s="288" t="s">
        <v>1875</v>
      </c>
      <c r="AA412" s="288" t="s">
        <v>2479</v>
      </c>
      <c r="AB412" s="288" t="s">
        <v>139</v>
      </c>
      <c r="AC412" s="288" t="s">
        <v>1875</v>
      </c>
      <c r="AD412" s="288" t="s">
        <v>1805</v>
      </c>
      <c r="AE412" s="288" t="s">
        <v>1805</v>
      </c>
      <c r="AF412" s="288" t="s">
        <v>2479</v>
      </c>
      <c r="AG412" s="288" t="s">
        <v>2479</v>
      </c>
      <c r="AH412" s="288" t="s">
        <v>2479</v>
      </c>
      <c r="AI412" s="288" t="s">
        <v>2479</v>
      </c>
      <c r="AJ412" s="303" t="s">
        <v>2191</v>
      </c>
      <c r="AK412" s="288" t="s">
        <v>2479</v>
      </c>
      <c r="AL412" s="303" t="s">
        <v>2190</v>
      </c>
      <c r="AM412" s="288" t="s">
        <v>1975</v>
      </c>
      <c r="AN412" s="207" t="b">
        <v>0</v>
      </c>
      <c r="AY412" s="288" t="s">
        <v>2479</v>
      </c>
      <c r="AZ412" s="288" t="s">
        <v>2479</v>
      </c>
      <c r="BA412" s="288" t="s">
        <v>373</v>
      </c>
      <c r="BB412" s="288" t="s">
        <v>139</v>
      </c>
      <c r="BC412" s="288" t="s">
        <v>2192</v>
      </c>
    </row>
    <row r="413" spans="1:55" ht="45" customHeight="1">
      <c r="A413" s="271">
        <f t="shared" si="6"/>
        <v>412</v>
      </c>
      <c r="B413" s="284" t="s">
        <v>3825</v>
      </c>
      <c r="C413" s="270" t="s">
        <v>3826</v>
      </c>
      <c r="D413" s="270" t="s">
        <v>8</v>
      </c>
      <c r="E413" s="270" t="s">
        <v>9</v>
      </c>
      <c r="F413" s="270" t="s">
        <v>1773</v>
      </c>
      <c r="G413" s="302">
        <v>45098</v>
      </c>
      <c r="L413" s="270" t="s">
        <v>2479</v>
      </c>
      <c r="M413" s="270" t="s">
        <v>2479</v>
      </c>
      <c r="N413" s="272" t="s">
        <v>122</v>
      </c>
      <c r="O413" s="270" t="s">
        <v>2479</v>
      </c>
      <c r="P413" s="270" t="s">
        <v>1555</v>
      </c>
      <c r="Q413" s="270" t="s">
        <v>2198</v>
      </c>
      <c r="R413" s="306">
        <v>44992.394409722219</v>
      </c>
      <c r="S413" s="285">
        <v>2023</v>
      </c>
      <c r="T413" s="270" t="s">
        <v>2001</v>
      </c>
      <c r="U413" s="270" t="s">
        <v>678</v>
      </c>
      <c r="V413" s="270" t="s">
        <v>679</v>
      </c>
      <c r="W413" s="270" t="s">
        <v>145</v>
      </c>
      <c r="X413" s="270" t="s">
        <v>309</v>
      </c>
      <c r="Y413" s="273">
        <v>45078</v>
      </c>
      <c r="Z413" s="288" t="s">
        <v>1875</v>
      </c>
      <c r="AA413" s="288" t="s">
        <v>2479</v>
      </c>
      <c r="AB413" s="288" t="s">
        <v>139</v>
      </c>
      <c r="AC413" s="288" t="s">
        <v>1875</v>
      </c>
      <c r="AD413" s="288" t="s">
        <v>1805</v>
      </c>
      <c r="AE413" s="288" t="s">
        <v>1805</v>
      </c>
      <c r="AF413" s="288" t="s">
        <v>2479</v>
      </c>
      <c r="AG413" s="288" t="s">
        <v>2479</v>
      </c>
      <c r="AH413" s="288" t="s">
        <v>2479</v>
      </c>
      <c r="AI413" s="288" t="s">
        <v>2479</v>
      </c>
      <c r="AJ413" s="303" t="s">
        <v>2191</v>
      </c>
      <c r="AK413" s="288" t="s">
        <v>2479</v>
      </c>
      <c r="AL413" s="303" t="s">
        <v>2190</v>
      </c>
      <c r="AM413" s="288" t="s">
        <v>1975</v>
      </c>
      <c r="AN413" s="207" t="b">
        <v>0</v>
      </c>
      <c r="AY413" s="288" t="s">
        <v>2479</v>
      </c>
      <c r="AZ413" s="288" t="s">
        <v>2479</v>
      </c>
      <c r="BA413" s="288" t="s">
        <v>373</v>
      </c>
      <c r="BB413" s="288" t="s">
        <v>139</v>
      </c>
      <c r="BC413" s="288" t="s">
        <v>2192</v>
      </c>
    </row>
    <row r="414" spans="1:55" ht="45" customHeight="1">
      <c r="A414" s="271">
        <f t="shared" si="6"/>
        <v>413</v>
      </c>
      <c r="B414" s="284" t="s">
        <v>3827</v>
      </c>
      <c r="C414" s="270" t="s">
        <v>3828</v>
      </c>
      <c r="D414" s="270" t="s">
        <v>8</v>
      </c>
      <c r="E414" s="270" t="s">
        <v>9</v>
      </c>
      <c r="F414" s="270" t="s">
        <v>1773</v>
      </c>
      <c r="G414" s="302">
        <v>45098</v>
      </c>
      <c r="L414" s="270" t="s">
        <v>2479</v>
      </c>
      <c r="M414" s="270" t="s">
        <v>2479</v>
      </c>
      <c r="N414" s="272" t="s">
        <v>122</v>
      </c>
      <c r="O414" s="270" t="s">
        <v>2479</v>
      </c>
      <c r="P414" s="270" t="s">
        <v>1555</v>
      </c>
      <c r="Q414" s="270" t="s">
        <v>2198</v>
      </c>
      <c r="R414" s="306">
        <v>44992.394918981481</v>
      </c>
      <c r="S414" s="285">
        <v>2023</v>
      </c>
      <c r="T414" s="270" t="s">
        <v>2001</v>
      </c>
      <c r="U414" s="270" t="s">
        <v>678</v>
      </c>
      <c r="V414" s="270" t="s">
        <v>679</v>
      </c>
      <c r="W414" s="270" t="s">
        <v>145</v>
      </c>
      <c r="X414" s="270" t="s">
        <v>309</v>
      </c>
      <c r="Y414" s="273">
        <v>45078</v>
      </c>
      <c r="Z414" s="288" t="s">
        <v>1875</v>
      </c>
      <c r="AA414" s="288" t="s">
        <v>2479</v>
      </c>
      <c r="AB414" s="288" t="s">
        <v>139</v>
      </c>
      <c r="AC414" s="288" t="s">
        <v>1875</v>
      </c>
      <c r="AD414" s="288" t="s">
        <v>1805</v>
      </c>
      <c r="AE414" s="288" t="s">
        <v>1805</v>
      </c>
      <c r="AF414" s="288" t="s">
        <v>2479</v>
      </c>
      <c r="AG414" s="288" t="s">
        <v>2479</v>
      </c>
      <c r="AH414" s="288" t="s">
        <v>2479</v>
      </c>
      <c r="AI414" s="288" t="s">
        <v>2479</v>
      </c>
      <c r="AJ414" s="303" t="s">
        <v>2191</v>
      </c>
      <c r="AK414" s="288" t="s">
        <v>2479</v>
      </c>
      <c r="AL414" s="303" t="s">
        <v>2190</v>
      </c>
      <c r="AM414" s="288" t="s">
        <v>1975</v>
      </c>
      <c r="AN414" s="207" t="b">
        <v>0</v>
      </c>
      <c r="AY414" s="288" t="s">
        <v>2479</v>
      </c>
      <c r="AZ414" s="288" t="s">
        <v>2479</v>
      </c>
      <c r="BA414" s="288" t="s">
        <v>373</v>
      </c>
      <c r="BB414" s="288" t="s">
        <v>139</v>
      </c>
      <c r="BC414" s="288" t="s">
        <v>2192</v>
      </c>
    </row>
    <row r="415" spans="1:55" ht="45" customHeight="1">
      <c r="A415" s="271">
        <f t="shared" si="6"/>
        <v>414</v>
      </c>
      <c r="B415" s="284" t="s">
        <v>3829</v>
      </c>
      <c r="C415" s="270" t="s">
        <v>3830</v>
      </c>
      <c r="D415" s="270" t="s">
        <v>8</v>
      </c>
      <c r="E415" s="270" t="s">
        <v>9</v>
      </c>
      <c r="F415" s="270" t="s">
        <v>1773</v>
      </c>
      <c r="G415" s="302">
        <v>45098</v>
      </c>
      <c r="L415" s="270" t="s">
        <v>2479</v>
      </c>
      <c r="M415" s="270" t="s">
        <v>2479</v>
      </c>
      <c r="N415" s="272" t="s">
        <v>122</v>
      </c>
      <c r="O415" s="270" t="s">
        <v>2479</v>
      </c>
      <c r="P415" s="270" t="s">
        <v>1555</v>
      </c>
      <c r="Q415" s="270" t="s">
        <v>2198</v>
      </c>
      <c r="R415" s="306">
        <v>44992.395416666666</v>
      </c>
      <c r="S415" s="285">
        <v>2023</v>
      </c>
      <c r="T415" s="270" t="s">
        <v>2001</v>
      </c>
      <c r="U415" s="270" t="s">
        <v>678</v>
      </c>
      <c r="V415" s="270" t="s">
        <v>679</v>
      </c>
      <c r="W415" s="270" t="s">
        <v>145</v>
      </c>
      <c r="X415" s="270" t="s">
        <v>309</v>
      </c>
      <c r="Y415" s="273">
        <v>45078</v>
      </c>
      <c r="Z415" s="288" t="s">
        <v>1875</v>
      </c>
      <c r="AA415" s="288" t="s">
        <v>2479</v>
      </c>
      <c r="AB415" s="288" t="s">
        <v>139</v>
      </c>
      <c r="AC415" s="288" t="s">
        <v>1875</v>
      </c>
      <c r="AD415" s="288" t="s">
        <v>1805</v>
      </c>
      <c r="AE415" s="288" t="s">
        <v>1805</v>
      </c>
      <c r="AF415" s="288" t="s">
        <v>2479</v>
      </c>
      <c r="AG415" s="288" t="s">
        <v>2479</v>
      </c>
      <c r="AH415" s="288" t="s">
        <v>2479</v>
      </c>
      <c r="AI415" s="288" t="s">
        <v>2479</v>
      </c>
      <c r="AJ415" s="303" t="s">
        <v>2191</v>
      </c>
      <c r="AK415" s="288" t="s">
        <v>2479</v>
      </c>
      <c r="AL415" s="303" t="s">
        <v>2190</v>
      </c>
      <c r="AM415" s="288" t="s">
        <v>1975</v>
      </c>
      <c r="AN415" s="207" t="b">
        <v>0</v>
      </c>
      <c r="AY415" s="288" t="s">
        <v>2479</v>
      </c>
      <c r="AZ415" s="288" t="s">
        <v>2479</v>
      </c>
      <c r="BA415" s="288" t="s">
        <v>373</v>
      </c>
      <c r="BB415" s="288" t="s">
        <v>139</v>
      </c>
      <c r="BC415" s="288" t="s">
        <v>2192</v>
      </c>
    </row>
    <row r="416" spans="1:55" ht="45" customHeight="1">
      <c r="A416" s="271">
        <f t="shared" si="6"/>
        <v>415</v>
      </c>
      <c r="B416" s="284" t="s">
        <v>3831</v>
      </c>
      <c r="C416" s="270" t="s">
        <v>3832</v>
      </c>
      <c r="D416" s="270" t="s">
        <v>8</v>
      </c>
      <c r="E416" s="270" t="s">
        <v>9</v>
      </c>
      <c r="F416" s="270" t="s">
        <v>1773</v>
      </c>
      <c r="G416" s="302">
        <v>45098</v>
      </c>
      <c r="L416" s="270" t="s">
        <v>2479</v>
      </c>
      <c r="M416" s="270" t="s">
        <v>2479</v>
      </c>
      <c r="N416" s="272" t="s">
        <v>122</v>
      </c>
      <c r="O416" s="270" t="s">
        <v>2479</v>
      </c>
      <c r="P416" s="270" t="s">
        <v>1555</v>
      </c>
      <c r="Q416" s="270" t="s">
        <v>2198</v>
      </c>
      <c r="R416" s="306">
        <v>44992.395995370367</v>
      </c>
      <c r="S416" s="285">
        <v>2023</v>
      </c>
      <c r="T416" s="270" t="s">
        <v>2001</v>
      </c>
      <c r="U416" s="270" t="s">
        <v>678</v>
      </c>
      <c r="V416" s="270" t="s">
        <v>679</v>
      </c>
      <c r="W416" s="270" t="s">
        <v>145</v>
      </c>
      <c r="X416" s="270" t="s">
        <v>309</v>
      </c>
      <c r="Y416" s="273">
        <v>45078</v>
      </c>
      <c r="Z416" s="288" t="s">
        <v>1875</v>
      </c>
      <c r="AA416" s="288" t="s">
        <v>2479</v>
      </c>
      <c r="AB416" s="288" t="s">
        <v>139</v>
      </c>
      <c r="AC416" s="288" t="s">
        <v>1875</v>
      </c>
      <c r="AD416" s="288" t="s">
        <v>1805</v>
      </c>
      <c r="AE416" s="288" t="s">
        <v>1805</v>
      </c>
      <c r="AF416" s="288" t="s">
        <v>2479</v>
      </c>
      <c r="AG416" s="288" t="s">
        <v>2479</v>
      </c>
      <c r="AH416" s="288" t="s">
        <v>2479</v>
      </c>
      <c r="AI416" s="288" t="s">
        <v>2479</v>
      </c>
      <c r="AJ416" s="303" t="s">
        <v>2191</v>
      </c>
      <c r="AK416" s="288" t="s">
        <v>2479</v>
      </c>
      <c r="AL416" s="303" t="s">
        <v>2190</v>
      </c>
      <c r="AM416" s="288" t="s">
        <v>1975</v>
      </c>
      <c r="AN416" s="207" t="b">
        <v>0</v>
      </c>
      <c r="AY416" s="288" t="s">
        <v>2479</v>
      </c>
      <c r="AZ416" s="288" t="s">
        <v>2479</v>
      </c>
      <c r="BA416" s="288" t="s">
        <v>373</v>
      </c>
      <c r="BB416" s="288" t="s">
        <v>139</v>
      </c>
      <c r="BC416" s="288" t="s">
        <v>2192</v>
      </c>
    </row>
    <row r="417" spans="1:55" ht="45" customHeight="1">
      <c r="A417" s="271">
        <f t="shared" si="6"/>
        <v>416</v>
      </c>
      <c r="B417" s="284" t="s">
        <v>3833</v>
      </c>
      <c r="C417" s="270" t="s">
        <v>3834</v>
      </c>
      <c r="D417" s="270" t="s">
        <v>8</v>
      </c>
      <c r="E417" s="270" t="s">
        <v>9</v>
      </c>
      <c r="F417" s="270" t="s">
        <v>1773</v>
      </c>
      <c r="G417" s="302">
        <v>45096</v>
      </c>
      <c r="K417" s="306">
        <v>45096</v>
      </c>
      <c r="L417" s="270" t="s">
        <v>2193</v>
      </c>
      <c r="M417" s="270" t="s">
        <v>115</v>
      </c>
      <c r="N417" s="272" t="s">
        <v>2479</v>
      </c>
      <c r="O417" s="270" t="s">
        <v>2479</v>
      </c>
      <c r="P417" s="270" t="s">
        <v>1555</v>
      </c>
      <c r="Q417" s="270" t="s">
        <v>2198</v>
      </c>
      <c r="R417" s="306">
        <v>44992.543645833335</v>
      </c>
      <c r="S417" s="285">
        <v>2023</v>
      </c>
      <c r="T417" s="270" t="s">
        <v>2194</v>
      </c>
      <c r="U417" s="270" t="s">
        <v>678</v>
      </c>
      <c r="V417" s="270" t="s">
        <v>679</v>
      </c>
      <c r="W417" s="270" t="s">
        <v>145</v>
      </c>
      <c r="X417" s="270" t="s">
        <v>309</v>
      </c>
      <c r="Y417" s="273">
        <v>45078</v>
      </c>
      <c r="Z417" s="288" t="s">
        <v>1875</v>
      </c>
      <c r="AA417" s="288" t="s">
        <v>2479</v>
      </c>
      <c r="AB417" s="288" t="s">
        <v>139</v>
      </c>
      <c r="AC417" s="288" t="s">
        <v>1875</v>
      </c>
      <c r="AD417" s="288" t="s">
        <v>1805</v>
      </c>
      <c r="AE417" s="288" t="s">
        <v>1805</v>
      </c>
      <c r="AF417" s="288" t="s">
        <v>2479</v>
      </c>
      <c r="AG417" s="288" t="s">
        <v>2479</v>
      </c>
      <c r="AH417" s="288" t="s">
        <v>2479</v>
      </c>
      <c r="AI417" s="288" t="s">
        <v>2479</v>
      </c>
      <c r="AJ417" s="303" t="s">
        <v>2191</v>
      </c>
      <c r="AK417" s="288" t="s">
        <v>2479</v>
      </c>
      <c r="AL417" s="303" t="s">
        <v>2190</v>
      </c>
      <c r="AM417" s="288" t="s">
        <v>1975</v>
      </c>
      <c r="AN417" s="207" t="b">
        <v>0</v>
      </c>
      <c r="AY417" s="288" t="s">
        <v>2479</v>
      </c>
      <c r="AZ417" s="288" t="s">
        <v>2479</v>
      </c>
      <c r="BA417" s="288" t="s">
        <v>373</v>
      </c>
      <c r="BB417" s="288" t="s">
        <v>139</v>
      </c>
      <c r="BC417" s="288" t="s">
        <v>2192</v>
      </c>
    </row>
    <row r="418" spans="1:55" ht="45" customHeight="1">
      <c r="A418" s="271">
        <f t="shared" si="6"/>
        <v>417</v>
      </c>
      <c r="B418" s="284" t="s">
        <v>3949</v>
      </c>
      <c r="C418" s="270" t="s">
        <v>3796</v>
      </c>
      <c r="D418" s="270" t="s">
        <v>8</v>
      </c>
      <c r="E418" s="270" t="s">
        <v>9</v>
      </c>
      <c r="F418" s="270" t="s">
        <v>1773</v>
      </c>
      <c r="G418" s="302">
        <v>44907</v>
      </c>
      <c r="I418" s="306">
        <v>45101</v>
      </c>
      <c r="J418" s="270" t="s">
        <v>2904</v>
      </c>
      <c r="L418" s="270" t="s">
        <v>2479</v>
      </c>
      <c r="M418" s="270" t="s">
        <v>2479</v>
      </c>
      <c r="N418" s="272" t="s">
        <v>122</v>
      </c>
      <c r="O418" s="270" t="s">
        <v>2479</v>
      </c>
      <c r="P418" s="270" t="s">
        <v>1556</v>
      </c>
      <c r="Q418" s="270" t="s">
        <v>2198</v>
      </c>
      <c r="R418" s="306">
        <v>44992.499293981484</v>
      </c>
      <c r="S418" s="285">
        <v>2022</v>
      </c>
      <c r="T418" s="270" t="s">
        <v>2001</v>
      </c>
      <c r="U418" s="270" t="s">
        <v>678</v>
      </c>
      <c r="V418" s="270" t="s">
        <v>679</v>
      </c>
      <c r="W418" s="270" t="s">
        <v>145</v>
      </c>
      <c r="X418" s="270" t="s">
        <v>309</v>
      </c>
      <c r="Y418" s="273">
        <v>45078</v>
      </c>
      <c r="Z418" s="288" t="s">
        <v>1875</v>
      </c>
      <c r="AA418" s="288" t="s">
        <v>2479</v>
      </c>
      <c r="AB418" s="288" t="s">
        <v>139</v>
      </c>
      <c r="AC418" s="288" t="s">
        <v>1875</v>
      </c>
      <c r="AD418" s="288" t="s">
        <v>1805</v>
      </c>
      <c r="AE418" s="288" t="s">
        <v>1805</v>
      </c>
      <c r="AF418" s="288" t="s">
        <v>2479</v>
      </c>
      <c r="AG418" s="288" t="s">
        <v>2479</v>
      </c>
      <c r="AH418" s="288" t="s">
        <v>2479</v>
      </c>
      <c r="AI418" s="288" t="s">
        <v>2479</v>
      </c>
      <c r="AJ418" s="303" t="s">
        <v>2191</v>
      </c>
      <c r="AK418" s="288" t="s">
        <v>2479</v>
      </c>
      <c r="AL418" s="303" t="s">
        <v>2190</v>
      </c>
      <c r="AM418" s="288" t="s">
        <v>1975</v>
      </c>
      <c r="AN418" s="207" t="b">
        <v>0</v>
      </c>
      <c r="AY418" s="288" t="s">
        <v>2479</v>
      </c>
      <c r="AZ418" s="288" t="s">
        <v>2479</v>
      </c>
      <c r="BA418" s="288" t="s">
        <v>373</v>
      </c>
      <c r="BB418" s="288" t="s">
        <v>139</v>
      </c>
      <c r="BC418" s="288" t="s">
        <v>2192</v>
      </c>
    </row>
    <row r="419" spans="1:55" ht="45" customHeight="1">
      <c r="A419" s="271">
        <f t="shared" si="6"/>
        <v>418</v>
      </c>
      <c r="B419" s="284" t="s">
        <v>3955</v>
      </c>
      <c r="C419" s="270" t="s">
        <v>3956</v>
      </c>
      <c r="D419" s="270" t="s">
        <v>8</v>
      </c>
      <c r="E419" s="270" t="s">
        <v>9</v>
      </c>
      <c r="F419" s="270" t="s">
        <v>1773</v>
      </c>
      <c r="G419" s="302">
        <v>45099</v>
      </c>
      <c r="L419" s="270" t="s">
        <v>2479</v>
      </c>
      <c r="M419" s="270" t="s">
        <v>2479</v>
      </c>
      <c r="N419" s="272" t="s">
        <v>122</v>
      </c>
      <c r="O419" s="270" t="s">
        <v>2479</v>
      </c>
      <c r="P419" s="270" t="s">
        <v>1555</v>
      </c>
      <c r="Q419" s="270" t="s">
        <v>2198</v>
      </c>
      <c r="R419" s="306">
        <v>44992.523935185185</v>
      </c>
      <c r="S419" s="285">
        <v>2023</v>
      </c>
      <c r="T419" s="270" t="s">
        <v>2001</v>
      </c>
      <c r="U419" s="270" t="s">
        <v>678</v>
      </c>
      <c r="V419" s="270" t="s">
        <v>679</v>
      </c>
      <c r="W419" s="270" t="s">
        <v>145</v>
      </c>
      <c r="X419" s="270" t="s">
        <v>309</v>
      </c>
      <c r="Y419" s="273">
        <v>45078</v>
      </c>
      <c r="Z419" s="288" t="s">
        <v>1875</v>
      </c>
      <c r="AA419" s="288" t="s">
        <v>2479</v>
      </c>
      <c r="AB419" s="288" t="s">
        <v>139</v>
      </c>
      <c r="AC419" s="288" t="s">
        <v>1875</v>
      </c>
      <c r="AD419" s="288" t="s">
        <v>1805</v>
      </c>
      <c r="AE419" s="288" t="s">
        <v>1805</v>
      </c>
      <c r="AF419" s="288" t="s">
        <v>2479</v>
      </c>
      <c r="AG419" s="288" t="s">
        <v>2479</v>
      </c>
      <c r="AH419" s="288" t="s">
        <v>2479</v>
      </c>
      <c r="AI419" s="288" t="s">
        <v>2479</v>
      </c>
      <c r="AJ419" s="303" t="s">
        <v>2191</v>
      </c>
      <c r="AK419" s="288" t="s">
        <v>2479</v>
      </c>
      <c r="AL419" s="303" t="s">
        <v>2190</v>
      </c>
      <c r="AM419" s="288" t="s">
        <v>1975</v>
      </c>
      <c r="AN419" s="207" t="b">
        <v>0</v>
      </c>
      <c r="AY419" s="288" t="s">
        <v>2479</v>
      </c>
      <c r="AZ419" s="288" t="s">
        <v>2479</v>
      </c>
      <c r="BA419" s="288" t="s">
        <v>373</v>
      </c>
      <c r="BB419" s="288" t="s">
        <v>139</v>
      </c>
      <c r="BC419" s="288" t="s">
        <v>2192</v>
      </c>
    </row>
    <row r="420" spans="1:55" ht="45" customHeight="1">
      <c r="A420" s="271">
        <f t="shared" si="6"/>
        <v>419</v>
      </c>
      <c r="B420" s="284" t="s">
        <v>2572</v>
      </c>
      <c r="C420" s="270" t="s">
        <v>2573</v>
      </c>
      <c r="D420" s="270" t="s">
        <v>8</v>
      </c>
      <c r="E420" s="270" t="s">
        <v>9</v>
      </c>
      <c r="F420" s="270" t="s">
        <v>1775</v>
      </c>
      <c r="G420" s="302">
        <v>44663</v>
      </c>
      <c r="L420" s="270" t="s">
        <v>2479</v>
      </c>
      <c r="M420" s="270" t="s">
        <v>2479</v>
      </c>
      <c r="N420" s="272" t="s">
        <v>98</v>
      </c>
      <c r="O420" s="270" t="s">
        <v>2479</v>
      </c>
      <c r="P420" s="270" t="s">
        <v>1554</v>
      </c>
      <c r="Q420" s="270" t="s">
        <v>2198</v>
      </c>
      <c r="R420" s="306">
        <v>44630.387326388889</v>
      </c>
      <c r="S420" s="285">
        <v>2022</v>
      </c>
      <c r="T420" s="270" t="s">
        <v>2001</v>
      </c>
      <c r="U420" s="270" t="s">
        <v>678</v>
      </c>
      <c r="V420" s="270" t="s">
        <v>679</v>
      </c>
      <c r="W420" s="270" t="s">
        <v>145</v>
      </c>
      <c r="X420" s="270" t="s">
        <v>309</v>
      </c>
      <c r="Y420" s="273">
        <v>45078</v>
      </c>
      <c r="Z420" s="288" t="s">
        <v>1875</v>
      </c>
      <c r="AA420" s="288" t="s">
        <v>2479</v>
      </c>
      <c r="AB420" s="288" t="s">
        <v>139</v>
      </c>
      <c r="AC420" s="288" t="s">
        <v>1875</v>
      </c>
      <c r="AD420" s="288" t="s">
        <v>1805</v>
      </c>
      <c r="AE420" s="288" t="s">
        <v>1805</v>
      </c>
      <c r="AF420" s="288" t="s">
        <v>2479</v>
      </c>
      <c r="AG420" s="288" t="s">
        <v>2479</v>
      </c>
      <c r="AH420" s="288" t="s">
        <v>2479</v>
      </c>
      <c r="AI420" s="288" t="s">
        <v>2479</v>
      </c>
      <c r="AJ420" s="303" t="s">
        <v>2191</v>
      </c>
      <c r="AK420" s="288" t="s">
        <v>2479</v>
      </c>
      <c r="AL420" s="303" t="s">
        <v>2190</v>
      </c>
      <c r="AM420" s="288" t="s">
        <v>1975</v>
      </c>
      <c r="AN420" s="207" t="b">
        <v>0</v>
      </c>
      <c r="AY420" s="288" t="s">
        <v>2479</v>
      </c>
      <c r="AZ420" s="288" t="s">
        <v>2479</v>
      </c>
      <c r="BA420" s="288" t="s">
        <v>373</v>
      </c>
      <c r="BB420" s="288" t="s">
        <v>1610</v>
      </c>
      <c r="BC420" s="288" t="s">
        <v>2192</v>
      </c>
    </row>
    <row r="421" spans="1:55" ht="45" customHeight="1">
      <c r="A421" s="271">
        <f t="shared" si="6"/>
        <v>420</v>
      </c>
      <c r="B421" s="284" t="s">
        <v>2584</v>
      </c>
      <c r="C421" s="270" t="s">
        <v>2585</v>
      </c>
      <c r="D421" s="270" t="s">
        <v>8</v>
      </c>
      <c r="E421" s="270" t="s">
        <v>9</v>
      </c>
      <c r="F421" s="270" t="s">
        <v>1775</v>
      </c>
      <c r="G421" s="302">
        <v>44743</v>
      </c>
      <c r="L421" s="270" t="s">
        <v>2479</v>
      </c>
      <c r="M421" s="270" t="s">
        <v>2479</v>
      </c>
      <c r="N421" s="272" t="s">
        <v>98</v>
      </c>
      <c r="O421" s="270" t="s">
        <v>2479</v>
      </c>
      <c r="P421" s="270" t="s">
        <v>1554</v>
      </c>
      <c r="Q421" s="270" t="s">
        <v>2198</v>
      </c>
      <c r="R421" s="306">
        <v>44630.39340277778</v>
      </c>
      <c r="S421" s="285">
        <v>2022</v>
      </c>
      <c r="T421" s="270" t="s">
        <v>2001</v>
      </c>
      <c r="U421" s="270" t="s">
        <v>678</v>
      </c>
      <c r="V421" s="270" t="s">
        <v>679</v>
      </c>
      <c r="W421" s="270" t="s">
        <v>145</v>
      </c>
      <c r="X421" s="270" t="s">
        <v>309</v>
      </c>
      <c r="Y421" s="273">
        <v>45078</v>
      </c>
      <c r="Z421" s="288" t="s">
        <v>1875</v>
      </c>
      <c r="AA421" s="288" t="s">
        <v>2479</v>
      </c>
      <c r="AB421" s="288" t="s">
        <v>139</v>
      </c>
      <c r="AC421" s="288" t="s">
        <v>1875</v>
      </c>
      <c r="AD421" s="288" t="s">
        <v>1805</v>
      </c>
      <c r="AE421" s="288" t="s">
        <v>1805</v>
      </c>
      <c r="AF421" s="288" t="s">
        <v>2479</v>
      </c>
      <c r="AG421" s="288" t="s">
        <v>2479</v>
      </c>
      <c r="AH421" s="288" t="s">
        <v>2479</v>
      </c>
      <c r="AI421" s="288" t="s">
        <v>2479</v>
      </c>
      <c r="AJ421" s="303" t="s">
        <v>2191</v>
      </c>
      <c r="AK421" s="288" t="s">
        <v>2479</v>
      </c>
      <c r="AL421" s="303" t="s">
        <v>2190</v>
      </c>
      <c r="AM421" s="288" t="s">
        <v>1975</v>
      </c>
      <c r="AN421" s="207" t="b">
        <v>0</v>
      </c>
      <c r="AY421" s="288" t="s">
        <v>2479</v>
      </c>
      <c r="AZ421" s="288" t="s">
        <v>2479</v>
      </c>
      <c r="BA421" s="288" t="s">
        <v>373</v>
      </c>
      <c r="BB421" s="288" t="s">
        <v>1610</v>
      </c>
      <c r="BC421" s="288" t="s">
        <v>2192</v>
      </c>
    </row>
    <row r="422" spans="1:55" ht="45" customHeight="1">
      <c r="A422" s="271">
        <f t="shared" si="6"/>
        <v>421</v>
      </c>
      <c r="B422" s="276" t="s">
        <v>2902</v>
      </c>
      <c r="C422" s="277" t="s">
        <v>2903</v>
      </c>
      <c r="D422" s="277" t="s">
        <v>8</v>
      </c>
      <c r="E422" s="277" t="s">
        <v>9</v>
      </c>
      <c r="F422" s="277" t="s">
        <v>1775</v>
      </c>
      <c r="G422" s="308">
        <v>44746</v>
      </c>
      <c r="H422" s="308"/>
      <c r="I422" s="308">
        <v>44840</v>
      </c>
      <c r="J422" s="277" t="s">
        <v>2904</v>
      </c>
      <c r="K422" s="279"/>
      <c r="L422" s="277" t="s">
        <v>2479</v>
      </c>
      <c r="M422" s="277" t="s">
        <v>2479</v>
      </c>
      <c r="N422" s="277" t="s">
        <v>122</v>
      </c>
      <c r="O422" s="277" t="s">
        <v>2479</v>
      </c>
      <c r="P422" s="277" t="s">
        <v>1554</v>
      </c>
      <c r="Q422" s="277" t="s">
        <v>2198</v>
      </c>
      <c r="R422" s="279" t="s">
        <v>2905</v>
      </c>
      <c r="S422" s="286">
        <v>2022</v>
      </c>
      <c r="T422" s="277" t="s">
        <v>2001</v>
      </c>
      <c r="U422" s="277" t="s">
        <v>678</v>
      </c>
      <c r="V422" s="277" t="s">
        <v>679</v>
      </c>
      <c r="W422" s="277" t="s">
        <v>145</v>
      </c>
      <c r="X422" s="277" t="s">
        <v>309</v>
      </c>
      <c r="Y422" s="278">
        <v>45078</v>
      </c>
      <c r="Z422" s="287" t="s">
        <v>1875</v>
      </c>
      <c r="AA422" s="287" t="s">
        <v>2479</v>
      </c>
      <c r="AB422" s="287" t="s">
        <v>139</v>
      </c>
      <c r="AC422" s="287" t="s">
        <v>1875</v>
      </c>
      <c r="AD422" s="287" t="s">
        <v>1805</v>
      </c>
      <c r="AE422" s="287" t="s">
        <v>1805</v>
      </c>
      <c r="AF422" s="287" t="s">
        <v>2479</v>
      </c>
      <c r="AG422" s="287" t="s">
        <v>2479</v>
      </c>
      <c r="AH422" s="287" t="s">
        <v>2479</v>
      </c>
      <c r="AI422" s="287" t="s">
        <v>2479</v>
      </c>
      <c r="AJ422" s="304" t="s">
        <v>2191</v>
      </c>
      <c r="AK422" s="287" t="s">
        <v>2479</v>
      </c>
      <c r="AL422" s="304" t="s">
        <v>2190</v>
      </c>
      <c r="AM422" s="289" t="s">
        <v>1975</v>
      </c>
      <c r="AN422" s="281" t="b">
        <v>0</v>
      </c>
      <c r="AO422" s="305"/>
      <c r="AP422" s="291"/>
      <c r="AQ422" s="291"/>
      <c r="AR422" s="291"/>
      <c r="AS422" s="291"/>
      <c r="AT422" s="291"/>
      <c r="AU422" s="291"/>
      <c r="AV422" s="305"/>
      <c r="AW422" s="281"/>
      <c r="AX422" s="281"/>
      <c r="AY422" s="289" t="s">
        <v>2479</v>
      </c>
      <c r="AZ422" s="289" t="s">
        <v>2479</v>
      </c>
      <c r="BA422" s="289" t="s">
        <v>373</v>
      </c>
      <c r="BB422" s="289" t="s">
        <v>1610</v>
      </c>
      <c r="BC422" s="292" t="s">
        <v>2192</v>
      </c>
    </row>
    <row r="423" spans="1:55" ht="45" customHeight="1">
      <c r="A423" s="271">
        <f t="shared" si="6"/>
        <v>422</v>
      </c>
      <c r="B423" s="284" t="s">
        <v>2586</v>
      </c>
      <c r="C423" s="270" t="s">
        <v>2587</v>
      </c>
      <c r="D423" s="270" t="s">
        <v>8</v>
      </c>
      <c r="E423" s="270" t="s">
        <v>9</v>
      </c>
      <c r="F423" s="270" t="s">
        <v>1775</v>
      </c>
      <c r="G423" s="302">
        <v>44758</v>
      </c>
      <c r="L423" s="270" t="s">
        <v>2479</v>
      </c>
      <c r="M423" s="270" t="s">
        <v>2479</v>
      </c>
      <c r="N423" s="272" t="s">
        <v>98</v>
      </c>
      <c r="O423" s="270" t="s">
        <v>2479</v>
      </c>
      <c r="P423" s="270" t="s">
        <v>1554</v>
      </c>
      <c r="Q423" s="270" t="s">
        <v>2198</v>
      </c>
      <c r="R423" s="306">
        <v>44630.394016203703</v>
      </c>
      <c r="S423" s="285">
        <v>2022</v>
      </c>
      <c r="T423" s="270" t="s">
        <v>2001</v>
      </c>
      <c r="U423" s="270" t="s">
        <v>678</v>
      </c>
      <c r="V423" s="270" t="s">
        <v>679</v>
      </c>
      <c r="W423" s="270" t="s">
        <v>145</v>
      </c>
      <c r="X423" s="270" t="s">
        <v>309</v>
      </c>
      <c r="Y423" s="273">
        <v>45078</v>
      </c>
      <c r="Z423" s="288" t="s">
        <v>1875</v>
      </c>
      <c r="AA423" s="288" t="s">
        <v>2479</v>
      </c>
      <c r="AB423" s="288" t="s">
        <v>139</v>
      </c>
      <c r="AC423" s="288" t="s">
        <v>1875</v>
      </c>
      <c r="AD423" s="288" t="s">
        <v>1805</v>
      </c>
      <c r="AE423" s="288" t="s">
        <v>1805</v>
      </c>
      <c r="AF423" s="288" t="s">
        <v>2479</v>
      </c>
      <c r="AG423" s="288" t="s">
        <v>2479</v>
      </c>
      <c r="AH423" s="288" t="s">
        <v>2479</v>
      </c>
      <c r="AI423" s="288" t="s">
        <v>2479</v>
      </c>
      <c r="AJ423" s="303" t="s">
        <v>2191</v>
      </c>
      <c r="AK423" s="288" t="s">
        <v>2479</v>
      </c>
      <c r="AL423" s="303" t="s">
        <v>2190</v>
      </c>
      <c r="AM423" s="288" t="s">
        <v>1975</v>
      </c>
      <c r="AN423" s="207" t="b">
        <v>0</v>
      </c>
      <c r="AY423" s="288" t="s">
        <v>2479</v>
      </c>
      <c r="AZ423" s="288" t="s">
        <v>2479</v>
      </c>
      <c r="BA423" s="288" t="s">
        <v>373</v>
      </c>
      <c r="BB423" s="288" t="s">
        <v>1610</v>
      </c>
      <c r="BC423" s="288" t="s">
        <v>2192</v>
      </c>
    </row>
    <row r="424" spans="1:55" ht="45" customHeight="1">
      <c r="A424" s="271">
        <f t="shared" si="6"/>
        <v>423</v>
      </c>
      <c r="B424" s="284" t="s">
        <v>2588</v>
      </c>
      <c r="C424" s="270" t="s">
        <v>2589</v>
      </c>
      <c r="D424" s="270" t="s">
        <v>8</v>
      </c>
      <c r="E424" s="270" t="s">
        <v>9</v>
      </c>
      <c r="F424" s="270" t="s">
        <v>1775</v>
      </c>
      <c r="G424" s="302">
        <v>44784</v>
      </c>
      <c r="L424" s="270" t="s">
        <v>2479</v>
      </c>
      <c r="M424" s="270" t="s">
        <v>2479</v>
      </c>
      <c r="N424" s="272" t="s">
        <v>132</v>
      </c>
      <c r="O424" s="270" t="s">
        <v>2479</v>
      </c>
      <c r="P424" s="270" t="s">
        <v>1554</v>
      </c>
      <c r="Q424" s="270" t="s">
        <v>2198</v>
      </c>
      <c r="R424" s="306">
        <v>44630.394513888888</v>
      </c>
      <c r="S424" s="285">
        <v>2022</v>
      </c>
      <c r="T424" s="270" t="s">
        <v>2001</v>
      </c>
      <c r="U424" s="270" t="s">
        <v>678</v>
      </c>
      <c r="V424" s="270" t="s">
        <v>679</v>
      </c>
      <c r="W424" s="270" t="s">
        <v>145</v>
      </c>
      <c r="X424" s="270" t="s">
        <v>309</v>
      </c>
      <c r="Y424" s="273">
        <v>45078</v>
      </c>
      <c r="Z424" s="288" t="s">
        <v>1875</v>
      </c>
      <c r="AA424" s="288" t="s">
        <v>2479</v>
      </c>
      <c r="AB424" s="288" t="s">
        <v>139</v>
      </c>
      <c r="AC424" s="288" t="s">
        <v>1875</v>
      </c>
      <c r="AD424" s="288" t="s">
        <v>1805</v>
      </c>
      <c r="AE424" s="288" t="s">
        <v>1805</v>
      </c>
      <c r="AF424" s="288" t="s">
        <v>2479</v>
      </c>
      <c r="AG424" s="288" t="s">
        <v>2479</v>
      </c>
      <c r="AH424" s="288" t="s">
        <v>2479</v>
      </c>
      <c r="AI424" s="288" t="s">
        <v>2479</v>
      </c>
      <c r="AJ424" s="303" t="s">
        <v>2191</v>
      </c>
      <c r="AK424" s="288" t="s">
        <v>2479</v>
      </c>
      <c r="AL424" s="303" t="s">
        <v>2190</v>
      </c>
      <c r="AM424" s="288" t="s">
        <v>1975</v>
      </c>
      <c r="AN424" s="207" t="b">
        <v>0</v>
      </c>
      <c r="AY424" s="288" t="s">
        <v>2479</v>
      </c>
      <c r="AZ424" s="288" t="s">
        <v>2479</v>
      </c>
      <c r="BA424" s="288" t="s">
        <v>373</v>
      </c>
      <c r="BB424" s="288" t="s">
        <v>1610</v>
      </c>
      <c r="BC424" s="288" t="s">
        <v>2192</v>
      </c>
    </row>
    <row r="425" spans="1:55" ht="45" customHeight="1">
      <c r="A425" s="271">
        <f t="shared" si="6"/>
        <v>424</v>
      </c>
      <c r="B425" s="284" t="s">
        <v>2592</v>
      </c>
      <c r="C425" s="270" t="s">
        <v>2593</v>
      </c>
      <c r="D425" s="270" t="s">
        <v>8</v>
      </c>
      <c r="E425" s="270" t="s">
        <v>9</v>
      </c>
      <c r="F425" s="270" t="s">
        <v>1775</v>
      </c>
      <c r="G425" s="302">
        <v>44795</v>
      </c>
      <c r="L425" s="270" t="s">
        <v>2479</v>
      </c>
      <c r="M425" s="270" t="s">
        <v>2479</v>
      </c>
      <c r="N425" s="272" t="s">
        <v>98</v>
      </c>
      <c r="O425" s="270" t="s">
        <v>2479</v>
      </c>
      <c r="P425" s="270" t="s">
        <v>1554</v>
      </c>
      <c r="Q425" s="270" t="s">
        <v>2198</v>
      </c>
      <c r="R425" s="306">
        <v>44630.395671296297</v>
      </c>
      <c r="S425" s="285">
        <v>2022</v>
      </c>
      <c r="T425" s="270" t="s">
        <v>2001</v>
      </c>
      <c r="U425" s="270" t="s">
        <v>678</v>
      </c>
      <c r="V425" s="270" t="s">
        <v>679</v>
      </c>
      <c r="W425" s="270" t="s">
        <v>145</v>
      </c>
      <c r="X425" s="270" t="s">
        <v>309</v>
      </c>
      <c r="Y425" s="273">
        <v>45078</v>
      </c>
      <c r="Z425" s="288" t="s">
        <v>1875</v>
      </c>
      <c r="AA425" s="288" t="s">
        <v>2479</v>
      </c>
      <c r="AB425" s="288" t="s">
        <v>139</v>
      </c>
      <c r="AC425" s="288" t="s">
        <v>1875</v>
      </c>
      <c r="AD425" s="288" t="s">
        <v>1805</v>
      </c>
      <c r="AE425" s="288" t="s">
        <v>1805</v>
      </c>
      <c r="AF425" s="288" t="s">
        <v>2479</v>
      </c>
      <c r="AG425" s="288" t="s">
        <v>2479</v>
      </c>
      <c r="AH425" s="288" t="s">
        <v>2479</v>
      </c>
      <c r="AI425" s="288" t="s">
        <v>2479</v>
      </c>
      <c r="AJ425" s="303" t="s">
        <v>2191</v>
      </c>
      <c r="AK425" s="288" t="s">
        <v>2479</v>
      </c>
      <c r="AL425" s="303" t="s">
        <v>2190</v>
      </c>
      <c r="AM425" s="288" t="s">
        <v>1975</v>
      </c>
      <c r="AN425" s="207" t="b">
        <v>0</v>
      </c>
      <c r="AY425" s="288" t="s">
        <v>2479</v>
      </c>
      <c r="AZ425" s="288" t="s">
        <v>2479</v>
      </c>
      <c r="BA425" s="288" t="s">
        <v>373</v>
      </c>
      <c r="BB425" s="288" t="s">
        <v>1610</v>
      </c>
      <c r="BC425" s="288" t="s">
        <v>2192</v>
      </c>
    </row>
    <row r="426" spans="1:55" ht="45" customHeight="1">
      <c r="A426" s="271">
        <f t="shared" si="6"/>
        <v>425</v>
      </c>
      <c r="B426" s="284" t="s">
        <v>2594</v>
      </c>
      <c r="C426" s="270" t="s">
        <v>2595</v>
      </c>
      <c r="D426" s="270" t="s">
        <v>8</v>
      </c>
      <c r="E426" s="270" t="s">
        <v>9</v>
      </c>
      <c r="F426" s="270" t="s">
        <v>1775</v>
      </c>
      <c r="G426" s="302">
        <v>44796</v>
      </c>
      <c r="L426" s="270" t="s">
        <v>2479</v>
      </c>
      <c r="M426" s="270" t="s">
        <v>2479</v>
      </c>
      <c r="N426" s="272" t="s">
        <v>122</v>
      </c>
      <c r="O426" s="270" t="s">
        <v>2479</v>
      </c>
      <c r="P426" s="270" t="s">
        <v>1554</v>
      </c>
      <c r="Q426" s="270" t="s">
        <v>2198</v>
      </c>
      <c r="R426" s="306">
        <v>44630.396215277775</v>
      </c>
      <c r="S426" s="285">
        <v>2022</v>
      </c>
      <c r="T426" s="270" t="s">
        <v>2001</v>
      </c>
      <c r="U426" s="270" t="s">
        <v>678</v>
      </c>
      <c r="V426" s="270" t="s">
        <v>679</v>
      </c>
      <c r="W426" s="270" t="s">
        <v>145</v>
      </c>
      <c r="X426" s="270" t="s">
        <v>309</v>
      </c>
      <c r="Y426" s="273">
        <v>45078</v>
      </c>
      <c r="Z426" s="288" t="s">
        <v>1875</v>
      </c>
      <c r="AA426" s="288" t="s">
        <v>2479</v>
      </c>
      <c r="AB426" s="288" t="s">
        <v>139</v>
      </c>
      <c r="AC426" s="288" t="s">
        <v>1875</v>
      </c>
      <c r="AD426" s="288" t="s">
        <v>1805</v>
      </c>
      <c r="AE426" s="288" t="s">
        <v>1805</v>
      </c>
      <c r="AF426" s="288" t="s">
        <v>2479</v>
      </c>
      <c r="AG426" s="288" t="s">
        <v>2479</v>
      </c>
      <c r="AH426" s="288" t="s">
        <v>2479</v>
      </c>
      <c r="AI426" s="288" t="s">
        <v>2479</v>
      </c>
      <c r="AJ426" s="303" t="s">
        <v>2191</v>
      </c>
      <c r="AK426" s="288" t="s">
        <v>2479</v>
      </c>
      <c r="AL426" s="303" t="s">
        <v>2190</v>
      </c>
      <c r="AM426" s="288" t="s">
        <v>1975</v>
      </c>
      <c r="AN426" s="207" t="b">
        <v>0</v>
      </c>
      <c r="AY426" s="288" t="s">
        <v>2479</v>
      </c>
      <c r="AZ426" s="288" t="s">
        <v>2479</v>
      </c>
      <c r="BA426" s="288" t="s">
        <v>373</v>
      </c>
      <c r="BB426" s="288" t="s">
        <v>1610</v>
      </c>
      <c r="BC426" s="288" t="s">
        <v>2192</v>
      </c>
    </row>
    <row r="427" spans="1:55" ht="45" customHeight="1">
      <c r="A427" s="271">
        <f t="shared" si="6"/>
        <v>426</v>
      </c>
      <c r="B427" s="284" t="s">
        <v>2596</v>
      </c>
      <c r="C427" s="270" t="s">
        <v>2597</v>
      </c>
      <c r="D427" s="270" t="s">
        <v>8</v>
      </c>
      <c r="E427" s="270" t="s">
        <v>9</v>
      </c>
      <c r="F427" s="270" t="s">
        <v>1775</v>
      </c>
      <c r="G427" s="302">
        <v>44796</v>
      </c>
      <c r="L427" s="270" t="s">
        <v>2479</v>
      </c>
      <c r="M427" s="270" t="s">
        <v>2479</v>
      </c>
      <c r="N427" s="272" t="s">
        <v>98</v>
      </c>
      <c r="O427" s="270" t="s">
        <v>2479</v>
      </c>
      <c r="P427" s="270" t="s">
        <v>1554</v>
      </c>
      <c r="Q427" s="270" t="s">
        <v>2198</v>
      </c>
      <c r="R427" s="306">
        <v>44630.398101851853</v>
      </c>
      <c r="S427" s="285">
        <v>2022</v>
      </c>
      <c r="T427" s="270" t="s">
        <v>2001</v>
      </c>
      <c r="U427" s="270" t="s">
        <v>678</v>
      </c>
      <c r="V427" s="270" t="s">
        <v>679</v>
      </c>
      <c r="W427" s="270" t="s">
        <v>145</v>
      </c>
      <c r="X427" s="270" t="s">
        <v>309</v>
      </c>
      <c r="Y427" s="273">
        <v>45078</v>
      </c>
      <c r="Z427" s="288" t="s">
        <v>1875</v>
      </c>
      <c r="AA427" s="288" t="s">
        <v>2479</v>
      </c>
      <c r="AB427" s="288" t="s">
        <v>139</v>
      </c>
      <c r="AC427" s="288" t="s">
        <v>1875</v>
      </c>
      <c r="AD427" s="288" t="s">
        <v>1805</v>
      </c>
      <c r="AE427" s="288" t="s">
        <v>1805</v>
      </c>
      <c r="AF427" s="288" t="s">
        <v>2479</v>
      </c>
      <c r="AG427" s="288" t="s">
        <v>2479</v>
      </c>
      <c r="AH427" s="288" t="s">
        <v>2479</v>
      </c>
      <c r="AI427" s="288" t="s">
        <v>2479</v>
      </c>
      <c r="AJ427" s="303" t="s">
        <v>2191</v>
      </c>
      <c r="AK427" s="288" t="s">
        <v>2479</v>
      </c>
      <c r="AL427" s="303" t="s">
        <v>2190</v>
      </c>
      <c r="AM427" s="288" t="s">
        <v>1975</v>
      </c>
      <c r="AN427" s="207" t="b">
        <v>0</v>
      </c>
      <c r="AY427" s="288" t="s">
        <v>2479</v>
      </c>
      <c r="AZ427" s="288" t="s">
        <v>2479</v>
      </c>
      <c r="BA427" s="288" t="s">
        <v>373</v>
      </c>
      <c r="BB427" s="288" t="s">
        <v>1610</v>
      </c>
      <c r="BC427" s="288" t="s">
        <v>2192</v>
      </c>
    </row>
    <row r="428" spans="1:55" ht="45" customHeight="1">
      <c r="A428" s="271">
        <f>ROW()-1</f>
        <v>427</v>
      </c>
      <c r="B428" s="276" t="s">
        <v>2820</v>
      </c>
      <c r="C428" s="277" t="s">
        <v>2821</v>
      </c>
      <c r="D428" s="277" t="s">
        <v>8</v>
      </c>
      <c r="E428" s="277" t="s">
        <v>9</v>
      </c>
      <c r="F428" s="277" t="s">
        <v>1775</v>
      </c>
      <c r="G428" s="307">
        <v>44831</v>
      </c>
      <c r="H428" s="308"/>
      <c r="I428" s="308"/>
      <c r="J428" s="277"/>
      <c r="K428" s="279">
        <v>45099</v>
      </c>
      <c r="L428" s="277" t="s">
        <v>2193</v>
      </c>
      <c r="M428" s="277" t="s">
        <v>113</v>
      </c>
      <c r="N428" s="277" t="s">
        <v>2479</v>
      </c>
      <c r="O428" s="277" t="s">
        <v>2479</v>
      </c>
      <c r="P428" s="277" t="s">
        <v>1554</v>
      </c>
      <c r="Q428" s="277" t="s">
        <v>2198</v>
      </c>
      <c r="R428" s="279">
        <v>44992.616168981483</v>
      </c>
      <c r="S428" s="286">
        <v>2022</v>
      </c>
      <c r="T428" s="277" t="s">
        <v>2194</v>
      </c>
      <c r="U428" s="277" t="s">
        <v>678</v>
      </c>
      <c r="V428" s="277" t="s">
        <v>679</v>
      </c>
      <c r="W428" s="277" t="s">
        <v>145</v>
      </c>
      <c r="X428" s="277" t="s">
        <v>309</v>
      </c>
      <c r="Y428" s="278">
        <v>45078</v>
      </c>
      <c r="Z428" s="287" t="s">
        <v>1875</v>
      </c>
      <c r="AA428" s="287" t="s">
        <v>2479</v>
      </c>
      <c r="AB428" s="287" t="s">
        <v>139</v>
      </c>
      <c r="AC428" s="287" t="s">
        <v>1875</v>
      </c>
      <c r="AD428" s="287" t="s">
        <v>1805</v>
      </c>
      <c r="AE428" s="287" t="s">
        <v>1805</v>
      </c>
      <c r="AF428" s="287" t="s">
        <v>2479</v>
      </c>
      <c r="AG428" s="287" t="s">
        <v>2479</v>
      </c>
      <c r="AH428" s="287" t="s">
        <v>2479</v>
      </c>
      <c r="AI428" s="287" t="s">
        <v>2479</v>
      </c>
      <c r="AJ428" s="304" t="s">
        <v>2191</v>
      </c>
      <c r="AK428" s="287" t="s">
        <v>2479</v>
      </c>
      <c r="AL428" s="304" t="s">
        <v>2190</v>
      </c>
      <c r="AM428" s="289" t="s">
        <v>1975</v>
      </c>
      <c r="AN428" s="281" t="b">
        <v>0</v>
      </c>
      <c r="AO428" s="305"/>
      <c r="AP428" s="291"/>
      <c r="AQ428" s="291"/>
      <c r="AR428" s="291"/>
      <c r="AS428" s="291"/>
      <c r="AT428" s="291"/>
      <c r="AU428" s="291"/>
      <c r="AV428" s="305"/>
      <c r="AW428" s="281"/>
      <c r="AX428" s="281"/>
      <c r="AY428" s="289" t="s">
        <v>2479</v>
      </c>
      <c r="AZ428" s="289" t="s">
        <v>2479</v>
      </c>
      <c r="BA428" s="289" t="s">
        <v>373</v>
      </c>
      <c r="BB428" s="289" t="s">
        <v>139</v>
      </c>
      <c r="BC428" s="292" t="s">
        <v>2192</v>
      </c>
    </row>
    <row r="429" spans="1:55" ht="45" customHeight="1">
      <c r="A429" s="271">
        <f>ROW()-1</f>
        <v>428</v>
      </c>
      <c r="B429" s="276" t="s">
        <v>2927</v>
      </c>
      <c r="C429" s="277" t="s">
        <v>2928</v>
      </c>
      <c r="D429" s="277" t="s">
        <v>8</v>
      </c>
      <c r="E429" s="277" t="s">
        <v>9</v>
      </c>
      <c r="F429" s="277" t="s">
        <v>1775</v>
      </c>
      <c r="G429" s="307">
        <v>44835</v>
      </c>
      <c r="H429" s="308"/>
      <c r="I429" s="308"/>
      <c r="J429" s="277"/>
      <c r="K429" s="279">
        <v>45099</v>
      </c>
      <c r="L429" s="277" t="s">
        <v>2193</v>
      </c>
      <c r="M429" s="277" t="s">
        <v>113</v>
      </c>
      <c r="N429" s="277" t="s">
        <v>2479</v>
      </c>
      <c r="O429" s="277" t="s">
        <v>2479</v>
      </c>
      <c r="P429" s="277" t="s">
        <v>1554</v>
      </c>
      <c r="Q429" s="277" t="s">
        <v>2198</v>
      </c>
      <c r="R429" s="279">
        <v>44992.61577546296</v>
      </c>
      <c r="S429" s="286">
        <v>2022</v>
      </c>
      <c r="T429" s="277" t="s">
        <v>2194</v>
      </c>
      <c r="U429" s="277" t="s">
        <v>678</v>
      </c>
      <c r="V429" s="277" t="s">
        <v>679</v>
      </c>
      <c r="W429" s="277" t="s">
        <v>145</v>
      </c>
      <c r="X429" s="277" t="s">
        <v>309</v>
      </c>
      <c r="Y429" s="278">
        <v>45078</v>
      </c>
      <c r="Z429" s="287" t="s">
        <v>1875</v>
      </c>
      <c r="AA429" s="287" t="s">
        <v>2479</v>
      </c>
      <c r="AB429" s="287" t="s">
        <v>139</v>
      </c>
      <c r="AC429" s="287" t="s">
        <v>1875</v>
      </c>
      <c r="AD429" s="287" t="s">
        <v>1805</v>
      </c>
      <c r="AE429" s="287" t="s">
        <v>1805</v>
      </c>
      <c r="AF429" s="287" t="s">
        <v>2479</v>
      </c>
      <c r="AG429" s="287" t="s">
        <v>2479</v>
      </c>
      <c r="AH429" s="287" t="s">
        <v>2479</v>
      </c>
      <c r="AI429" s="287" t="s">
        <v>2479</v>
      </c>
      <c r="AJ429" s="304" t="s">
        <v>2191</v>
      </c>
      <c r="AK429" s="287" t="s">
        <v>2479</v>
      </c>
      <c r="AL429" s="304" t="s">
        <v>2190</v>
      </c>
      <c r="AM429" s="289" t="s">
        <v>1975</v>
      </c>
      <c r="AN429" s="281" t="b">
        <v>0</v>
      </c>
      <c r="AO429" s="305"/>
      <c r="AP429" s="291"/>
      <c r="AQ429" s="291"/>
      <c r="AR429" s="291"/>
      <c r="AS429" s="291"/>
      <c r="AT429" s="291"/>
      <c r="AU429" s="291"/>
      <c r="AV429" s="305"/>
      <c r="AW429" s="281"/>
      <c r="AX429" s="281"/>
      <c r="AY429" s="289" t="s">
        <v>2479</v>
      </c>
      <c r="AZ429" s="289" t="s">
        <v>2479</v>
      </c>
      <c r="BA429" s="289" t="s">
        <v>373</v>
      </c>
      <c r="BB429" s="289" t="s">
        <v>139</v>
      </c>
      <c r="BC429" s="292" t="s">
        <v>2192</v>
      </c>
    </row>
    <row r="430" spans="1:55" ht="45" customHeight="1">
      <c r="A430" s="271">
        <f t="shared" si="6"/>
        <v>429</v>
      </c>
      <c r="B430" s="276" t="s">
        <v>2929</v>
      </c>
      <c r="C430" s="277" t="s">
        <v>2930</v>
      </c>
      <c r="D430" s="277" t="s">
        <v>8</v>
      </c>
      <c r="E430" s="277" t="s">
        <v>9</v>
      </c>
      <c r="F430" s="277" t="s">
        <v>1775</v>
      </c>
      <c r="G430" s="307">
        <v>44845</v>
      </c>
      <c r="H430" s="308"/>
      <c r="I430" s="308"/>
      <c r="J430" s="277"/>
      <c r="K430" s="279"/>
      <c r="L430" s="277" t="s">
        <v>2479</v>
      </c>
      <c r="M430" s="277" t="s">
        <v>2479</v>
      </c>
      <c r="N430" s="277" t="s">
        <v>122</v>
      </c>
      <c r="O430" s="277" t="s">
        <v>2479</v>
      </c>
      <c r="P430" s="277" t="s">
        <v>1554</v>
      </c>
      <c r="Q430" s="277" t="s">
        <v>2198</v>
      </c>
      <c r="R430" s="279" t="s">
        <v>2931</v>
      </c>
      <c r="S430" s="286">
        <v>2022</v>
      </c>
      <c r="T430" s="277" t="s">
        <v>2001</v>
      </c>
      <c r="U430" s="277" t="s">
        <v>678</v>
      </c>
      <c r="V430" s="277" t="s">
        <v>679</v>
      </c>
      <c r="W430" s="277" t="s">
        <v>145</v>
      </c>
      <c r="X430" s="277" t="s">
        <v>309</v>
      </c>
      <c r="Y430" s="278">
        <v>45078</v>
      </c>
      <c r="Z430" s="287" t="s">
        <v>1875</v>
      </c>
      <c r="AA430" s="287" t="s">
        <v>2479</v>
      </c>
      <c r="AB430" s="287" t="s">
        <v>139</v>
      </c>
      <c r="AC430" s="287" t="s">
        <v>1875</v>
      </c>
      <c r="AD430" s="287" t="s">
        <v>1805</v>
      </c>
      <c r="AE430" s="287" t="s">
        <v>1805</v>
      </c>
      <c r="AF430" s="287" t="s">
        <v>2479</v>
      </c>
      <c r="AG430" s="287" t="s">
        <v>2479</v>
      </c>
      <c r="AH430" s="287" t="s">
        <v>2479</v>
      </c>
      <c r="AI430" s="287" t="s">
        <v>2479</v>
      </c>
      <c r="AJ430" s="304" t="s">
        <v>2191</v>
      </c>
      <c r="AK430" s="287" t="s">
        <v>2479</v>
      </c>
      <c r="AL430" s="304" t="s">
        <v>2190</v>
      </c>
      <c r="AM430" s="289" t="s">
        <v>1975</v>
      </c>
      <c r="AN430" s="281" t="b">
        <v>0</v>
      </c>
      <c r="AO430" s="305"/>
      <c r="AP430" s="291"/>
      <c r="AQ430" s="291"/>
      <c r="AR430" s="291"/>
      <c r="AS430" s="291"/>
      <c r="AT430" s="291"/>
      <c r="AU430" s="291"/>
      <c r="AV430" s="305"/>
      <c r="AW430" s="281"/>
      <c r="AX430" s="281"/>
      <c r="AY430" s="289" t="s">
        <v>2479</v>
      </c>
      <c r="AZ430" s="289" t="s">
        <v>2479</v>
      </c>
      <c r="BA430" s="289" t="s">
        <v>373</v>
      </c>
      <c r="BB430" s="289" t="s">
        <v>1610</v>
      </c>
      <c r="BC430" s="292" t="s">
        <v>2192</v>
      </c>
    </row>
    <row r="431" spans="1:55" ht="45" customHeight="1">
      <c r="A431" s="271">
        <f t="shared" si="6"/>
        <v>430</v>
      </c>
      <c r="B431" s="276" t="s">
        <v>2932</v>
      </c>
      <c r="C431" s="277" t="s">
        <v>2933</v>
      </c>
      <c r="D431" s="277" t="s">
        <v>8</v>
      </c>
      <c r="E431" s="277" t="s">
        <v>9</v>
      </c>
      <c r="F431" s="277" t="s">
        <v>1775</v>
      </c>
      <c r="G431" s="307">
        <v>44853</v>
      </c>
      <c r="H431" s="308"/>
      <c r="I431" s="308"/>
      <c r="J431" s="277"/>
      <c r="K431" s="279"/>
      <c r="L431" s="277" t="s">
        <v>2479</v>
      </c>
      <c r="M431" s="277" t="s">
        <v>2479</v>
      </c>
      <c r="N431" s="277" t="s">
        <v>122</v>
      </c>
      <c r="O431" s="277" t="s">
        <v>2479</v>
      </c>
      <c r="P431" s="277" t="s">
        <v>1554</v>
      </c>
      <c r="Q431" s="277" t="s">
        <v>2198</v>
      </c>
      <c r="R431" s="279" t="s">
        <v>2934</v>
      </c>
      <c r="S431" s="286">
        <v>2022</v>
      </c>
      <c r="T431" s="277" t="s">
        <v>2001</v>
      </c>
      <c r="U431" s="277" t="s">
        <v>678</v>
      </c>
      <c r="V431" s="277" t="s">
        <v>679</v>
      </c>
      <c r="W431" s="277" t="s">
        <v>145</v>
      </c>
      <c r="X431" s="277" t="s">
        <v>309</v>
      </c>
      <c r="Y431" s="278">
        <v>45078</v>
      </c>
      <c r="Z431" s="287" t="s">
        <v>1875</v>
      </c>
      <c r="AA431" s="287" t="s">
        <v>2479</v>
      </c>
      <c r="AB431" s="287" t="s">
        <v>139</v>
      </c>
      <c r="AC431" s="287" t="s">
        <v>1875</v>
      </c>
      <c r="AD431" s="287" t="s">
        <v>1805</v>
      </c>
      <c r="AE431" s="287" t="s">
        <v>1805</v>
      </c>
      <c r="AF431" s="287" t="s">
        <v>2479</v>
      </c>
      <c r="AG431" s="287" t="s">
        <v>2479</v>
      </c>
      <c r="AH431" s="287" t="s">
        <v>2479</v>
      </c>
      <c r="AI431" s="287" t="s">
        <v>2479</v>
      </c>
      <c r="AJ431" s="304" t="s">
        <v>2191</v>
      </c>
      <c r="AK431" s="287" t="s">
        <v>2479</v>
      </c>
      <c r="AL431" s="304" t="s">
        <v>2190</v>
      </c>
      <c r="AM431" s="289" t="s">
        <v>1975</v>
      </c>
      <c r="AN431" s="281" t="b">
        <v>0</v>
      </c>
      <c r="AO431" s="305"/>
      <c r="AP431" s="291"/>
      <c r="AQ431" s="291"/>
      <c r="AR431" s="291"/>
      <c r="AS431" s="291"/>
      <c r="AT431" s="291"/>
      <c r="AU431" s="291"/>
      <c r="AV431" s="305"/>
      <c r="AW431" s="281"/>
      <c r="AX431" s="281"/>
      <c r="AY431" s="289" t="s">
        <v>2479</v>
      </c>
      <c r="AZ431" s="289" t="s">
        <v>2479</v>
      </c>
      <c r="BA431" s="289" t="s">
        <v>373</v>
      </c>
      <c r="BB431" s="289" t="s">
        <v>1610</v>
      </c>
      <c r="BC431" s="292" t="s">
        <v>2192</v>
      </c>
    </row>
    <row r="432" spans="1:55" ht="45" customHeight="1">
      <c r="A432" s="271">
        <f t="shared" si="6"/>
        <v>431</v>
      </c>
      <c r="B432" s="276" t="s">
        <v>3130</v>
      </c>
      <c r="C432" s="277" t="s">
        <v>3131</v>
      </c>
      <c r="D432" s="277" t="s">
        <v>8</v>
      </c>
      <c r="E432" s="277" t="s">
        <v>9</v>
      </c>
      <c r="F432" s="277" t="s">
        <v>1775</v>
      </c>
      <c r="G432" s="307">
        <v>44881</v>
      </c>
      <c r="H432" s="308"/>
      <c r="I432" s="308"/>
      <c r="J432" s="277"/>
      <c r="K432" s="279"/>
      <c r="L432" s="277" t="s">
        <v>2479</v>
      </c>
      <c r="M432" s="277" t="s">
        <v>2479</v>
      </c>
      <c r="N432" s="277" t="s">
        <v>122</v>
      </c>
      <c r="O432" s="277" t="s">
        <v>2479</v>
      </c>
      <c r="P432" s="277" t="s">
        <v>1554</v>
      </c>
      <c r="Q432" s="277" t="s">
        <v>2198</v>
      </c>
      <c r="R432" s="279" t="s">
        <v>3132</v>
      </c>
      <c r="S432" s="286">
        <v>2022</v>
      </c>
      <c r="T432" s="277" t="s">
        <v>2001</v>
      </c>
      <c r="U432" s="277" t="s">
        <v>678</v>
      </c>
      <c r="V432" s="277" t="s">
        <v>679</v>
      </c>
      <c r="W432" s="277" t="s">
        <v>145</v>
      </c>
      <c r="X432" s="277" t="s">
        <v>309</v>
      </c>
      <c r="Y432" s="278">
        <v>45078</v>
      </c>
      <c r="Z432" s="287" t="s">
        <v>1875</v>
      </c>
      <c r="AA432" s="287" t="s">
        <v>2479</v>
      </c>
      <c r="AB432" s="287" t="s">
        <v>139</v>
      </c>
      <c r="AC432" s="287" t="s">
        <v>1875</v>
      </c>
      <c r="AD432" s="287" t="s">
        <v>1805</v>
      </c>
      <c r="AE432" s="287" t="s">
        <v>1805</v>
      </c>
      <c r="AF432" s="287" t="s">
        <v>2479</v>
      </c>
      <c r="AG432" s="287" t="s">
        <v>2479</v>
      </c>
      <c r="AH432" s="287" t="s">
        <v>2479</v>
      </c>
      <c r="AI432" s="287" t="s">
        <v>2479</v>
      </c>
      <c r="AJ432" s="304" t="s">
        <v>2191</v>
      </c>
      <c r="AK432" s="287" t="s">
        <v>2479</v>
      </c>
      <c r="AL432" s="304" t="s">
        <v>2190</v>
      </c>
      <c r="AM432" s="289" t="s">
        <v>1975</v>
      </c>
      <c r="AN432" s="281" t="b">
        <v>0</v>
      </c>
      <c r="AO432" s="305"/>
      <c r="AP432" s="291"/>
      <c r="AQ432" s="291"/>
      <c r="AR432" s="291"/>
      <c r="AS432" s="291"/>
      <c r="AT432" s="291"/>
      <c r="AU432" s="291"/>
      <c r="AV432" s="305"/>
      <c r="AW432" s="281"/>
      <c r="AX432" s="281"/>
      <c r="AY432" s="289" t="s">
        <v>2479</v>
      </c>
      <c r="AZ432" s="289" t="s">
        <v>2479</v>
      </c>
      <c r="BA432" s="289" t="s">
        <v>373</v>
      </c>
      <c r="BB432" s="289" t="s">
        <v>1610</v>
      </c>
      <c r="BC432" s="292" t="s">
        <v>2192</v>
      </c>
    </row>
    <row r="433" spans="1:55" ht="45" customHeight="1">
      <c r="A433" s="271">
        <f t="shared" si="6"/>
        <v>432</v>
      </c>
      <c r="B433" s="276" t="s">
        <v>3133</v>
      </c>
      <c r="C433" s="277" t="s">
        <v>3134</v>
      </c>
      <c r="D433" s="277" t="s">
        <v>8</v>
      </c>
      <c r="E433" s="277" t="s">
        <v>9</v>
      </c>
      <c r="F433" s="277" t="s">
        <v>1775</v>
      </c>
      <c r="G433" s="307">
        <v>44893</v>
      </c>
      <c r="H433" s="308"/>
      <c r="I433" s="308"/>
      <c r="J433" s="277"/>
      <c r="K433" s="279"/>
      <c r="L433" s="277" t="s">
        <v>2479</v>
      </c>
      <c r="M433" s="277" t="s">
        <v>2479</v>
      </c>
      <c r="N433" s="277" t="s">
        <v>122</v>
      </c>
      <c r="O433" s="277" t="s">
        <v>2479</v>
      </c>
      <c r="P433" s="277" t="s">
        <v>1554</v>
      </c>
      <c r="Q433" s="277" t="s">
        <v>2198</v>
      </c>
      <c r="R433" s="279" t="s">
        <v>3135</v>
      </c>
      <c r="S433" s="286">
        <v>2022</v>
      </c>
      <c r="T433" s="277" t="s">
        <v>2001</v>
      </c>
      <c r="U433" s="277" t="s">
        <v>678</v>
      </c>
      <c r="V433" s="277" t="s">
        <v>679</v>
      </c>
      <c r="W433" s="277" t="s">
        <v>145</v>
      </c>
      <c r="X433" s="277" t="s">
        <v>309</v>
      </c>
      <c r="Y433" s="278">
        <v>45078</v>
      </c>
      <c r="Z433" s="287" t="s">
        <v>1875</v>
      </c>
      <c r="AA433" s="287" t="s">
        <v>2479</v>
      </c>
      <c r="AB433" s="287" t="s">
        <v>139</v>
      </c>
      <c r="AC433" s="287" t="s">
        <v>1875</v>
      </c>
      <c r="AD433" s="287" t="s">
        <v>1805</v>
      </c>
      <c r="AE433" s="287" t="s">
        <v>1805</v>
      </c>
      <c r="AF433" s="287" t="s">
        <v>2479</v>
      </c>
      <c r="AG433" s="287" t="s">
        <v>2479</v>
      </c>
      <c r="AH433" s="287" t="s">
        <v>2479</v>
      </c>
      <c r="AI433" s="287" t="s">
        <v>2479</v>
      </c>
      <c r="AJ433" s="304" t="s">
        <v>2191</v>
      </c>
      <c r="AK433" s="287" t="s">
        <v>2479</v>
      </c>
      <c r="AL433" s="304" t="s">
        <v>2190</v>
      </c>
      <c r="AM433" s="289" t="s">
        <v>1975</v>
      </c>
      <c r="AN433" s="281" t="b">
        <v>0</v>
      </c>
      <c r="AO433" s="305"/>
      <c r="AP433" s="291"/>
      <c r="AQ433" s="291"/>
      <c r="AR433" s="291"/>
      <c r="AS433" s="291"/>
      <c r="AT433" s="291"/>
      <c r="AU433" s="291"/>
      <c r="AV433" s="305"/>
      <c r="AW433" s="281"/>
      <c r="AX433" s="281"/>
      <c r="AY433" s="289" t="s">
        <v>2479</v>
      </c>
      <c r="AZ433" s="289" t="s">
        <v>2479</v>
      </c>
      <c r="BA433" s="289" t="s">
        <v>373</v>
      </c>
      <c r="BB433" s="289" t="s">
        <v>1610</v>
      </c>
      <c r="BC433" s="292" t="s">
        <v>2192</v>
      </c>
    </row>
    <row r="434" spans="1:55" ht="45" customHeight="1">
      <c r="A434" s="271">
        <f t="shared" si="6"/>
        <v>433</v>
      </c>
      <c r="B434" s="284" t="s">
        <v>2570</v>
      </c>
      <c r="C434" s="270" t="s">
        <v>3308</v>
      </c>
      <c r="D434" s="270" t="s">
        <v>8</v>
      </c>
      <c r="E434" s="270" t="s">
        <v>9</v>
      </c>
      <c r="F434" s="270" t="s">
        <v>1775</v>
      </c>
      <c r="G434" s="302">
        <v>44929</v>
      </c>
      <c r="L434" s="270" t="s">
        <v>2479</v>
      </c>
      <c r="M434" s="270" t="s">
        <v>2479</v>
      </c>
      <c r="N434" s="272" t="s">
        <v>122</v>
      </c>
      <c r="O434" s="270" t="s">
        <v>2479</v>
      </c>
      <c r="P434" s="270" t="s">
        <v>1554</v>
      </c>
      <c r="Q434" s="270" t="s">
        <v>2198</v>
      </c>
      <c r="R434" s="306" t="s">
        <v>3309</v>
      </c>
      <c r="S434" s="285">
        <v>2023</v>
      </c>
      <c r="T434" s="270" t="s">
        <v>2001</v>
      </c>
      <c r="U434" s="270" t="s">
        <v>678</v>
      </c>
      <c r="V434" s="270" t="s">
        <v>679</v>
      </c>
      <c r="W434" s="270" t="s">
        <v>145</v>
      </c>
      <c r="X434" s="270" t="s">
        <v>309</v>
      </c>
      <c r="Y434" s="273">
        <v>45078</v>
      </c>
      <c r="Z434" s="288" t="s">
        <v>1875</v>
      </c>
      <c r="AA434" s="288" t="s">
        <v>2479</v>
      </c>
      <c r="AB434" s="288" t="s">
        <v>139</v>
      </c>
      <c r="AC434" s="288" t="s">
        <v>1875</v>
      </c>
      <c r="AD434" s="288" t="s">
        <v>1805</v>
      </c>
      <c r="AE434" s="288" t="s">
        <v>1805</v>
      </c>
      <c r="AF434" s="288" t="s">
        <v>2479</v>
      </c>
      <c r="AG434" s="288" t="s">
        <v>2479</v>
      </c>
      <c r="AH434" s="288" t="s">
        <v>2479</v>
      </c>
      <c r="AI434" s="288" t="s">
        <v>2479</v>
      </c>
      <c r="AJ434" s="303" t="s">
        <v>2191</v>
      </c>
      <c r="AK434" s="288" t="s">
        <v>2479</v>
      </c>
      <c r="AL434" s="303" t="s">
        <v>2190</v>
      </c>
      <c r="AM434" s="288" t="s">
        <v>1975</v>
      </c>
      <c r="AN434" s="207" t="b">
        <v>0</v>
      </c>
      <c r="AY434" s="288" t="s">
        <v>2479</v>
      </c>
      <c r="AZ434" s="288" t="s">
        <v>2479</v>
      </c>
      <c r="BA434" s="288" t="s">
        <v>373</v>
      </c>
      <c r="BB434" s="288" t="s">
        <v>1610</v>
      </c>
      <c r="BC434" s="288" t="s">
        <v>2192</v>
      </c>
    </row>
    <row r="435" spans="1:55" ht="45" customHeight="1">
      <c r="A435" s="271">
        <f t="shared" si="6"/>
        <v>434</v>
      </c>
      <c r="B435" s="284" t="s">
        <v>2572</v>
      </c>
      <c r="C435" s="270" t="s">
        <v>3310</v>
      </c>
      <c r="D435" s="270" t="s">
        <v>8</v>
      </c>
      <c r="E435" s="270" t="s">
        <v>9</v>
      </c>
      <c r="F435" s="270" t="s">
        <v>1775</v>
      </c>
      <c r="G435" s="302">
        <v>44930</v>
      </c>
      <c r="L435" s="270" t="s">
        <v>2479</v>
      </c>
      <c r="M435" s="270" t="s">
        <v>2479</v>
      </c>
      <c r="N435" s="272" t="s">
        <v>122</v>
      </c>
      <c r="O435" s="270" t="s">
        <v>2479</v>
      </c>
      <c r="P435" s="270" t="s">
        <v>1554</v>
      </c>
      <c r="Q435" s="270" t="s">
        <v>2198</v>
      </c>
      <c r="R435" s="306" t="s">
        <v>3311</v>
      </c>
      <c r="S435" s="285">
        <v>2023</v>
      </c>
      <c r="T435" s="270" t="s">
        <v>2001</v>
      </c>
      <c r="U435" s="270" t="s">
        <v>678</v>
      </c>
      <c r="V435" s="270" t="s">
        <v>679</v>
      </c>
      <c r="W435" s="270" t="s">
        <v>145</v>
      </c>
      <c r="X435" s="270" t="s">
        <v>309</v>
      </c>
      <c r="Y435" s="273">
        <v>45078</v>
      </c>
      <c r="Z435" s="288" t="s">
        <v>1875</v>
      </c>
      <c r="AA435" s="288" t="s">
        <v>2479</v>
      </c>
      <c r="AB435" s="288" t="s">
        <v>139</v>
      </c>
      <c r="AC435" s="288" t="s">
        <v>1875</v>
      </c>
      <c r="AD435" s="288" t="s">
        <v>1805</v>
      </c>
      <c r="AE435" s="288" t="s">
        <v>1805</v>
      </c>
      <c r="AF435" s="288" t="s">
        <v>2479</v>
      </c>
      <c r="AG435" s="288" t="s">
        <v>2479</v>
      </c>
      <c r="AH435" s="288" t="s">
        <v>2479</v>
      </c>
      <c r="AI435" s="288" t="s">
        <v>2479</v>
      </c>
      <c r="AJ435" s="303" t="s">
        <v>2191</v>
      </c>
      <c r="AK435" s="288" t="s">
        <v>2479</v>
      </c>
      <c r="AL435" s="303" t="s">
        <v>2190</v>
      </c>
      <c r="AM435" s="288" t="s">
        <v>1975</v>
      </c>
      <c r="AN435" s="207" t="b">
        <v>0</v>
      </c>
      <c r="AY435" s="288" t="s">
        <v>2479</v>
      </c>
      <c r="AZ435" s="288" t="s">
        <v>2479</v>
      </c>
      <c r="BA435" s="288" t="s">
        <v>373</v>
      </c>
      <c r="BB435" s="288" t="s">
        <v>1610</v>
      </c>
      <c r="BC435" s="288" t="s">
        <v>2192</v>
      </c>
    </row>
    <row r="436" spans="1:55" ht="45" customHeight="1">
      <c r="A436" s="271">
        <f t="shared" si="6"/>
        <v>435</v>
      </c>
      <c r="B436" s="284" t="s">
        <v>2574</v>
      </c>
      <c r="C436" s="270" t="s">
        <v>3312</v>
      </c>
      <c r="D436" s="270" t="s">
        <v>8</v>
      </c>
      <c r="E436" s="270" t="s">
        <v>9</v>
      </c>
      <c r="F436" s="270" t="s">
        <v>1775</v>
      </c>
      <c r="G436" s="302">
        <v>44949</v>
      </c>
      <c r="L436" s="270" t="s">
        <v>2479</v>
      </c>
      <c r="M436" s="270" t="s">
        <v>2479</v>
      </c>
      <c r="N436" s="272" t="s">
        <v>122</v>
      </c>
      <c r="O436" s="270" t="s">
        <v>2479</v>
      </c>
      <c r="P436" s="270" t="s">
        <v>1554</v>
      </c>
      <c r="Q436" s="270" t="s">
        <v>2198</v>
      </c>
      <c r="R436" s="306" t="s">
        <v>3313</v>
      </c>
      <c r="S436" s="285">
        <v>2023</v>
      </c>
      <c r="T436" s="270" t="s">
        <v>2001</v>
      </c>
      <c r="U436" s="270" t="s">
        <v>678</v>
      </c>
      <c r="V436" s="270" t="s">
        <v>679</v>
      </c>
      <c r="W436" s="270" t="s">
        <v>145</v>
      </c>
      <c r="X436" s="270" t="s">
        <v>309</v>
      </c>
      <c r="Y436" s="273">
        <v>45078</v>
      </c>
      <c r="Z436" s="288" t="s">
        <v>1875</v>
      </c>
      <c r="AA436" s="288" t="s">
        <v>2479</v>
      </c>
      <c r="AB436" s="288" t="s">
        <v>139</v>
      </c>
      <c r="AC436" s="288" t="s">
        <v>1875</v>
      </c>
      <c r="AD436" s="288" t="s">
        <v>1805</v>
      </c>
      <c r="AE436" s="288" t="s">
        <v>1805</v>
      </c>
      <c r="AF436" s="288" t="s">
        <v>2479</v>
      </c>
      <c r="AG436" s="288" t="s">
        <v>2479</v>
      </c>
      <c r="AH436" s="288" t="s">
        <v>2479</v>
      </c>
      <c r="AI436" s="288" t="s">
        <v>2479</v>
      </c>
      <c r="AJ436" s="303" t="s">
        <v>2191</v>
      </c>
      <c r="AK436" s="288" t="s">
        <v>2479</v>
      </c>
      <c r="AL436" s="303" t="s">
        <v>2190</v>
      </c>
      <c r="AM436" s="288" t="s">
        <v>1975</v>
      </c>
      <c r="AN436" s="207" t="b">
        <v>0</v>
      </c>
      <c r="AY436" s="288" t="s">
        <v>2479</v>
      </c>
      <c r="AZ436" s="288" t="s">
        <v>2479</v>
      </c>
      <c r="BA436" s="288" t="s">
        <v>373</v>
      </c>
      <c r="BB436" s="288" t="s">
        <v>1610</v>
      </c>
      <c r="BC436" s="288" t="s">
        <v>2192</v>
      </c>
    </row>
    <row r="437" spans="1:55" ht="45" customHeight="1">
      <c r="A437" s="271">
        <f t="shared" si="6"/>
        <v>436</v>
      </c>
      <c r="B437" s="284" t="s">
        <v>3490</v>
      </c>
      <c r="C437" s="270" t="s">
        <v>3491</v>
      </c>
      <c r="D437" s="270" t="s">
        <v>8</v>
      </c>
      <c r="E437" s="270" t="s">
        <v>9</v>
      </c>
      <c r="F437" s="270" t="s">
        <v>1775</v>
      </c>
      <c r="G437" s="302">
        <v>44984</v>
      </c>
      <c r="L437" s="270" t="s">
        <v>2479</v>
      </c>
      <c r="M437" s="270" t="s">
        <v>2479</v>
      </c>
      <c r="N437" s="272" t="s">
        <v>122</v>
      </c>
      <c r="O437" s="270" t="s">
        <v>2479</v>
      </c>
      <c r="P437" s="270" t="s">
        <v>1554</v>
      </c>
      <c r="Q437" s="270" t="s">
        <v>2198</v>
      </c>
      <c r="R437" s="306">
        <v>44929.436203703706</v>
      </c>
      <c r="S437" s="285">
        <v>2023</v>
      </c>
      <c r="T437" s="270" t="s">
        <v>2001</v>
      </c>
      <c r="U437" s="270" t="s">
        <v>678</v>
      </c>
      <c r="V437" s="270" t="s">
        <v>679</v>
      </c>
      <c r="W437" s="270" t="s">
        <v>145</v>
      </c>
      <c r="X437" s="270" t="s">
        <v>309</v>
      </c>
      <c r="Y437" s="273">
        <v>45078</v>
      </c>
      <c r="Z437" s="288" t="s">
        <v>1875</v>
      </c>
      <c r="AA437" s="288" t="s">
        <v>2479</v>
      </c>
      <c r="AB437" s="288" t="s">
        <v>139</v>
      </c>
      <c r="AC437" s="288" t="s">
        <v>1875</v>
      </c>
      <c r="AD437" s="288" t="s">
        <v>1805</v>
      </c>
      <c r="AE437" s="288" t="s">
        <v>1805</v>
      </c>
      <c r="AF437" s="288" t="s">
        <v>2479</v>
      </c>
      <c r="AG437" s="288" t="s">
        <v>2479</v>
      </c>
      <c r="AH437" s="288" t="s">
        <v>2479</v>
      </c>
      <c r="AI437" s="288" t="s">
        <v>2479</v>
      </c>
      <c r="AJ437" s="303" t="s">
        <v>2191</v>
      </c>
      <c r="AK437" s="288" t="s">
        <v>2479</v>
      </c>
      <c r="AL437" s="303" t="s">
        <v>2190</v>
      </c>
      <c r="AM437" s="288" t="s">
        <v>1975</v>
      </c>
      <c r="AN437" s="207" t="b">
        <v>0</v>
      </c>
      <c r="AY437" s="288" t="s">
        <v>2479</v>
      </c>
      <c r="AZ437" s="288" t="s">
        <v>2479</v>
      </c>
      <c r="BA437" s="288" t="s">
        <v>373</v>
      </c>
      <c r="BB437" s="288" t="s">
        <v>1610</v>
      </c>
      <c r="BC437" s="288" t="s">
        <v>2192</v>
      </c>
    </row>
    <row r="438" spans="1:55" ht="45" customHeight="1">
      <c r="A438" s="271">
        <f t="shared" si="6"/>
        <v>437</v>
      </c>
      <c r="B438" s="284" t="s">
        <v>2578</v>
      </c>
      <c r="C438" s="270" t="s">
        <v>3556</v>
      </c>
      <c r="D438" s="270" t="s">
        <v>8</v>
      </c>
      <c r="E438" s="270" t="s">
        <v>9</v>
      </c>
      <c r="F438" s="270" t="s">
        <v>1775</v>
      </c>
      <c r="G438" s="302">
        <v>44991</v>
      </c>
      <c r="L438" s="270" t="s">
        <v>2479</v>
      </c>
      <c r="M438" s="270" t="s">
        <v>2479</v>
      </c>
      <c r="N438" s="272" t="s">
        <v>122</v>
      </c>
      <c r="O438" s="270" t="s">
        <v>2479</v>
      </c>
      <c r="P438" s="270" t="s">
        <v>1554</v>
      </c>
      <c r="Q438" s="270" t="s">
        <v>2198</v>
      </c>
      <c r="R438" s="306">
        <v>44932.654687499999</v>
      </c>
      <c r="S438" s="285">
        <v>2023</v>
      </c>
      <c r="T438" s="270" t="s">
        <v>2001</v>
      </c>
      <c r="U438" s="270" t="s">
        <v>678</v>
      </c>
      <c r="V438" s="270" t="s">
        <v>679</v>
      </c>
      <c r="W438" s="270" t="s">
        <v>145</v>
      </c>
      <c r="X438" s="270" t="s">
        <v>309</v>
      </c>
      <c r="Y438" s="273">
        <v>45078</v>
      </c>
      <c r="Z438" s="288" t="s">
        <v>1875</v>
      </c>
      <c r="AA438" s="288" t="s">
        <v>2479</v>
      </c>
      <c r="AB438" s="288" t="s">
        <v>139</v>
      </c>
      <c r="AC438" s="288" t="s">
        <v>1875</v>
      </c>
      <c r="AD438" s="288" t="s">
        <v>1805</v>
      </c>
      <c r="AE438" s="288" t="s">
        <v>1805</v>
      </c>
      <c r="AF438" s="288" t="s">
        <v>2479</v>
      </c>
      <c r="AG438" s="288" t="s">
        <v>2479</v>
      </c>
      <c r="AH438" s="288" t="s">
        <v>2479</v>
      </c>
      <c r="AI438" s="288" t="s">
        <v>2479</v>
      </c>
      <c r="AJ438" s="303" t="s">
        <v>2191</v>
      </c>
      <c r="AK438" s="288" t="s">
        <v>2479</v>
      </c>
      <c r="AL438" s="303" t="s">
        <v>2190</v>
      </c>
      <c r="AM438" s="288" t="s">
        <v>1975</v>
      </c>
      <c r="AN438" s="207" t="b">
        <v>0</v>
      </c>
      <c r="AY438" s="288" t="s">
        <v>2479</v>
      </c>
      <c r="AZ438" s="288" t="s">
        <v>2479</v>
      </c>
      <c r="BA438" s="288" t="s">
        <v>373</v>
      </c>
      <c r="BB438" s="288" t="s">
        <v>1610</v>
      </c>
      <c r="BC438" s="288" t="s">
        <v>2192</v>
      </c>
    </row>
    <row r="439" spans="1:55" ht="45" customHeight="1">
      <c r="A439" s="271">
        <f t="shared" si="6"/>
        <v>438</v>
      </c>
      <c r="B439" s="284" t="s">
        <v>2580</v>
      </c>
      <c r="C439" s="270" t="s">
        <v>3557</v>
      </c>
      <c r="D439" s="270" t="s">
        <v>8</v>
      </c>
      <c r="E439" s="270" t="s">
        <v>9</v>
      </c>
      <c r="F439" s="270" t="s">
        <v>1775</v>
      </c>
      <c r="G439" s="302">
        <v>44993</v>
      </c>
      <c r="L439" s="270" t="s">
        <v>2479</v>
      </c>
      <c r="M439" s="270" t="s">
        <v>2479</v>
      </c>
      <c r="N439" s="272" t="s">
        <v>122</v>
      </c>
      <c r="O439" s="270" t="s">
        <v>2479</v>
      </c>
      <c r="P439" s="270" t="s">
        <v>1554</v>
      </c>
      <c r="Q439" s="270" t="s">
        <v>2198</v>
      </c>
      <c r="R439" s="306">
        <v>44930.418912037036</v>
      </c>
      <c r="S439" s="285">
        <v>2023</v>
      </c>
      <c r="T439" s="270" t="s">
        <v>2001</v>
      </c>
      <c r="U439" s="270" t="s">
        <v>678</v>
      </c>
      <c r="V439" s="270" t="s">
        <v>679</v>
      </c>
      <c r="W439" s="270" t="s">
        <v>145</v>
      </c>
      <c r="X439" s="270" t="s">
        <v>309</v>
      </c>
      <c r="Y439" s="273">
        <v>45078</v>
      </c>
      <c r="Z439" s="288" t="s">
        <v>1875</v>
      </c>
      <c r="AA439" s="288" t="s">
        <v>2479</v>
      </c>
      <c r="AB439" s="288" t="s">
        <v>139</v>
      </c>
      <c r="AC439" s="288" t="s">
        <v>1875</v>
      </c>
      <c r="AD439" s="288" t="s">
        <v>1805</v>
      </c>
      <c r="AE439" s="288" t="s">
        <v>1805</v>
      </c>
      <c r="AF439" s="288" t="s">
        <v>2479</v>
      </c>
      <c r="AG439" s="288" t="s">
        <v>2479</v>
      </c>
      <c r="AH439" s="288" t="s">
        <v>2479</v>
      </c>
      <c r="AI439" s="288" t="s">
        <v>2479</v>
      </c>
      <c r="AJ439" s="303" t="s">
        <v>2191</v>
      </c>
      <c r="AK439" s="288" t="s">
        <v>2479</v>
      </c>
      <c r="AL439" s="303" t="s">
        <v>2190</v>
      </c>
      <c r="AM439" s="288" t="s">
        <v>1975</v>
      </c>
      <c r="AN439" s="207" t="b">
        <v>0</v>
      </c>
      <c r="AY439" s="288" t="s">
        <v>2479</v>
      </c>
      <c r="AZ439" s="288" t="s">
        <v>2479</v>
      </c>
      <c r="BA439" s="288" t="s">
        <v>373</v>
      </c>
      <c r="BB439" s="288" t="s">
        <v>1610</v>
      </c>
      <c r="BC439" s="288" t="s">
        <v>2192</v>
      </c>
    </row>
    <row r="440" spans="1:55" ht="45" customHeight="1">
      <c r="A440" s="271">
        <f t="shared" si="6"/>
        <v>439</v>
      </c>
      <c r="B440" s="284" t="s">
        <v>2582</v>
      </c>
      <c r="C440" s="270" t="s">
        <v>3558</v>
      </c>
      <c r="D440" s="270" t="s">
        <v>8</v>
      </c>
      <c r="E440" s="270" t="s">
        <v>9</v>
      </c>
      <c r="F440" s="270" t="s">
        <v>1775</v>
      </c>
      <c r="G440" s="302">
        <v>44993</v>
      </c>
      <c r="L440" s="270" t="s">
        <v>2479</v>
      </c>
      <c r="M440" s="270" t="s">
        <v>2479</v>
      </c>
      <c r="N440" s="272" t="s">
        <v>122</v>
      </c>
      <c r="O440" s="270" t="s">
        <v>2479</v>
      </c>
      <c r="P440" s="270" t="s">
        <v>1554</v>
      </c>
      <c r="Q440" s="270" t="s">
        <v>2198</v>
      </c>
      <c r="R440" s="306">
        <v>44930.419618055559</v>
      </c>
      <c r="S440" s="285">
        <v>2023</v>
      </c>
      <c r="T440" s="270" t="s">
        <v>2001</v>
      </c>
      <c r="U440" s="270" t="s">
        <v>678</v>
      </c>
      <c r="V440" s="270" t="s">
        <v>679</v>
      </c>
      <c r="W440" s="270" t="s">
        <v>145</v>
      </c>
      <c r="X440" s="270" t="s">
        <v>309</v>
      </c>
      <c r="Y440" s="273">
        <v>45078</v>
      </c>
      <c r="Z440" s="288" t="s">
        <v>1875</v>
      </c>
      <c r="AA440" s="288" t="s">
        <v>2479</v>
      </c>
      <c r="AB440" s="288" t="s">
        <v>139</v>
      </c>
      <c r="AC440" s="288" t="s">
        <v>1875</v>
      </c>
      <c r="AD440" s="288" t="s">
        <v>1805</v>
      </c>
      <c r="AE440" s="288" t="s">
        <v>1805</v>
      </c>
      <c r="AF440" s="288" t="s">
        <v>2479</v>
      </c>
      <c r="AG440" s="288" t="s">
        <v>2479</v>
      </c>
      <c r="AH440" s="288" t="s">
        <v>2479</v>
      </c>
      <c r="AI440" s="288" t="s">
        <v>2479</v>
      </c>
      <c r="AJ440" s="303" t="s">
        <v>2191</v>
      </c>
      <c r="AK440" s="288" t="s">
        <v>2479</v>
      </c>
      <c r="AL440" s="303" t="s">
        <v>2190</v>
      </c>
      <c r="AM440" s="288" t="s">
        <v>1975</v>
      </c>
      <c r="AN440" s="207" t="b">
        <v>0</v>
      </c>
      <c r="AY440" s="288" t="s">
        <v>2479</v>
      </c>
      <c r="AZ440" s="288" t="s">
        <v>2479</v>
      </c>
      <c r="BA440" s="288" t="s">
        <v>373</v>
      </c>
      <c r="BB440" s="288" t="s">
        <v>1610</v>
      </c>
      <c r="BC440" s="288" t="s">
        <v>2192</v>
      </c>
    </row>
    <row r="441" spans="1:55" ht="45" customHeight="1">
      <c r="A441" s="271">
        <f t="shared" si="6"/>
        <v>440</v>
      </c>
      <c r="B441" s="284" t="s">
        <v>2584</v>
      </c>
      <c r="C441" s="270" t="s">
        <v>3559</v>
      </c>
      <c r="D441" s="270" t="s">
        <v>8</v>
      </c>
      <c r="E441" s="270" t="s">
        <v>9</v>
      </c>
      <c r="F441" s="270" t="s">
        <v>1775</v>
      </c>
      <c r="G441" s="302">
        <v>44993</v>
      </c>
      <c r="L441" s="270" t="s">
        <v>2479</v>
      </c>
      <c r="M441" s="270" t="s">
        <v>2479</v>
      </c>
      <c r="N441" s="272" t="s">
        <v>122</v>
      </c>
      <c r="O441" s="270" t="s">
        <v>2479</v>
      </c>
      <c r="P441" s="270" t="s">
        <v>1554</v>
      </c>
      <c r="Q441" s="270" t="s">
        <v>2198</v>
      </c>
      <c r="R441" s="306">
        <v>44930.420277777775</v>
      </c>
      <c r="S441" s="285">
        <v>2023</v>
      </c>
      <c r="T441" s="270" t="s">
        <v>2001</v>
      </c>
      <c r="U441" s="270" t="s">
        <v>678</v>
      </c>
      <c r="V441" s="270" t="s">
        <v>679</v>
      </c>
      <c r="W441" s="270" t="s">
        <v>145</v>
      </c>
      <c r="X441" s="270" t="s">
        <v>309</v>
      </c>
      <c r="Y441" s="273">
        <v>45078</v>
      </c>
      <c r="Z441" s="288" t="s">
        <v>1875</v>
      </c>
      <c r="AA441" s="288" t="s">
        <v>2479</v>
      </c>
      <c r="AB441" s="288" t="s">
        <v>139</v>
      </c>
      <c r="AC441" s="288" t="s">
        <v>1875</v>
      </c>
      <c r="AD441" s="288" t="s">
        <v>1805</v>
      </c>
      <c r="AE441" s="288" t="s">
        <v>1805</v>
      </c>
      <c r="AF441" s="288" t="s">
        <v>2479</v>
      </c>
      <c r="AG441" s="288" t="s">
        <v>2479</v>
      </c>
      <c r="AH441" s="288" t="s">
        <v>2479</v>
      </c>
      <c r="AI441" s="288" t="s">
        <v>2479</v>
      </c>
      <c r="AJ441" s="303" t="s">
        <v>2191</v>
      </c>
      <c r="AK441" s="288" t="s">
        <v>2479</v>
      </c>
      <c r="AL441" s="303" t="s">
        <v>2190</v>
      </c>
      <c r="AM441" s="288" t="s">
        <v>1975</v>
      </c>
      <c r="AN441" s="207" t="b">
        <v>0</v>
      </c>
      <c r="AY441" s="288" t="s">
        <v>2479</v>
      </c>
      <c r="AZ441" s="288" t="s">
        <v>2479</v>
      </c>
      <c r="BA441" s="288" t="s">
        <v>373</v>
      </c>
      <c r="BB441" s="288" t="s">
        <v>1610</v>
      </c>
      <c r="BC441" s="288" t="s">
        <v>2192</v>
      </c>
    </row>
    <row r="442" spans="1:55" ht="45" customHeight="1">
      <c r="A442" s="271">
        <f t="shared" si="6"/>
        <v>441</v>
      </c>
      <c r="B442" s="284" t="s">
        <v>3695</v>
      </c>
      <c r="C442" s="270" t="s">
        <v>3696</v>
      </c>
      <c r="D442" s="270" t="s">
        <v>8</v>
      </c>
      <c r="E442" s="270" t="s">
        <v>9</v>
      </c>
      <c r="F442" s="270" t="s">
        <v>1775</v>
      </c>
      <c r="G442" s="302">
        <v>45017</v>
      </c>
      <c r="L442" s="270" t="s">
        <v>2479</v>
      </c>
      <c r="M442" s="270" t="s">
        <v>2479</v>
      </c>
      <c r="N442" s="272" t="s">
        <v>122</v>
      </c>
      <c r="O442" s="270" t="s">
        <v>2479</v>
      </c>
      <c r="P442" s="270" t="s">
        <v>1554</v>
      </c>
      <c r="Q442" s="270" t="s">
        <v>2198</v>
      </c>
      <c r="R442" s="306" t="s">
        <v>3697</v>
      </c>
      <c r="S442" s="285">
        <v>2023</v>
      </c>
      <c r="T442" s="270" t="s">
        <v>2001</v>
      </c>
      <c r="U442" s="270" t="s">
        <v>678</v>
      </c>
      <c r="V442" s="270" t="s">
        <v>679</v>
      </c>
      <c r="W442" s="270" t="s">
        <v>145</v>
      </c>
      <c r="X442" s="270" t="s">
        <v>309</v>
      </c>
      <c r="Y442" s="273">
        <v>45078</v>
      </c>
      <c r="Z442" s="288" t="s">
        <v>1875</v>
      </c>
      <c r="AA442" s="288" t="s">
        <v>2479</v>
      </c>
      <c r="AB442" s="288" t="s">
        <v>139</v>
      </c>
      <c r="AC442" s="288" t="s">
        <v>1875</v>
      </c>
      <c r="AD442" s="288" t="s">
        <v>1805</v>
      </c>
      <c r="AE442" s="288" t="s">
        <v>1805</v>
      </c>
      <c r="AF442" s="288" t="s">
        <v>2479</v>
      </c>
      <c r="AG442" s="288" t="s">
        <v>2479</v>
      </c>
      <c r="AH442" s="288" t="s">
        <v>2479</v>
      </c>
      <c r="AI442" s="288" t="s">
        <v>2479</v>
      </c>
      <c r="AJ442" s="303" t="s">
        <v>2191</v>
      </c>
      <c r="AK442" s="288" t="s">
        <v>2479</v>
      </c>
      <c r="AL442" s="303" t="s">
        <v>2190</v>
      </c>
      <c r="AM442" s="288" t="s">
        <v>1975</v>
      </c>
      <c r="AN442" s="207" t="b">
        <v>0</v>
      </c>
      <c r="AY442" s="288" t="s">
        <v>2479</v>
      </c>
      <c r="AZ442" s="288" t="s">
        <v>2479</v>
      </c>
      <c r="BA442" s="288" t="s">
        <v>373</v>
      </c>
      <c r="BB442" s="288" t="s">
        <v>1610</v>
      </c>
      <c r="BC442" s="288" t="s">
        <v>2192</v>
      </c>
    </row>
    <row r="443" spans="1:55" ht="45" customHeight="1">
      <c r="A443" s="271">
        <f t="shared" si="6"/>
        <v>442</v>
      </c>
      <c r="B443" s="284" t="s">
        <v>2586</v>
      </c>
      <c r="C443" s="270" t="s">
        <v>3698</v>
      </c>
      <c r="D443" s="270" t="s">
        <v>8</v>
      </c>
      <c r="E443" s="270" t="s">
        <v>9</v>
      </c>
      <c r="F443" s="270" t="s">
        <v>1775</v>
      </c>
      <c r="G443" s="302">
        <v>45017</v>
      </c>
      <c r="L443" s="270" t="s">
        <v>2479</v>
      </c>
      <c r="M443" s="270" t="s">
        <v>2479</v>
      </c>
      <c r="N443" s="272" t="s">
        <v>122</v>
      </c>
      <c r="O443" s="270" t="s">
        <v>2479</v>
      </c>
      <c r="P443" s="270" t="s">
        <v>1554</v>
      </c>
      <c r="Q443" s="270" t="s">
        <v>2198</v>
      </c>
      <c r="R443" s="306" t="s">
        <v>3699</v>
      </c>
      <c r="S443" s="285">
        <v>2023</v>
      </c>
      <c r="T443" s="270" t="s">
        <v>2001</v>
      </c>
      <c r="U443" s="270" t="s">
        <v>678</v>
      </c>
      <c r="V443" s="270" t="s">
        <v>679</v>
      </c>
      <c r="W443" s="270" t="s">
        <v>145</v>
      </c>
      <c r="X443" s="270" t="s">
        <v>309</v>
      </c>
      <c r="Y443" s="273">
        <v>45078</v>
      </c>
      <c r="Z443" s="288" t="s">
        <v>1875</v>
      </c>
      <c r="AA443" s="288" t="s">
        <v>2479</v>
      </c>
      <c r="AB443" s="288" t="s">
        <v>139</v>
      </c>
      <c r="AC443" s="288" t="s">
        <v>1875</v>
      </c>
      <c r="AD443" s="288" t="s">
        <v>1805</v>
      </c>
      <c r="AE443" s="288" t="s">
        <v>1805</v>
      </c>
      <c r="AF443" s="288" t="s">
        <v>2479</v>
      </c>
      <c r="AG443" s="288" t="s">
        <v>2479</v>
      </c>
      <c r="AH443" s="288" t="s">
        <v>2479</v>
      </c>
      <c r="AI443" s="288" t="s">
        <v>2479</v>
      </c>
      <c r="AJ443" s="303" t="s">
        <v>2191</v>
      </c>
      <c r="AK443" s="288" t="s">
        <v>2479</v>
      </c>
      <c r="AL443" s="303" t="s">
        <v>2190</v>
      </c>
      <c r="AM443" s="288" t="s">
        <v>1975</v>
      </c>
      <c r="AN443" s="207" t="b">
        <v>0</v>
      </c>
      <c r="AY443" s="288" t="s">
        <v>2479</v>
      </c>
      <c r="AZ443" s="288" t="s">
        <v>2479</v>
      </c>
      <c r="BA443" s="288" t="s">
        <v>373</v>
      </c>
      <c r="BB443" s="288" t="s">
        <v>1610</v>
      </c>
      <c r="BC443" s="288" t="s">
        <v>2192</v>
      </c>
    </row>
    <row r="444" spans="1:55" ht="45" customHeight="1">
      <c r="A444" s="271">
        <f t="shared" si="6"/>
        <v>443</v>
      </c>
      <c r="B444" s="284" t="s">
        <v>2588</v>
      </c>
      <c r="C444" s="270" t="s">
        <v>3700</v>
      </c>
      <c r="D444" s="270" t="s">
        <v>8</v>
      </c>
      <c r="E444" s="270" t="s">
        <v>9</v>
      </c>
      <c r="F444" s="270" t="s">
        <v>1775</v>
      </c>
      <c r="G444" s="302">
        <v>45019</v>
      </c>
      <c r="L444" s="270" t="s">
        <v>2479</v>
      </c>
      <c r="M444" s="270" t="s">
        <v>2479</v>
      </c>
      <c r="N444" s="272" t="s">
        <v>122</v>
      </c>
      <c r="O444" s="270" t="s">
        <v>2479</v>
      </c>
      <c r="P444" s="270" t="s">
        <v>1554</v>
      </c>
      <c r="Q444" s="270" t="s">
        <v>2198</v>
      </c>
      <c r="R444" s="306" t="s">
        <v>3701</v>
      </c>
      <c r="S444" s="285">
        <v>2023</v>
      </c>
      <c r="T444" s="270" t="s">
        <v>2001</v>
      </c>
      <c r="U444" s="270" t="s">
        <v>678</v>
      </c>
      <c r="V444" s="270" t="s">
        <v>679</v>
      </c>
      <c r="W444" s="270" t="s">
        <v>145</v>
      </c>
      <c r="X444" s="270" t="s">
        <v>309</v>
      </c>
      <c r="Y444" s="273">
        <v>45078</v>
      </c>
      <c r="Z444" s="288" t="s">
        <v>1875</v>
      </c>
      <c r="AA444" s="288" t="s">
        <v>2479</v>
      </c>
      <c r="AB444" s="288" t="s">
        <v>139</v>
      </c>
      <c r="AC444" s="288" t="s">
        <v>1875</v>
      </c>
      <c r="AD444" s="288" t="s">
        <v>1805</v>
      </c>
      <c r="AE444" s="288" t="s">
        <v>1805</v>
      </c>
      <c r="AF444" s="288" t="s">
        <v>2479</v>
      </c>
      <c r="AG444" s="288" t="s">
        <v>2479</v>
      </c>
      <c r="AH444" s="288" t="s">
        <v>2479</v>
      </c>
      <c r="AI444" s="288" t="s">
        <v>2479</v>
      </c>
      <c r="AJ444" s="303" t="s">
        <v>2191</v>
      </c>
      <c r="AK444" s="288" t="s">
        <v>2479</v>
      </c>
      <c r="AL444" s="303" t="s">
        <v>2190</v>
      </c>
      <c r="AM444" s="288" t="s">
        <v>1975</v>
      </c>
      <c r="AN444" s="207" t="b">
        <v>0</v>
      </c>
      <c r="AY444" s="288" t="s">
        <v>2479</v>
      </c>
      <c r="AZ444" s="288" t="s">
        <v>2479</v>
      </c>
      <c r="BA444" s="288" t="s">
        <v>373</v>
      </c>
      <c r="BB444" s="288" t="s">
        <v>1610</v>
      </c>
      <c r="BC444" s="288" t="s">
        <v>2192</v>
      </c>
    </row>
    <row r="445" spans="1:55" ht="45" customHeight="1">
      <c r="A445" s="271">
        <f t="shared" si="6"/>
        <v>444</v>
      </c>
      <c r="B445" s="284" t="s">
        <v>2590</v>
      </c>
      <c r="C445" s="270" t="s">
        <v>3702</v>
      </c>
      <c r="D445" s="270" t="s">
        <v>8</v>
      </c>
      <c r="E445" s="270" t="s">
        <v>9</v>
      </c>
      <c r="F445" s="270" t="s">
        <v>1775</v>
      </c>
      <c r="G445" s="302">
        <v>45026</v>
      </c>
      <c r="L445" s="270" t="s">
        <v>2479</v>
      </c>
      <c r="M445" s="270" t="s">
        <v>2479</v>
      </c>
      <c r="N445" s="272" t="s">
        <v>122</v>
      </c>
      <c r="O445" s="270" t="s">
        <v>2479</v>
      </c>
      <c r="P445" s="270" t="s">
        <v>1554</v>
      </c>
      <c r="Q445" s="270" t="s">
        <v>2198</v>
      </c>
      <c r="R445" s="306" t="s">
        <v>3703</v>
      </c>
      <c r="S445" s="285">
        <v>2023</v>
      </c>
      <c r="T445" s="270" t="s">
        <v>2001</v>
      </c>
      <c r="U445" s="270" t="s">
        <v>678</v>
      </c>
      <c r="V445" s="270" t="s">
        <v>679</v>
      </c>
      <c r="W445" s="270" t="s">
        <v>145</v>
      </c>
      <c r="X445" s="270" t="s">
        <v>309</v>
      </c>
      <c r="Y445" s="273">
        <v>45078</v>
      </c>
      <c r="Z445" s="288" t="s">
        <v>1875</v>
      </c>
      <c r="AA445" s="288" t="s">
        <v>2479</v>
      </c>
      <c r="AB445" s="288" t="s">
        <v>139</v>
      </c>
      <c r="AC445" s="288" t="s">
        <v>1875</v>
      </c>
      <c r="AD445" s="288" t="s">
        <v>1805</v>
      </c>
      <c r="AE445" s="288" t="s">
        <v>1805</v>
      </c>
      <c r="AF445" s="288" t="s">
        <v>2479</v>
      </c>
      <c r="AG445" s="288" t="s">
        <v>2479</v>
      </c>
      <c r="AH445" s="288" t="s">
        <v>2479</v>
      </c>
      <c r="AI445" s="288" t="s">
        <v>2479</v>
      </c>
      <c r="AJ445" s="303" t="s">
        <v>2191</v>
      </c>
      <c r="AK445" s="288" t="s">
        <v>2479</v>
      </c>
      <c r="AL445" s="303" t="s">
        <v>2190</v>
      </c>
      <c r="AM445" s="288" t="s">
        <v>1975</v>
      </c>
      <c r="AN445" s="207" t="b">
        <v>0</v>
      </c>
      <c r="AY445" s="288" t="s">
        <v>2479</v>
      </c>
      <c r="AZ445" s="288" t="s">
        <v>2479</v>
      </c>
      <c r="BA445" s="288" t="s">
        <v>373</v>
      </c>
      <c r="BB445" s="288" t="s">
        <v>1610</v>
      </c>
      <c r="BC445" s="288" t="s">
        <v>2192</v>
      </c>
    </row>
    <row r="446" spans="1:55" ht="45" customHeight="1">
      <c r="A446" s="271">
        <f t="shared" si="6"/>
        <v>445</v>
      </c>
      <c r="B446" s="284" t="s">
        <v>2902</v>
      </c>
      <c r="C446" s="270" t="s">
        <v>3690</v>
      </c>
      <c r="D446" s="270" t="s">
        <v>8</v>
      </c>
      <c r="E446" s="270" t="s">
        <v>9</v>
      </c>
      <c r="F446" s="270" t="s">
        <v>1775</v>
      </c>
      <c r="G446" s="302">
        <v>45030</v>
      </c>
      <c r="L446" s="270" t="s">
        <v>2479</v>
      </c>
      <c r="M446" s="270" t="s">
        <v>2479</v>
      </c>
      <c r="N446" s="272" t="s">
        <v>122</v>
      </c>
      <c r="O446" s="270" t="s">
        <v>2479</v>
      </c>
      <c r="P446" s="270" t="s">
        <v>1554</v>
      </c>
      <c r="Q446" s="270" t="s">
        <v>2198</v>
      </c>
      <c r="R446" s="306" t="s">
        <v>3691</v>
      </c>
      <c r="S446" s="285">
        <v>2023</v>
      </c>
      <c r="T446" s="270" t="s">
        <v>2001</v>
      </c>
      <c r="U446" s="270" t="s">
        <v>678</v>
      </c>
      <c r="V446" s="270" t="s">
        <v>679</v>
      </c>
      <c r="W446" s="270" t="s">
        <v>145</v>
      </c>
      <c r="X446" s="270" t="s">
        <v>309</v>
      </c>
      <c r="Y446" s="273">
        <v>45078</v>
      </c>
      <c r="Z446" s="288" t="s">
        <v>1875</v>
      </c>
      <c r="AA446" s="288" t="s">
        <v>2479</v>
      </c>
      <c r="AB446" s="288" t="s">
        <v>139</v>
      </c>
      <c r="AC446" s="288" t="s">
        <v>1875</v>
      </c>
      <c r="AD446" s="288" t="s">
        <v>1805</v>
      </c>
      <c r="AE446" s="288" t="s">
        <v>1805</v>
      </c>
      <c r="AF446" s="288" t="s">
        <v>2479</v>
      </c>
      <c r="AG446" s="288" t="s">
        <v>2479</v>
      </c>
      <c r="AH446" s="288" t="s">
        <v>2479</v>
      </c>
      <c r="AI446" s="288" t="s">
        <v>2479</v>
      </c>
      <c r="AJ446" s="303" t="s">
        <v>2191</v>
      </c>
      <c r="AK446" s="288" t="s">
        <v>2479</v>
      </c>
      <c r="AL446" s="303" t="s">
        <v>2190</v>
      </c>
      <c r="AM446" s="288" t="s">
        <v>1975</v>
      </c>
      <c r="AN446" s="207" t="b">
        <v>0</v>
      </c>
      <c r="AY446" s="288" t="s">
        <v>2479</v>
      </c>
      <c r="AZ446" s="288" t="s">
        <v>2479</v>
      </c>
      <c r="BA446" s="288" t="s">
        <v>373</v>
      </c>
      <c r="BB446" s="288" t="s">
        <v>1610</v>
      </c>
      <c r="BC446" s="288" t="s">
        <v>2192</v>
      </c>
    </row>
    <row r="447" spans="1:55" ht="45" customHeight="1">
      <c r="A447" s="271">
        <f t="shared" si="6"/>
        <v>446</v>
      </c>
      <c r="B447" s="284" t="s">
        <v>3692</v>
      </c>
      <c r="C447" s="270" t="s">
        <v>3693</v>
      </c>
      <c r="D447" s="270" t="s">
        <v>8</v>
      </c>
      <c r="E447" s="270" t="s">
        <v>9</v>
      </c>
      <c r="F447" s="270" t="s">
        <v>1775</v>
      </c>
      <c r="G447" s="302">
        <v>45030</v>
      </c>
      <c r="L447" s="270" t="s">
        <v>2479</v>
      </c>
      <c r="M447" s="270" t="s">
        <v>2479</v>
      </c>
      <c r="N447" s="272" t="s">
        <v>122</v>
      </c>
      <c r="O447" s="270" t="s">
        <v>2479</v>
      </c>
      <c r="P447" s="270" t="s">
        <v>1554</v>
      </c>
      <c r="Q447" s="270" t="s">
        <v>2198</v>
      </c>
      <c r="R447" s="306" t="s">
        <v>3694</v>
      </c>
      <c r="S447" s="285">
        <v>2023</v>
      </c>
      <c r="T447" s="270" t="s">
        <v>2001</v>
      </c>
      <c r="U447" s="270" t="s">
        <v>678</v>
      </c>
      <c r="V447" s="270" t="s">
        <v>679</v>
      </c>
      <c r="W447" s="270" t="s">
        <v>145</v>
      </c>
      <c r="X447" s="270" t="s">
        <v>309</v>
      </c>
      <c r="Y447" s="273">
        <v>45078</v>
      </c>
      <c r="Z447" s="288" t="s">
        <v>1875</v>
      </c>
      <c r="AA447" s="288" t="s">
        <v>2479</v>
      </c>
      <c r="AB447" s="288" t="s">
        <v>139</v>
      </c>
      <c r="AC447" s="288" t="s">
        <v>1875</v>
      </c>
      <c r="AD447" s="288" t="s">
        <v>1805</v>
      </c>
      <c r="AE447" s="288" t="s">
        <v>1805</v>
      </c>
      <c r="AF447" s="288" t="s">
        <v>2479</v>
      </c>
      <c r="AG447" s="288" t="s">
        <v>2479</v>
      </c>
      <c r="AH447" s="288" t="s">
        <v>2479</v>
      </c>
      <c r="AI447" s="288" t="s">
        <v>2479</v>
      </c>
      <c r="AJ447" s="303" t="s">
        <v>2191</v>
      </c>
      <c r="AK447" s="288" t="s">
        <v>2479</v>
      </c>
      <c r="AL447" s="303" t="s">
        <v>2190</v>
      </c>
      <c r="AM447" s="288" t="s">
        <v>1975</v>
      </c>
      <c r="AN447" s="207" t="b">
        <v>0</v>
      </c>
      <c r="AY447" s="288" t="s">
        <v>2479</v>
      </c>
      <c r="AZ447" s="288" t="s">
        <v>2479</v>
      </c>
      <c r="BA447" s="288" t="s">
        <v>373</v>
      </c>
      <c r="BB447" s="288" t="s">
        <v>1610</v>
      </c>
      <c r="BC447" s="288" t="s">
        <v>2192</v>
      </c>
    </row>
    <row r="448" spans="1:55" ht="45" customHeight="1">
      <c r="A448" s="271">
        <f t="shared" si="6"/>
        <v>447</v>
      </c>
      <c r="B448" s="284" t="s">
        <v>2592</v>
      </c>
      <c r="C448" s="270" t="s">
        <v>3704</v>
      </c>
      <c r="D448" s="270" t="s">
        <v>8</v>
      </c>
      <c r="E448" s="270" t="s">
        <v>9</v>
      </c>
      <c r="F448" s="270" t="s">
        <v>1775</v>
      </c>
      <c r="G448" s="302">
        <v>45035</v>
      </c>
      <c r="L448" s="270" t="s">
        <v>2479</v>
      </c>
      <c r="M448" s="270" t="s">
        <v>2479</v>
      </c>
      <c r="N448" s="272" t="s">
        <v>122</v>
      </c>
      <c r="O448" s="270" t="s">
        <v>2479</v>
      </c>
      <c r="P448" s="270" t="s">
        <v>1554</v>
      </c>
      <c r="Q448" s="270" t="s">
        <v>2198</v>
      </c>
      <c r="R448" s="306" t="s">
        <v>3705</v>
      </c>
      <c r="S448" s="285">
        <v>2023</v>
      </c>
      <c r="T448" s="270" t="s">
        <v>2001</v>
      </c>
      <c r="U448" s="270" t="s">
        <v>678</v>
      </c>
      <c r="V448" s="270" t="s">
        <v>679</v>
      </c>
      <c r="W448" s="270" t="s">
        <v>145</v>
      </c>
      <c r="X448" s="270" t="s">
        <v>309</v>
      </c>
      <c r="Y448" s="273">
        <v>45078</v>
      </c>
      <c r="Z448" s="288" t="s">
        <v>1875</v>
      </c>
      <c r="AA448" s="288" t="s">
        <v>2479</v>
      </c>
      <c r="AB448" s="288" t="s">
        <v>139</v>
      </c>
      <c r="AC448" s="288" t="s">
        <v>1875</v>
      </c>
      <c r="AD448" s="288" t="s">
        <v>1805</v>
      </c>
      <c r="AE448" s="288" t="s">
        <v>1805</v>
      </c>
      <c r="AF448" s="288" t="s">
        <v>2479</v>
      </c>
      <c r="AG448" s="288" t="s">
        <v>2479</v>
      </c>
      <c r="AH448" s="288" t="s">
        <v>2479</v>
      </c>
      <c r="AI448" s="288" t="s">
        <v>2479</v>
      </c>
      <c r="AJ448" s="303" t="s">
        <v>2191</v>
      </c>
      <c r="AK448" s="288" t="s">
        <v>2479</v>
      </c>
      <c r="AL448" s="303" t="s">
        <v>2190</v>
      </c>
      <c r="AM448" s="288" t="s">
        <v>1975</v>
      </c>
      <c r="AN448" s="207" t="b">
        <v>0</v>
      </c>
      <c r="AY448" s="288" t="s">
        <v>2479</v>
      </c>
      <c r="AZ448" s="288" t="s">
        <v>2479</v>
      </c>
      <c r="BA448" s="288" t="s">
        <v>373</v>
      </c>
      <c r="BB448" s="288" t="s">
        <v>1610</v>
      </c>
      <c r="BC448" s="288" t="s">
        <v>2192</v>
      </c>
    </row>
    <row r="449" spans="1:55" ht="45" customHeight="1">
      <c r="A449" s="271">
        <f t="shared" ref="A449:A511" si="7">ROW()-1</f>
        <v>448</v>
      </c>
      <c r="B449" s="284" t="s">
        <v>2594</v>
      </c>
      <c r="C449" s="270" t="s">
        <v>3770</v>
      </c>
      <c r="D449" s="270" t="s">
        <v>8</v>
      </c>
      <c r="E449" s="270" t="s">
        <v>9</v>
      </c>
      <c r="F449" s="270" t="s">
        <v>1775</v>
      </c>
      <c r="G449" s="302">
        <v>45063</v>
      </c>
      <c r="L449" s="270" t="s">
        <v>2479</v>
      </c>
      <c r="M449" s="270" t="s">
        <v>2479</v>
      </c>
      <c r="N449" s="272" t="s">
        <v>122</v>
      </c>
      <c r="O449" s="270" t="s">
        <v>2479</v>
      </c>
      <c r="P449" s="270" t="s">
        <v>1554</v>
      </c>
      <c r="Q449" s="270" t="s">
        <v>2198</v>
      </c>
      <c r="R449" s="306">
        <v>44932.47115740741</v>
      </c>
      <c r="S449" s="285">
        <v>2023</v>
      </c>
      <c r="T449" s="270" t="s">
        <v>2001</v>
      </c>
      <c r="U449" s="270" t="s">
        <v>678</v>
      </c>
      <c r="V449" s="270" t="s">
        <v>679</v>
      </c>
      <c r="W449" s="270" t="s">
        <v>145</v>
      </c>
      <c r="X449" s="270" t="s">
        <v>309</v>
      </c>
      <c r="Y449" s="273">
        <v>45078</v>
      </c>
      <c r="Z449" s="288" t="s">
        <v>1875</v>
      </c>
      <c r="AA449" s="288" t="s">
        <v>2479</v>
      </c>
      <c r="AB449" s="288" t="s">
        <v>139</v>
      </c>
      <c r="AC449" s="288" t="s">
        <v>1875</v>
      </c>
      <c r="AD449" s="288" t="s">
        <v>1805</v>
      </c>
      <c r="AE449" s="288" t="s">
        <v>1805</v>
      </c>
      <c r="AF449" s="288" t="s">
        <v>2479</v>
      </c>
      <c r="AG449" s="288" t="s">
        <v>2479</v>
      </c>
      <c r="AH449" s="288" t="s">
        <v>2479</v>
      </c>
      <c r="AI449" s="288" t="s">
        <v>2479</v>
      </c>
      <c r="AJ449" s="303" t="s">
        <v>2191</v>
      </c>
      <c r="AK449" s="288" t="s">
        <v>2479</v>
      </c>
      <c r="AL449" s="303" t="s">
        <v>2190</v>
      </c>
      <c r="AM449" s="288" t="s">
        <v>1975</v>
      </c>
      <c r="AN449" s="207" t="b">
        <v>0</v>
      </c>
      <c r="AY449" s="288" t="s">
        <v>2479</v>
      </c>
      <c r="AZ449" s="288" t="s">
        <v>2479</v>
      </c>
      <c r="BA449" s="288" t="s">
        <v>373</v>
      </c>
      <c r="BB449" s="288" t="s">
        <v>1610</v>
      </c>
      <c r="BC449" s="288" t="s">
        <v>2192</v>
      </c>
    </row>
    <row r="450" spans="1:55" ht="45" customHeight="1">
      <c r="A450" s="271">
        <f t="shared" si="7"/>
        <v>449</v>
      </c>
      <c r="B450" s="284" t="s">
        <v>2596</v>
      </c>
      <c r="C450" s="270" t="s">
        <v>3771</v>
      </c>
      <c r="D450" s="270" t="s">
        <v>8</v>
      </c>
      <c r="E450" s="270" t="s">
        <v>9</v>
      </c>
      <c r="F450" s="270" t="s">
        <v>1775</v>
      </c>
      <c r="G450" s="302">
        <v>45063</v>
      </c>
      <c r="L450" s="270" t="s">
        <v>2479</v>
      </c>
      <c r="M450" s="270" t="s">
        <v>2479</v>
      </c>
      <c r="N450" s="272" t="s">
        <v>122</v>
      </c>
      <c r="O450" s="270" t="s">
        <v>2479</v>
      </c>
      <c r="P450" s="270" t="s">
        <v>1554</v>
      </c>
      <c r="Q450" s="270" t="s">
        <v>2198</v>
      </c>
      <c r="R450" s="306">
        <v>44932.471678240741</v>
      </c>
      <c r="S450" s="285">
        <v>2023</v>
      </c>
      <c r="T450" s="270" t="s">
        <v>2001</v>
      </c>
      <c r="U450" s="270" t="s">
        <v>678</v>
      </c>
      <c r="V450" s="270" t="s">
        <v>679</v>
      </c>
      <c r="W450" s="270" t="s">
        <v>145</v>
      </c>
      <c r="X450" s="270" t="s">
        <v>309</v>
      </c>
      <c r="Y450" s="273">
        <v>45078</v>
      </c>
      <c r="Z450" s="288" t="s">
        <v>1875</v>
      </c>
      <c r="AA450" s="288" t="s">
        <v>2479</v>
      </c>
      <c r="AB450" s="288" t="s">
        <v>139</v>
      </c>
      <c r="AC450" s="288" t="s">
        <v>1875</v>
      </c>
      <c r="AD450" s="288" t="s">
        <v>1805</v>
      </c>
      <c r="AE450" s="288" t="s">
        <v>1805</v>
      </c>
      <c r="AF450" s="288" t="s">
        <v>2479</v>
      </c>
      <c r="AG450" s="288" t="s">
        <v>2479</v>
      </c>
      <c r="AH450" s="288" t="s">
        <v>2479</v>
      </c>
      <c r="AI450" s="288" t="s">
        <v>2479</v>
      </c>
      <c r="AJ450" s="303" t="s">
        <v>2191</v>
      </c>
      <c r="AK450" s="288" t="s">
        <v>2479</v>
      </c>
      <c r="AL450" s="303" t="s">
        <v>2190</v>
      </c>
      <c r="AM450" s="288" t="s">
        <v>1975</v>
      </c>
      <c r="AN450" s="207" t="b">
        <v>0</v>
      </c>
      <c r="AY450" s="288" t="s">
        <v>2479</v>
      </c>
      <c r="AZ450" s="288" t="s">
        <v>2479</v>
      </c>
      <c r="BA450" s="288" t="s">
        <v>373</v>
      </c>
      <c r="BB450" s="288" t="s">
        <v>1610</v>
      </c>
      <c r="BC450" s="288" t="s">
        <v>2192</v>
      </c>
    </row>
    <row r="451" spans="1:55" ht="45" customHeight="1">
      <c r="A451" s="271">
        <f t="shared" si="7"/>
        <v>450</v>
      </c>
      <c r="B451" s="284" t="s">
        <v>2598</v>
      </c>
      <c r="C451" s="270" t="s">
        <v>3772</v>
      </c>
      <c r="D451" s="270" t="s">
        <v>8</v>
      </c>
      <c r="E451" s="270" t="s">
        <v>9</v>
      </c>
      <c r="F451" s="270" t="s">
        <v>1775</v>
      </c>
      <c r="G451" s="302">
        <v>45063</v>
      </c>
      <c r="L451" s="270" t="s">
        <v>2479</v>
      </c>
      <c r="M451" s="270" t="s">
        <v>2479</v>
      </c>
      <c r="N451" s="272" t="s">
        <v>122</v>
      </c>
      <c r="O451" s="270" t="s">
        <v>2479</v>
      </c>
      <c r="P451" s="270" t="s">
        <v>1554</v>
      </c>
      <c r="Q451" s="270" t="s">
        <v>2198</v>
      </c>
      <c r="R451" s="306">
        <v>44932.472129629627</v>
      </c>
      <c r="S451" s="285">
        <v>2023</v>
      </c>
      <c r="T451" s="270" t="s">
        <v>2001</v>
      </c>
      <c r="U451" s="270" t="s">
        <v>678</v>
      </c>
      <c r="V451" s="270" t="s">
        <v>679</v>
      </c>
      <c r="W451" s="270" t="s">
        <v>145</v>
      </c>
      <c r="X451" s="270" t="s">
        <v>309</v>
      </c>
      <c r="Y451" s="273">
        <v>45078</v>
      </c>
      <c r="Z451" s="288" t="s">
        <v>1875</v>
      </c>
      <c r="AA451" s="288" t="s">
        <v>2479</v>
      </c>
      <c r="AB451" s="288" t="s">
        <v>139</v>
      </c>
      <c r="AC451" s="288" t="s">
        <v>1875</v>
      </c>
      <c r="AD451" s="288" t="s">
        <v>1805</v>
      </c>
      <c r="AE451" s="288" t="s">
        <v>1805</v>
      </c>
      <c r="AF451" s="288" t="s">
        <v>2479</v>
      </c>
      <c r="AG451" s="288" t="s">
        <v>2479</v>
      </c>
      <c r="AH451" s="288" t="s">
        <v>2479</v>
      </c>
      <c r="AI451" s="288" t="s">
        <v>2479</v>
      </c>
      <c r="AJ451" s="303" t="s">
        <v>2191</v>
      </c>
      <c r="AK451" s="288" t="s">
        <v>2479</v>
      </c>
      <c r="AL451" s="303" t="s">
        <v>2190</v>
      </c>
      <c r="AM451" s="288" t="s">
        <v>1975</v>
      </c>
      <c r="AN451" s="207" t="b">
        <v>0</v>
      </c>
      <c r="AY451" s="288" t="s">
        <v>2479</v>
      </c>
      <c r="AZ451" s="288" t="s">
        <v>2479</v>
      </c>
      <c r="BA451" s="288" t="s">
        <v>373</v>
      </c>
      <c r="BB451" s="288" t="s">
        <v>1610</v>
      </c>
      <c r="BC451" s="288" t="s">
        <v>2192</v>
      </c>
    </row>
    <row r="452" spans="1:55" ht="45" customHeight="1">
      <c r="A452" s="271">
        <f t="shared" si="7"/>
        <v>451</v>
      </c>
      <c r="B452" s="284" t="s">
        <v>2814</v>
      </c>
      <c r="C452" s="270" t="s">
        <v>3818</v>
      </c>
      <c r="D452" s="270" t="s">
        <v>8</v>
      </c>
      <c r="E452" s="270" t="s">
        <v>9</v>
      </c>
      <c r="F452" s="270" t="s">
        <v>1775</v>
      </c>
      <c r="G452" s="302">
        <v>45084</v>
      </c>
      <c r="L452" s="270" t="s">
        <v>2479</v>
      </c>
      <c r="M452" s="270" t="s">
        <v>2479</v>
      </c>
      <c r="N452" s="272" t="s">
        <v>122</v>
      </c>
      <c r="O452" s="270" t="s">
        <v>2479</v>
      </c>
      <c r="P452" s="270" t="s">
        <v>1555</v>
      </c>
      <c r="Q452" s="270" t="s">
        <v>2198</v>
      </c>
      <c r="R452" s="306">
        <v>44992.38821759259</v>
      </c>
      <c r="S452" s="285">
        <v>2023</v>
      </c>
      <c r="T452" s="270" t="s">
        <v>2001</v>
      </c>
      <c r="U452" s="270" t="s">
        <v>678</v>
      </c>
      <c r="V452" s="270" t="s">
        <v>679</v>
      </c>
      <c r="W452" s="270" t="s">
        <v>145</v>
      </c>
      <c r="X452" s="270" t="s">
        <v>309</v>
      </c>
      <c r="Y452" s="273">
        <v>45078</v>
      </c>
      <c r="Z452" s="288" t="s">
        <v>1875</v>
      </c>
      <c r="AA452" s="288" t="s">
        <v>2479</v>
      </c>
      <c r="AB452" s="288" t="s">
        <v>139</v>
      </c>
      <c r="AC452" s="288" t="s">
        <v>1875</v>
      </c>
      <c r="AD452" s="288" t="s">
        <v>1805</v>
      </c>
      <c r="AE452" s="288" t="s">
        <v>1805</v>
      </c>
      <c r="AF452" s="288" t="s">
        <v>2479</v>
      </c>
      <c r="AG452" s="288" t="s">
        <v>2479</v>
      </c>
      <c r="AH452" s="288" t="s">
        <v>2479</v>
      </c>
      <c r="AI452" s="288" t="s">
        <v>2479</v>
      </c>
      <c r="AJ452" s="303" t="s">
        <v>2191</v>
      </c>
      <c r="AK452" s="288" t="s">
        <v>2479</v>
      </c>
      <c r="AL452" s="303" t="s">
        <v>2190</v>
      </c>
      <c r="AM452" s="288" t="s">
        <v>1975</v>
      </c>
      <c r="AN452" s="207" t="b">
        <v>0</v>
      </c>
      <c r="AY452" s="288" t="s">
        <v>2479</v>
      </c>
      <c r="AZ452" s="288" t="s">
        <v>2479</v>
      </c>
      <c r="BA452" s="288" t="s">
        <v>373</v>
      </c>
      <c r="BB452" s="288" t="s">
        <v>139</v>
      </c>
      <c r="BC452" s="288" t="s">
        <v>2192</v>
      </c>
    </row>
    <row r="453" spans="1:55" ht="45" customHeight="1">
      <c r="A453" s="271">
        <f t="shared" si="7"/>
        <v>452</v>
      </c>
      <c r="B453" s="284" t="s">
        <v>3938</v>
      </c>
      <c r="C453" s="270" t="s">
        <v>3939</v>
      </c>
      <c r="D453" s="270" t="s">
        <v>8</v>
      </c>
      <c r="E453" s="270" t="s">
        <v>9</v>
      </c>
      <c r="F453" s="270" t="s">
        <v>1775</v>
      </c>
      <c r="G453" s="302">
        <v>44967</v>
      </c>
      <c r="I453" s="306">
        <v>45083</v>
      </c>
      <c r="J453" s="270" t="s">
        <v>2904</v>
      </c>
      <c r="L453" s="270" t="s">
        <v>2479</v>
      </c>
      <c r="M453" s="270" t="s">
        <v>2479</v>
      </c>
      <c r="N453" s="272" t="s">
        <v>122</v>
      </c>
      <c r="O453" s="270" t="s">
        <v>2479</v>
      </c>
      <c r="P453" s="270" t="s">
        <v>1556</v>
      </c>
      <c r="Q453" s="270" t="s">
        <v>2198</v>
      </c>
      <c r="R453" s="306">
        <v>44992.490243055552</v>
      </c>
      <c r="S453" s="285">
        <v>2023</v>
      </c>
      <c r="T453" s="270" t="s">
        <v>2001</v>
      </c>
      <c r="U453" s="270" t="s">
        <v>678</v>
      </c>
      <c r="V453" s="270" t="s">
        <v>679</v>
      </c>
      <c r="W453" s="270" t="s">
        <v>145</v>
      </c>
      <c r="X453" s="270" t="s">
        <v>309</v>
      </c>
      <c r="Y453" s="273">
        <v>45078</v>
      </c>
      <c r="Z453" s="288" t="s">
        <v>1875</v>
      </c>
      <c r="AA453" s="288" t="s">
        <v>2479</v>
      </c>
      <c r="AB453" s="288" t="s">
        <v>139</v>
      </c>
      <c r="AC453" s="288" t="s">
        <v>1875</v>
      </c>
      <c r="AD453" s="288" t="s">
        <v>1805</v>
      </c>
      <c r="AE453" s="288" t="s">
        <v>1805</v>
      </c>
      <c r="AF453" s="288" t="s">
        <v>2479</v>
      </c>
      <c r="AG453" s="288" t="s">
        <v>2479</v>
      </c>
      <c r="AH453" s="288" t="s">
        <v>2479</v>
      </c>
      <c r="AI453" s="288" t="s">
        <v>2479</v>
      </c>
      <c r="AJ453" s="303" t="s">
        <v>2191</v>
      </c>
      <c r="AK453" s="288" t="s">
        <v>2479</v>
      </c>
      <c r="AL453" s="303" t="s">
        <v>2190</v>
      </c>
      <c r="AM453" s="288" t="s">
        <v>1975</v>
      </c>
      <c r="AN453" s="207" t="b">
        <v>0</v>
      </c>
      <c r="AY453" s="288" t="s">
        <v>2479</v>
      </c>
      <c r="AZ453" s="288" t="s">
        <v>2479</v>
      </c>
      <c r="BA453" s="288" t="s">
        <v>373</v>
      </c>
      <c r="BB453" s="288" t="s">
        <v>139</v>
      </c>
      <c r="BC453" s="288" t="s">
        <v>2192</v>
      </c>
    </row>
    <row r="454" spans="1:55" ht="45" customHeight="1">
      <c r="A454" s="271">
        <f t="shared" si="7"/>
        <v>453</v>
      </c>
      <c r="B454" s="284" t="s">
        <v>3335</v>
      </c>
      <c r="C454" s="270" t="s">
        <v>3741</v>
      </c>
      <c r="D454" s="270" t="s">
        <v>8</v>
      </c>
      <c r="E454" s="270" t="s">
        <v>9</v>
      </c>
      <c r="F454" s="270" t="s">
        <v>1776</v>
      </c>
      <c r="G454" s="302">
        <v>45057</v>
      </c>
      <c r="K454" s="306">
        <v>45089</v>
      </c>
      <c r="L454" s="270" t="s">
        <v>2193</v>
      </c>
      <c r="M454" s="270" t="s">
        <v>114</v>
      </c>
      <c r="N454" s="272" t="s">
        <v>2479</v>
      </c>
      <c r="O454" s="270" t="s">
        <v>2479</v>
      </c>
      <c r="P454" s="270" t="s">
        <v>1554</v>
      </c>
      <c r="Q454" s="270" t="s">
        <v>2198</v>
      </c>
      <c r="R454" s="306">
        <v>44992.53943287037</v>
      </c>
      <c r="S454" s="285">
        <v>2023</v>
      </c>
      <c r="T454" s="270" t="s">
        <v>2194</v>
      </c>
      <c r="U454" s="270" t="s">
        <v>678</v>
      </c>
      <c r="V454" s="270" t="s">
        <v>679</v>
      </c>
      <c r="W454" s="270" t="s">
        <v>145</v>
      </c>
      <c r="X454" s="270" t="s">
        <v>309</v>
      </c>
      <c r="Y454" s="273">
        <v>45078</v>
      </c>
      <c r="Z454" s="288" t="s">
        <v>1875</v>
      </c>
      <c r="AA454" s="288" t="s">
        <v>2479</v>
      </c>
      <c r="AB454" s="288" t="s">
        <v>139</v>
      </c>
      <c r="AC454" s="288" t="s">
        <v>1875</v>
      </c>
      <c r="AD454" s="288" t="s">
        <v>1805</v>
      </c>
      <c r="AE454" s="288" t="s">
        <v>1805</v>
      </c>
      <c r="AF454" s="288" t="s">
        <v>2479</v>
      </c>
      <c r="AG454" s="288" t="s">
        <v>2479</v>
      </c>
      <c r="AH454" s="288" t="s">
        <v>2479</v>
      </c>
      <c r="AI454" s="288" t="s">
        <v>2479</v>
      </c>
      <c r="AJ454" s="303" t="s">
        <v>2191</v>
      </c>
      <c r="AK454" s="288" t="s">
        <v>2479</v>
      </c>
      <c r="AL454" s="303" t="s">
        <v>2190</v>
      </c>
      <c r="AM454" s="288" t="s">
        <v>1975</v>
      </c>
      <c r="AN454" s="207" t="b">
        <v>0</v>
      </c>
      <c r="AY454" s="288" t="s">
        <v>2479</v>
      </c>
      <c r="AZ454" s="288" t="s">
        <v>2479</v>
      </c>
      <c r="BA454" s="288" t="s">
        <v>373</v>
      </c>
      <c r="BB454" s="288" t="s">
        <v>139</v>
      </c>
      <c r="BC454" s="288" t="s">
        <v>2192</v>
      </c>
    </row>
    <row r="455" spans="1:55" ht="45" customHeight="1">
      <c r="A455" s="271">
        <f t="shared" si="7"/>
        <v>454</v>
      </c>
      <c r="B455" s="284" t="s">
        <v>2602</v>
      </c>
      <c r="C455" s="270" t="s">
        <v>2603</v>
      </c>
      <c r="D455" s="270" t="s">
        <v>8</v>
      </c>
      <c r="E455" s="270" t="s">
        <v>9</v>
      </c>
      <c r="F455" s="270" t="s">
        <v>1871</v>
      </c>
      <c r="G455" s="302">
        <v>44259</v>
      </c>
      <c r="L455" s="270" t="s">
        <v>2479</v>
      </c>
      <c r="M455" s="270" t="s">
        <v>2479</v>
      </c>
      <c r="N455" s="272" t="s">
        <v>98</v>
      </c>
      <c r="O455" s="270" t="s">
        <v>2479</v>
      </c>
      <c r="P455" s="270" t="s">
        <v>1554</v>
      </c>
      <c r="Q455" s="270" t="s">
        <v>2198</v>
      </c>
      <c r="R455" s="306">
        <v>44630.405833333331</v>
      </c>
      <c r="S455" s="285">
        <v>2021</v>
      </c>
      <c r="T455" s="270" t="s">
        <v>2001</v>
      </c>
      <c r="U455" s="270" t="s">
        <v>678</v>
      </c>
      <c r="V455" s="270" t="s">
        <v>679</v>
      </c>
      <c r="W455" s="270" t="s">
        <v>145</v>
      </c>
      <c r="X455" s="270" t="s">
        <v>309</v>
      </c>
      <c r="Y455" s="273">
        <v>45078</v>
      </c>
      <c r="Z455" s="288" t="s">
        <v>1875</v>
      </c>
      <c r="AA455" s="288" t="s">
        <v>2479</v>
      </c>
      <c r="AB455" s="288" t="s">
        <v>139</v>
      </c>
      <c r="AC455" s="288" t="s">
        <v>1875</v>
      </c>
      <c r="AD455" s="288" t="s">
        <v>1805</v>
      </c>
      <c r="AE455" s="288" t="s">
        <v>1805</v>
      </c>
      <c r="AF455" s="288" t="s">
        <v>2479</v>
      </c>
      <c r="AG455" s="288" t="s">
        <v>2479</v>
      </c>
      <c r="AH455" s="288" t="s">
        <v>2479</v>
      </c>
      <c r="AI455" s="288" t="s">
        <v>2479</v>
      </c>
      <c r="AJ455" s="303" t="s">
        <v>2191</v>
      </c>
      <c r="AK455" s="288" t="s">
        <v>2479</v>
      </c>
      <c r="AL455" s="303" t="s">
        <v>2190</v>
      </c>
      <c r="AM455" s="288" t="s">
        <v>1975</v>
      </c>
      <c r="AN455" s="207" t="b">
        <v>0</v>
      </c>
      <c r="AY455" s="288" t="s">
        <v>2479</v>
      </c>
      <c r="AZ455" s="288" t="s">
        <v>2479</v>
      </c>
      <c r="BA455" s="288" t="s">
        <v>373</v>
      </c>
      <c r="BB455" s="288" t="s">
        <v>1610</v>
      </c>
      <c r="BC455" s="288" t="s">
        <v>2192</v>
      </c>
    </row>
    <row r="456" spans="1:55" ht="45" customHeight="1">
      <c r="A456" s="271">
        <f>ROW()-1</f>
        <v>455</v>
      </c>
      <c r="B456" s="284" t="s">
        <v>2604</v>
      </c>
      <c r="C456" s="270" t="s">
        <v>2605</v>
      </c>
      <c r="D456" s="270" t="s">
        <v>8</v>
      </c>
      <c r="E456" s="270" t="s">
        <v>9</v>
      </c>
      <c r="F456" s="270" t="s">
        <v>1871</v>
      </c>
      <c r="G456" s="302">
        <v>44394</v>
      </c>
      <c r="K456" s="306">
        <v>45101</v>
      </c>
      <c r="L456" s="270" t="s">
        <v>2193</v>
      </c>
      <c r="M456" s="270" t="s">
        <v>114</v>
      </c>
      <c r="N456" s="272" t="s">
        <v>2479</v>
      </c>
      <c r="O456" s="270" t="s">
        <v>2479</v>
      </c>
      <c r="P456" s="270" t="s">
        <v>1554</v>
      </c>
      <c r="Q456" s="270" t="s">
        <v>2198</v>
      </c>
      <c r="R456" s="306">
        <v>44992.61546296296</v>
      </c>
      <c r="S456" s="285">
        <v>2021</v>
      </c>
      <c r="T456" s="270" t="s">
        <v>2194</v>
      </c>
      <c r="U456" s="270" t="s">
        <v>678</v>
      </c>
      <c r="V456" s="270" t="s">
        <v>679</v>
      </c>
      <c r="W456" s="270" t="s">
        <v>145</v>
      </c>
      <c r="X456" s="270" t="s">
        <v>309</v>
      </c>
      <c r="Y456" s="273">
        <v>45078</v>
      </c>
      <c r="Z456" s="288" t="s">
        <v>1875</v>
      </c>
      <c r="AA456" s="288" t="s">
        <v>2479</v>
      </c>
      <c r="AB456" s="288" t="s">
        <v>139</v>
      </c>
      <c r="AC456" s="288" t="s">
        <v>1875</v>
      </c>
      <c r="AD456" s="288" t="s">
        <v>1805</v>
      </c>
      <c r="AE456" s="288" t="s">
        <v>1805</v>
      </c>
      <c r="AF456" s="288" t="s">
        <v>2479</v>
      </c>
      <c r="AG456" s="288" t="s">
        <v>2479</v>
      </c>
      <c r="AH456" s="288" t="s">
        <v>2479</v>
      </c>
      <c r="AI456" s="288" t="s">
        <v>2479</v>
      </c>
      <c r="AJ456" s="303" t="s">
        <v>2191</v>
      </c>
      <c r="AK456" s="288" t="s">
        <v>2479</v>
      </c>
      <c r="AL456" s="303" t="s">
        <v>2190</v>
      </c>
      <c r="AM456" s="288" t="s">
        <v>1975</v>
      </c>
      <c r="AN456" s="207" t="b">
        <v>0</v>
      </c>
      <c r="AY456" s="288" t="s">
        <v>2479</v>
      </c>
      <c r="AZ456" s="288" t="s">
        <v>2479</v>
      </c>
      <c r="BA456" s="288" t="s">
        <v>373</v>
      </c>
      <c r="BB456" s="288" t="s">
        <v>139</v>
      </c>
      <c r="BC456" s="288" t="s">
        <v>2192</v>
      </c>
    </row>
    <row r="457" spans="1:55" ht="45" customHeight="1">
      <c r="A457" s="271">
        <f t="shared" si="7"/>
        <v>456</v>
      </c>
      <c r="B457" s="284" t="s">
        <v>2608</v>
      </c>
      <c r="C457" s="270" t="s">
        <v>2609</v>
      </c>
      <c r="D457" s="270" t="s">
        <v>8</v>
      </c>
      <c r="E457" s="270" t="s">
        <v>9</v>
      </c>
      <c r="F457" s="270" t="s">
        <v>1871</v>
      </c>
      <c r="G457" s="302">
        <v>44494</v>
      </c>
      <c r="L457" s="270" t="s">
        <v>2479</v>
      </c>
      <c r="M457" s="270" t="s">
        <v>2479</v>
      </c>
      <c r="N457" s="272" t="s">
        <v>132</v>
      </c>
      <c r="O457" s="270" t="s">
        <v>2479</v>
      </c>
      <c r="P457" s="270" t="s">
        <v>1554</v>
      </c>
      <c r="Q457" s="270" t="s">
        <v>2198</v>
      </c>
      <c r="R457" s="306">
        <v>44630.408807870372</v>
      </c>
      <c r="S457" s="285">
        <v>2021</v>
      </c>
      <c r="T457" s="270" t="s">
        <v>2001</v>
      </c>
      <c r="U457" s="270" t="s">
        <v>678</v>
      </c>
      <c r="V457" s="270" t="s">
        <v>679</v>
      </c>
      <c r="W457" s="270" t="s">
        <v>145</v>
      </c>
      <c r="X457" s="270" t="s">
        <v>309</v>
      </c>
      <c r="Y457" s="273">
        <v>45078</v>
      </c>
      <c r="Z457" s="288" t="s">
        <v>1875</v>
      </c>
      <c r="AA457" s="288" t="s">
        <v>2479</v>
      </c>
      <c r="AB457" s="288" t="s">
        <v>139</v>
      </c>
      <c r="AC457" s="288" t="s">
        <v>1875</v>
      </c>
      <c r="AD457" s="288" t="s">
        <v>1805</v>
      </c>
      <c r="AE457" s="288" t="s">
        <v>1805</v>
      </c>
      <c r="AF457" s="288" t="s">
        <v>2479</v>
      </c>
      <c r="AG457" s="288" t="s">
        <v>2479</v>
      </c>
      <c r="AH457" s="288" t="s">
        <v>2479</v>
      </c>
      <c r="AI457" s="288" t="s">
        <v>2479</v>
      </c>
      <c r="AJ457" s="303" t="s">
        <v>2191</v>
      </c>
      <c r="AK457" s="288" t="s">
        <v>2479</v>
      </c>
      <c r="AL457" s="303" t="s">
        <v>2190</v>
      </c>
      <c r="AM457" s="288" t="s">
        <v>1975</v>
      </c>
      <c r="AN457" s="207" t="b">
        <v>0</v>
      </c>
      <c r="AY457" s="288" t="s">
        <v>2479</v>
      </c>
      <c r="AZ457" s="288" t="s">
        <v>2479</v>
      </c>
      <c r="BA457" s="288" t="s">
        <v>373</v>
      </c>
      <c r="BB457" s="288" t="s">
        <v>1610</v>
      </c>
      <c r="BC457" s="288" t="s">
        <v>2192</v>
      </c>
    </row>
    <row r="458" spans="1:55" ht="45" customHeight="1">
      <c r="A458" s="271">
        <f t="shared" si="7"/>
        <v>457</v>
      </c>
      <c r="B458" s="284" t="s">
        <v>2613</v>
      </c>
      <c r="C458" s="270" t="s">
        <v>2614</v>
      </c>
      <c r="D458" s="270" t="s">
        <v>8</v>
      </c>
      <c r="E458" s="270" t="s">
        <v>9</v>
      </c>
      <c r="F458" s="270" t="s">
        <v>1871</v>
      </c>
      <c r="G458" s="302">
        <v>44649</v>
      </c>
      <c r="L458" s="270" t="s">
        <v>2479</v>
      </c>
      <c r="M458" s="270" t="s">
        <v>2479</v>
      </c>
      <c r="N458" s="272" t="s">
        <v>98</v>
      </c>
      <c r="O458" s="270" t="s">
        <v>2479</v>
      </c>
      <c r="P458" s="270" t="s">
        <v>1554</v>
      </c>
      <c r="Q458" s="270" t="s">
        <v>2198</v>
      </c>
      <c r="R458" s="306">
        <v>44630.413078703707</v>
      </c>
      <c r="S458" s="285">
        <v>2022</v>
      </c>
      <c r="T458" s="270" t="s">
        <v>2001</v>
      </c>
      <c r="U458" s="270" t="s">
        <v>678</v>
      </c>
      <c r="V458" s="270" t="s">
        <v>679</v>
      </c>
      <c r="W458" s="270" t="s">
        <v>145</v>
      </c>
      <c r="X458" s="270" t="s">
        <v>309</v>
      </c>
      <c r="Y458" s="273">
        <v>45078</v>
      </c>
      <c r="Z458" s="288" t="s">
        <v>1875</v>
      </c>
      <c r="AA458" s="288" t="s">
        <v>2479</v>
      </c>
      <c r="AB458" s="288" t="s">
        <v>139</v>
      </c>
      <c r="AC458" s="288" t="s">
        <v>1875</v>
      </c>
      <c r="AD458" s="288" t="s">
        <v>1805</v>
      </c>
      <c r="AE458" s="288" t="s">
        <v>1805</v>
      </c>
      <c r="AF458" s="288" t="s">
        <v>2479</v>
      </c>
      <c r="AG458" s="288" t="s">
        <v>2479</v>
      </c>
      <c r="AH458" s="288" t="s">
        <v>2479</v>
      </c>
      <c r="AI458" s="288" t="s">
        <v>2479</v>
      </c>
      <c r="AJ458" s="303" t="s">
        <v>2191</v>
      </c>
      <c r="AK458" s="288" t="s">
        <v>2479</v>
      </c>
      <c r="AL458" s="303" t="s">
        <v>2190</v>
      </c>
      <c r="AM458" s="288" t="s">
        <v>1975</v>
      </c>
      <c r="AN458" s="207" t="b">
        <v>0</v>
      </c>
      <c r="AY458" s="288" t="s">
        <v>2479</v>
      </c>
      <c r="AZ458" s="288" t="s">
        <v>2479</v>
      </c>
      <c r="BA458" s="288" t="s">
        <v>373</v>
      </c>
      <c r="BB458" s="288" t="s">
        <v>1610</v>
      </c>
      <c r="BC458" s="288" t="s">
        <v>2192</v>
      </c>
    </row>
    <row r="459" spans="1:55" ht="45" customHeight="1">
      <c r="A459" s="271">
        <f t="shared" si="7"/>
        <v>458</v>
      </c>
      <c r="B459" s="284" t="s">
        <v>2615</v>
      </c>
      <c r="C459" s="270" t="s">
        <v>2616</v>
      </c>
      <c r="D459" s="270" t="s">
        <v>8</v>
      </c>
      <c r="E459" s="270" t="s">
        <v>9</v>
      </c>
      <c r="F459" s="270" t="s">
        <v>1871</v>
      </c>
      <c r="G459" s="302">
        <v>44667</v>
      </c>
      <c r="L459" s="270" t="s">
        <v>2479</v>
      </c>
      <c r="M459" s="270" t="s">
        <v>2479</v>
      </c>
      <c r="N459" s="272" t="s">
        <v>98</v>
      </c>
      <c r="O459" s="270" t="s">
        <v>2479</v>
      </c>
      <c r="P459" s="270" t="s">
        <v>1554</v>
      </c>
      <c r="Q459" s="270" t="s">
        <v>2198</v>
      </c>
      <c r="R459" s="306">
        <v>44630.413576388892</v>
      </c>
      <c r="S459" s="285">
        <v>2022</v>
      </c>
      <c r="T459" s="270" t="s">
        <v>2001</v>
      </c>
      <c r="U459" s="270" t="s">
        <v>678</v>
      </c>
      <c r="V459" s="270" t="s">
        <v>679</v>
      </c>
      <c r="W459" s="270" t="s">
        <v>145</v>
      </c>
      <c r="X459" s="270" t="s">
        <v>309</v>
      </c>
      <c r="Y459" s="273">
        <v>45078</v>
      </c>
      <c r="Z459" s="288" t="s">
        <v>1875</v>
      </c>
      <c r="AA459" s="288" t="s">
        <v>2479</v>
      </c>
      <c r="AB459" s="288" t="s">
        <v>139</v>
      </c>
      <c r="AC459" s="288" t="s">
        <v>1875</v>
      </c>
      <c r="AD459" s="288" t="s">
        <v>1805</v>
      </c>
      <c r="AE459" s="288" t="s">
        <v>1805</v>
      </c>
      <c r="AF459" s="288" t="s">
        <v>2479</v>
      </c>
      <c r="AG459" s="288" t="s">
        <v>2479</v>
      </c>
      <c r="AH459" s="288" t="s">
        <v>2479</v>
      </c>
      <c r="AI459" s="288" t="s">
        <v>2479</v>
      </c>
      <c r="AJ459" s="303" t="s">
        <v>2191</v>
      </c>
      <c r="AK459" s="288" t="s">
        <v>2479</v>
      </c>
      <c r="AL459" s="303" t="s">
        <v>2190</v>
      </c>
      <c r="AM459" s="288" t="s">
        <v>1975</v>
      </c>
      <c r="AN459" s="207" t="b">
        <v>0</v>
      </c>
      <c r="AY459" s="288" t="s">
        <v>2479</v>
      </c>
      <c r="AZ459" s="288" t="s">
        <v>2479</v>
      </c>
      <c r="BA459" s="288" t="s">
        <v>373</v>
      </c>
      <c r="BB459" s="288" t="s">
        <v>1610</v>
      </c>
      <c r="BC459" s="288" t="s">
        <v>2192</v>
      </c>
    </row>
    <row r="460" spans="1:55" ht="45" customHeight="1">
      <c r="A460" s="271">
        <f t="shared" si="7"/>
        <v>459</v>
      </c>
      <c r="B460" s="284" t="s">
        <v>2617</v>
      </c>
      <c r="C460" s="270" t="s">
        <v>2618</v>
      </c>
      <c r="D460" s="270" t="s">
        <v>8</v>
      </c>
      <c r="E460" s="270" t="s">
        <v>9</v>
      </c>
      <c r="F460" s="270" t="s">
        <v>1871</v>
      </c>
      <c r="G460" s="302">
        <v>44670</v>
      </c>
      <c r="L460" s="270" t="s">
        <v>2479</v>
      </c>
      <c r="M460" s="270" t="s">
        <v>2479</v>
      </c>
      <c r="N460" s="272" t="s">
        <v>98</v>
      </c>
      <c r="O460" s="270" t="s">
        <v>2479</v>
      </c>
      <c r="P460" s="270" t="s">
        <v>1554</v>
      </c>
      <c r="Q460" s="270" t="s">
        <v>2198</v>
      </c>
      <c r="R460" s="306">
        <v>44630.413981481484</v>
      </c>
      <c r="S460" s="285">
        <v>2022</v>
      </c>
      <c r="T460" s="270" t="s">
        <v>2001</v>
      </c>
      <c r="U460" s="270" t="s">
        <v>678</v>
      </c>
      <c r="V460" s="270" t="s">
        <v>679</v>
      </c>
      <c r="W460" s="270" t="s">
        <v>145</v>
      </c>
      <c r="X460" s="270" t="s">
        <v>309</v>
      </c>
      <c r="Y460" s="273">
        <v>45078</v>
      </c>
      <c r="Z460" s="288" t="s">
        <v>1875</v>
      </c>
      <c r="AA460" s="288" t="s">
        <v>2479</v>
      </c>
      <c r="AB460" s="288" t="s">
        <v>139</v>
      </c>
      <c r="AC460" s="288" t="s">
        <v>1875</v>
      </c>
      <c r="AD460" s="288" t="s">
        <v>1805</v>
      </c>
      <c r="AE460" s="288" t="s">
        <v>1805</v>
      </c>
      <c r="AF460" s="288" t="s">
        <v>2479</v>
      </c>
      <c r="AG460" s="288" t="s">
        <v>2479</v>
      </c>
      <c r="AH460" s="288" t="s">
        <v>2479</v>
      </c>
      <c r="AI460" s="288" t="s">
        <v>2479</v>
      </c>
      <c r="AJ460" s="303" t="s">
        <v>2191</v>
      </c>
      <c r="AK460" s="288" t="s">
        <v>2479</v>
      </c>
      <c r="AL460" s="303" t="s">
        <v>2190</v>
      </c>
      <c r="AM460" s="288" t="s">
        <v>1975</v>
      </c>
      <c r="AN460" s="207" t="b">
        <v>0</v>
      </c>
      <c r="AY460" s="288" t="s">
        <v>2479</v>
      </c>
      <c r="AZ460" s="288" t="s">
        <v>2479</v>
      </c>
      <c r="BA460" s="288" t="s">
        <v>373</v>
      </c>
      <c r="BB460" s="288" t="s">
        <v>1610</v>
      </c>
      <c r="BC460" s="288" t="s">
        <v>2192</v>
      </c>
    </row>
    <row r="461" spans="1:55" ht="45" customHeight="1">
      <c r="A461" s="271">
        <f t="shared" si="7"/>
        <v>460</v>
      </c>
      <c r="B461" s="284" t="s">
        <v>2619</v>
      </c>
      <c r="C461" s="270" t="s">
        <v>2620</v>
      </c>
      <c r="D461" s="270" t="s">
        <v>8</v>
      </c>
      <c r="E461" s="270" t="s">
        <v>9</v>
      </c>
      <c r="F461" s="270" t="s">
        <v>1871</v>
      </c>
      <c r="G461" s="302">
        <v>44691</v>
      </c>
      <c r="L461" s="270" t="s">
        <v>2479</v>
      </c>
      <c r="M461" s="270" t="s">
        <v>2479</v>
      </c>
      <c r="N461" s="272" t="s">
        <v>98</v>
      </c>
      <c r="O461" s="270" t="s">
        <v>2479</v>
      </c>
      <c r="P461" s="270" t="s">
        <v>1554</v>
      </c>
      <c r="Q461" s="270" t="s">
        <v>2198</v>
      </c>
      <c r="R461" s="306">
        <v>44630.414490740739</v>
      </c>
      <c r="S461" s="285">
        <v>2022</v>
      </c>
      <c r="T461" s="270" t="s">
        <v>2001</v>
      </c>
      <c r="U461" s="270" t="s">
        <v>678</v>
      </c>
      <c r="V461" s="270" t="s">
        <v>679</v>
      </c>
      <c r="W461" s="270" t="s">
        <v>145</v>
      </c>
      <c r="X461" s="270" t="s">
        <v>309</v>
      </c>
      <c r="Y461" s="273">
        <v>45078</v>
      </c>
      <c r="Z461" s="288" t="s">
        <v>1875</v>
      </c>
      <c r="AA461" s="288" t="s">
        <v>2479</v>
      </c>
      <c r="AB461" s="288" t="s">
        <v>139</v>
      </c>
      <c r="AC461" s="288" t="s">
        <v>1875</v>
      </c>
      <c r="AD461" s="288" t="s">
        <v>1805</v>
      </c>
      <c r="AE461" s="288" t="s">
        <v>1805</v>
      </c>
      <c r="AF461" s="288" t="s">
        <v>2479</v>
      </c>
      <c r="AG461" s="288" t="s">
        <v>2479</v>
      </c>
      <c r="AH461" s="288" t="s">
        <v>2479</v>
      </c>
      <c r="AI461" s="288" t="s">
        <v>2479</v>
      </c>
      <c r="AJ461" s="303" t="s">
        <v>2191</v>
      </c>
      <c r="AK461" s="288" t="s">
        <v>2479</v>
      </c>
      <c r="AL461" s="303" t="s">
        <v>2190</v>
      </c>
      <c r="AM461" s="288" t="s">
        <v>1975</v>
      </c>
      <c r="AN461" s="207" t="b">
        <v>0</v>
      </c>
      <c r="AY461" s="288" t="s">
        <v>2479</v>
      </c>
      <c r="AZ461" s="288" t="s">
        <v>2479</v>
      </c>
      <c r="BA461" s="288" t="s">
        <v>373</v>
      </c>
      <c r="BB461" s="288" t="s">
        <v>1610</v>
      </c>
      <c r="BC461" s="288" t="s">
        <v>2192</v>
      </c>
    </row>
    <row r="462" spans="1:55" ht="45" customHeight="1">
      <c r="A462" s="271">
        <f t="shared" si="7"/>
        <v>461</v>
      </c>
      <c r="B462" s="276" t="s">
        <v>2647</v>
      </c>
      <c r="C462" s="277" t="s">
        <v>3380</v>
      </c>
      <c r="D462" s="277" t="s">
        <v>8</v>
      </c>
      <c r="E462" s="277" t="s">
        <v>13</v>
      </c>
      <c r="F462" s="277" t="s">
        <v>1560</v>
      </c>
      <c r="G462" s="307">
        <v>44218</v>
      </c>
      <c r="H462" s="308"/>
      <c r="I462" s="308"/>
      <c r="J462" s="277"/>
      <c r="K462" s="279"/>
      <c r="L462" s="277" t="s">
        <v>2479</v>
      </c>
      <c r="M462" s="277" t="s">
        <v>2479</v>
      </c>
      <c r="N462" s="277" t="s">
        <v>126</v>
      </c>
      <c r="O462" s="277" t="s">
        <v>2479</v>
      </c>
      <c r="P462" s="277" t="s">
        <v>1554</v>
      </c>
      <c r="Q462" s="277" t="s">
        <v>2198</v>
      </c>
      <c r="R462" s="279">
        <v>44959.428946759261</v>
      </c>
      <c r="S462" s="286">
        <v>2021</v>
      </c>
      <c r="T462" s="277" t="s">
        <v>2001</v>
      </c>
      <c r="U462" s="277" t="s">
        <v>678</v>
      </c>
      <c r="V462" s="277" t="s">
        <v>679</v>
      </c>
      <c r="W462" s="277" t="s">
        <v>145</v>
      </c>
      <c r="X462" s="277" t="s">
        <v>309</v>
      </c>
      <c r="Y462" s="278">
        <v>45078</v>
      </c>
      <c r="Z462" s="287" t="s">
        <v>1875</v>
      </c>
      <c r="AA462" s="287" t="s">
        <v>2868</v>
      </c>
      <c r="AB462" s="287" t="s">
        <v>139</v>
      </c>
      <c r="AC462" s="287" t="s">
        <v>1875</v>
      </c>
      <c r="AD462" s="287" t="s">
        <v>1805</v>
      </c>
      <c r="AE462" s="287" t="s">
        <v>1805</v>
      </c>
      <c r="AF462" s="287" t="s">
        <v>2975</v>
      </c>
      <c r="AG462" s="287" t="s">
        <v>3381</v>
      </c>
      <c r="AH462" s="287" t="s">
        <v>2479</v>
      </c>
      <c r="AI462" s="287" t="s">
        <v>3382</v>
      </c>
      <c r="AJ462" s="304">
        <v>44971</v>
      </c>
      <c r="AK462" s="287" t="s">
        <v>3383</v>
      </c>
      <c r="AL462" s="304">
        <v>44335</v>
      </c>
      <c r="AM462" s="289" t="s">
        <v>1975</v>
      </c>
      <c r="AN462" s="281" t="b">
        <v>1</v>
      </c>
      <c r="AO462" s="305">
        <v>44328</v>
      </c>
      <c r="AP462" s="291">
        <v>1</v>
      </c>
      <c r="AQ462" s="291">
        <v>0</v>
      </c>
      <c r="AR462" s="291">
        <v>0</v>
      </c>
      <c r="AS462" s="291">
        <v>1</v>
      </c>
      <c r="AT462" s="291">
        <v>0</v>
      </c>
      <c r="AU462" s="291">
        <v>25</v>
      </c>
      <c r="AV462" s="305">
        <v>44951</v>
      </c>
      <c r="AW462" s="281">
        <v>19</v>
      </c>
      <c r="AX462" s="281">
        <v>3</v>
      </c>
      <c r="AY462" s="289" t="s">
        <v>2479</v>
      </c>
      <c r="AZ462" s="289" t="s">
        <v>2479</v>
      </c>
      <c r="BA462" s="289" t="s">
        <v>373</v>
      </c>
      <c r="BB462" s="289" t="s">
        <v>1610</v>
      </c>
      <c r="BC462" s="292" t="s">
        <v>2192</v>
      </c>
    </row>
    <row r="463" spans="1:55" ht="45" customHeight="1">
      <c r="A463" s="271">
        <f t="shared" si="7"/>
        <v>462</v>
      </c>
      <c r="B463" s="284" t="s">
        <v>2639</v>
      </c>
      <c r="C463" s="270" t="s">
        <v>2640</v>
      </c>
      <c r="D463" s="270" t="s">
        <v>8</v>
      </c>
      <c r="E463" s="270" t="s">
        <v>13</v>
      </c>
      <c r="F463" s="270" t="s">
        <v>1560</v>
      </c>
      <c r="G463" s="302">
        <v>44273</v>
      </c>
      <c r="L463" s="270" t="s">
        <v>2479</v>
      </c>
      <c r="M463" s="270" t="s">
        <v>2479</v>
      </c>
      <c r="N463" s="272" t="s">
        <v>126</v>
      </c>
      <c r="O463" s="270" t="s">
        <v>2479</v>
      </c>
      <c r="P463" s="270" t="s">
        <v>1554</v>
      </c>
      <c r="Q463" s="270" t="s">
        <v>2198</v>
      </c>
      <c r="R463" s="306">
        <v>44630.429270833331</v>
      </c>
      <c r="S463" s="285">
        <v>2021</v>
      </c>
      <c r="T463" s="270" t="s">
        <v>2001</v>
      </c>
      <c r="U463" s="270" t="s">
        <v>678</v>
      </c>
      <c r="V463" s="270" t="s">
        <v>679</v>
      </c>
      <c r="W463" s="270" t="s">
        <v>145</v>
      </c>
      <c r="X463" s="270" t="s">
        <v>309</v>
      </c>
      <c r="Y463" s="273">
        <v>45078</v>
      </c>
      <c r="Z463" s="288" t="s">
        <v>1875</v>
      </c>
      <c r="AA463" s="288" t="s">
        <v>2479</v>
      </c>
      <c r="AB463" s="288" t="s">
        <v>139</v>
      </c>
      <c r="AC463" s="288" t="s">
        <v>1875</v>
      </c>
      <c r="AD463" s="288" t="s">
        <v>1805</v>
      </c>
      <c r="AE463" s="288" t="s">
        <v>1805</v>
      </c>
      <c r="AF463" s="288" t="s">
        <v>2479</v>
      </c>
      <c r="AG463" s="288" t="s">
        <v>2479</v>
      </c>
      <c r="AH463" s="288" t="s">
        <v>2479</v>
      </c>
      <c r="AI463" s="288" t="s">
        <v>2479</v>
      </c>
      <c r="AJ463" s="303" t="s">
        <v>2191</v>
      </c>
      <c r="AK463" s="288" t="s">
        <v>2479</v>
      </c>
      <c r="AL463" s="303" t="s">
        <v>2190</v>
      </c>
      <c r="AM463" s="288" t="s">
        <v>1975</v>
      </c>
      <c r="AN463" s="207" t="b">
        <v>0</v>
      </c>
      <c r="AY463" s="288" t="s">
        <v>2479</v>
      </c>
      <c r="AZ463" s="288" t="s">
        <v>2479</v>
      </c>
      <c r="BA463" s="288" t="s">
        <v>373</v>
      </c>
      <c r="BB463" s="288" t="s">
        <v>1610</v>
      </c>
      <c r="BC463" s="288" t="s">
        <v>2192</v>
      </c>
    </row>
    <row r="464" spans="1:55" ht="45" customHeight="1">
      <c r="A464" s="271">
        <f t="shared" si="7"/>
        <v>463</v>
      </c>
      <c r="B464" s="284" t="s">
        <v>2641</v>
      </c>
      <c r="C464" s="270" t="s">
        <v>2642</v>
      </c>
      <c r="D464" s="270" t="s">
        <v>8</v>
      </c>
      <c r="E464" s="270" t="s">
        <v>13</v>
      </c>
      <c r="F464" s="270" t="s">
        <v>1560</v>
      </c>
      <c r="G464" s="302">
        <v>44274</v>
      </c>
      <c r="L464" s="270" t="s">
        <v>2479</v>
      </c>
      <c r="M464" s="270" t="s">
        <v>2479</v>
      </c>
      <c r="N464" s="272" t="s">
        <v>126</v>
      </c>
      <c r="O464" s="270" t="s">
        <v>2479</v>
      </c>
      <c r="P464" s="270" t="s">
        <v>1554</v>
      </c>
      <c r="Q464" s="270" t="s">
        <v>2198</v>
      </c>
      <c r="R464" s="306">
        <v>44959.459629629629</v>
      </c>
      <c r="S464" s="285">
        <v>2021</v>
      </c>
      <c r="T464" s="270" t="s">
        <v>2001</v>
      </c>
      <c r="U464" s="270" t="s">
        <v>678</v>
      </c>
      <c r="V464" s="270" t="s">
        <v>679</v>
      </c>
      <c r="W464" s="270" t="s">
        <v>145</v>
      </c>
      <c r="X464" s="270" t="s">
        <v>309</v>
      </c>
      <c r="Y464" s="273">
        <v>45078</v>
      </c>
      <c r="Z464" s="288" t="s">
        <v>1875</v>
      </c>
      <c r="AA464" s="288" t="s">
        <v>2868</v>
      </c>
      <c r="AB464" s="288" t="s">
        <v>139</v>
      </c>
      <c r="AC464" s="288" t="s">
        <v>1875</v>
      </c>
      <c r="AD464" s="288" t="s">
        <v>1805</v>
      </c>
      <c r="AE464" s="288" t="s">
        <v>1805</v>
      </c>
      <c r="AF464" s="288" t="s">
        <v>3038</v>
      </c>
      <c r="AG464" s="288" t="s">
        <v>3039</v>
      </c>
      <c r="AH464" s="288" t="s">
        <v>2479</v>
      </c>
      <c r="AI464" s="288" t="s">
        <v>3040</v>
      </c>
      <c r="AJ464" s="303">
        <v>45264</v>
      </c>
      <c r="AK464" s="288" t="s">
        <v>3041</v>
      </c>
      <c r="AL464" s="303">
        <v>42855</v>
      </c>
      <c r="AM464" s="288" t="s">
        <v>1975</v>
      </c>
      <c r="AN464" s="207" t="b">
        <v>1</v>
      </c>
      <c r="AO464" s="303">
        <v>42922</v>
      </c>
      <c r="AP464" s="290">
        <v>1</v>
      </c>
      <c r="AQ464" s="290">
        <v>0</v>
      </c>
      <c r="AR464" s="290">
        <v>0</v>
      </c>
      <c r="AS464" s="290">
        <v>1</v>
      </c>
      <c r="AT464" s="290">
        <v>0</v>
      </c>
      <c r="AU464" s="290">
        <v>3</v>
      </c>
      <c r="AV464" s="303">
        <v>44951</v>
      </c>
      <c r="AW464" s="207">
        <v>41</v>
      </c>
      <c r="AX464" s="207">
        <v>25</v>
      </c>
      <c r="AY464" s="288" t="s">
        <v>1989</v>
      </c>
      <c r="AZ464" s="288" t="s">
        <v>2479</v>
      </c>
      <c r="BA464" s="288" t="s">
        <v>373</v>
      </c>
      <c r="BB464" s="288" t="s">
        <v>1610</v>
      </c>
      <c r="BC464" s="288" t="s">
        <v>2192</v>
      </c>
    </row>
    <row r="465" spans="1:55" ht="45" customHeight="1">
      <c r="A465" s="271">
        <f t="shared" si="7"/>
        <v>464</v>
      </c>
      <c r="B465" s="276" t="s">
        <v>2649</v>
      </c>
      <c r="C465" s="277" t="s">
        <v>2650</v>
      </c>
      <c r="D465" s="277" t="s">
        <v>8</v>
      </c>
      <c r="E465" s="277" t="s">
        <v>13</v>
      </c>
      <c r="F465" s="277" t="s">
        <v>1560</v>
      </c>
      <c r="G465" s="307">
        <v>44373</v>
      </c>
      <c r="H465" s="308"/>
      <c r="I465" s="308"/>
      <c r="J465" s="277"/>
      <c r="K465" s="279"/>
      <c r="L465" s="277" t="s">
        <v>2479</v>
      </c>
      <c r="M465" s="277" t="s">
        <v>2479</v>
      </c>
      <c r="N465" s="277" t="s">
        <v>126</v>
      </c>
      <c r="O465" s="277" t="s">
        <v>2479</v>
      </c>
      <c r="P465" s="277" t="s">
        <v>1554</v>
      </c>
      <c r="Q465" s="277" t="s">
        <v>2198</v>
      </c>
      <c r="R465" s="279">
        <v>44959.439768518518</v>
      </c>
      <c r="S465" s="286">
        <v>2021</v>
      </c>
      <c r="T465" s="277" t="s">
        <v>2001</v>
      </c>
      <c r="U465" s="277" t="s">
        <v>678</v>
      </c>
      <c r="V465" s="277" t="s">
        <v>679</v>
      </c>
      <c r="W465" s="277" t="s">
        <v>145</v>
      </c>
      <c r="X465" s="277" t="s">
        <v>309</v>
      </c>
      <c r="Y465" s="278">
        <v>45078</v>
      </c>
      <c r="Z465" s="287" t="s">
        <v>1875</v>
      </c>
      <c r="AA465" s="287" t="s">
        <v>2876</v>
      </c>
      <c r="AB465" s="287" t="s">
        <v>139</v>
      </c>
      <c r="AC465" s="287" t="s">
        <v>1875</v>
      </c>
      <c r="AD465" s="287" t="s">
        <v>1805</v>
      </c>
      <c r="AE465" s="287" t="s">
        <v>1805</v>
      </c>
      <c r="AF465" s="366" t="s">
        <v>3030</v>
      </c>
      <c r="AG465" s="287" t="s">
        <v>3031</v>
      </c>
      <c r="AH465" s="287" t="s">
        <v>2479</v>
      </c>
      <c r="AI465" s="287" t="s">
        <v>2897</v>
      </c>
      <c r="AJ465" s="304">
        <v>44966</v>
      </c>
      <c r="AK465" s="287" t="s">
        <v>3032</v>
      </c>
      <c r="AL465" s="304">
        <v>44345</v>
      </c>
      <c r="AM465" s="289" t="s">
        <v>1975</v>
      </c>
      <c r="AN465" s="281" t="b">
        <v>1</v>
      </c>
      <c r="AO465" s="305">
        <v>44370</v>
      </c>
      <c r="AP465" s="291">
        <v>1</v>
      </c>
      <c r="AQ465" s="291">
        <v>0</v>
      </c>
      <c r="AR465" s="291">
        <v>0</v>
      </c>
      <c r="AS465" s="291">
        <v>1</v>
      </c>
      <c r="AT465" s="291">
        <v>0</v>
      </c>
      <c r="AU465" s="291">
        <v>24</v>
      </c>
      <c r="AV465" s="305">
        <v>44951</v>
      </c>
      <c r="AW465" s="281">
        <v>31</v>
      </c>
      <c r="AX465" s="281">
        <v>10</v>
      </c>
      <c r="AY465" s="289" t="s">
        <v>1989</v>
      </c>
      <c r="AZ465" s="289" t="s">
        <v>2479</v>
      </c>
      <c r="BA465" s="289" t="s">
        <v>373</v>
      </c>
      <c r="BB465" s="289" t="s">
        <v>1610</v>
      </c>
      <c r="BC465" s="292" t="s">
        <v>2192</v>
      </c>
    </row>
    <row r="466" spans="1:55" ht="45" customHeight="1">
      <c r="A466" s="271">
        <f t="shared" si="7"/>
        <v>465</v>
      </c>
      <c r="B466" s="276" t="s">
        <v>2651</v>
      </c>
      <c r="C466" s="277" t="s">
        <v>2652</v>
      </c>
      <c r="D466" s="277" t="s">
        <v>8</v>
      </c>
      <c r="E466" s="277" t="s">
        <v>13</v>
      </c>
      <c r="F466" s="277" t="s">
        <v>1560</v>
      </c>
      <c r="G466" s="307">
        <v>44386</v>
      </c>
      <c r="H466" s="308"/>
      <c r="I466" s="308"/>
      <c r="J466" s="277"/>
      <c r="K466" s="279"/>
      <c r="L466" s="277" t="s">
        <v>2479</v>
      </c>
      <c r="M466" s="277" t="s">
        <v>2479</v>
      </c>
      <c r="N466" s="277" t="s">
        <v>126</v>
      </c>
      <c r="O466" s="277" t="s">
        <v>2479</v>
      </c>
      <c r="P466" s="277" t="s">
        <v>1554</v>
      </c>
      <c r="Q466" s="277" t="s">
        <v>2198</v>
      </c>
      <c r="R466" s="279">
        <v>44630.433738425927</v>
      </c>
      <c r="S466" s="286">
        <v>2021</v>
      </c>
      <c r="T466" s="277" t="s">
        <v>2001</v>
      </c>
      <c r="U466" s="277" t="s">
        <v>678</v>
      </c>
      <c r="V466" s="277" t="s">
        <v>679</v>
      </c>
      <c r="W466" s="277" t="s">
        <v>145</v>
      </c>
      <c r="X466" s="277" t="s">
        <v>309</v>
      </c>
      <c r="Y466" s="278">
        <v>45078</v>
      </c>
      <c r="Z466" s="287" t="s">
        <v>1875</v>
      </c>
      <c r="AA466" s="287" t="s">
        <v>2479</v>
      </c>
      <c r="AB466" s="287" t="s">
        <v>139</v>
      </c>
      <c r="AC466" s="287" t="s">
        <v>1875</v>
      </c>
      <c r="AD466" s="287" t="s">
        <v>1805</v>
      </c>
      <c r="AE466" s="287" t="s">
        <v>1805</v>
      </c>
      <c r="AF466" s="287" t="s">
        <v>2479</v>
      </c>
      <c r="AG466" s="287" t="s">
        <v>2479</v>
      </c>
      <c r="AH466" s="287" t="s">
        <v>2479</v>
      </c>
      <c r="AI466" s="287" t="s">
        <v>2479</v>
      </c>
      <c r="AJ466" s="304" t="s">
        <v>2191</v>
      </c>
      <c r="AK466" s="287" t="s">
        <v>2479</v>
      </c>
      <c r="AL466" s="304" t="s">
        <v>2190</v>
      </c>
      <c r="AM466" s="289" t="s">
        <v>1975</v>
      </c>
      <c r="AN466" s="281" t="b">
        <v>0</v>
      </c>
      <c r="AO466" s="305"/>
      <c r="AP466" s="291"/>
      <c r="AQ466" s="291"/>
      <c r="AR466" s="291"/>
      <c r="AS466" s="291"/>
      <c r="AT466" s="291"/>
      <c r="AU466" s="291"/>
      <c r="AV466" s="305"/>
      <c r="AW466" s="281"/>
      <c r="AX466" s="281"/>
      <c r="AY466" s="289" t="s">
        <v>2479</v>
      </c>
      <c r="AZ466" s="289" t="s">
        <v>2479</v>
      </c>
      <c r="BA466" s="289" t="s">
        <v>373</v>
      </c>
      <c r="BB466" s="289" t="s">
        <v>1610</v>
      </c>
      <c r="BC466" s="292" t="s">
        <v>2192</v>
      </c>
    </row>
    <row r="467" spans="1:55" ht="45" customHeight="1">
      <c r="A467" s="271">
        <f t="shared" si="7"/>
        <v>466</v>
      </c>
      <c r="B467" s="276" t="s">
        <v>2634</v>
      </c>
      <c r="C467" s="277" t="s">
        <v>2653</v>
      </c>
      <c r="D467" s="277" t="s">
        <v>8</v>
      </c>
      <c r="E467" s="277" t="s">
        <v>13</v>
      </c>
      <c r="F467" s="277" t="s">
        <v>1560</v>
      </c>
      <c r="G467" s="307">
        <v>44387</v>
      </c>
      <c r="H467" s="308"/>
      <c r="I467" s="308"/>
      <c r="J467" s="277"/>
      <c r="K467" s="279"/>
      <c r="L467" s="277" t="s">
        <v>2479</v>
      </c>
      <c r="M467" s="277" t="s">
        <v>2479</v>
      </c>
      <c r="N467" s="277" t="s">
        <v>126</v>
      </c>
      <c r="O467" s="277" t="s">
        <v>2479</v>
      </c>
      <c r="P467" s="277" t="s">
        <v>1554</v>
      </c>
      <c r="Q467" s="277" t="s">
        <v>2198</v>
      </c>
      <c r="R467" s="279">
        <v>44630.434236111112</v>
      </c>
      <c r="S467" s="286">
        <v>2021</v>
      </c>
      <c r="T467" s="277" t="s">
        <v>2001</v>
      </c>
      <c r="U467" s="277" t="s">
        <v>678</v>
      </c>
      <c r="V467" s="277" t="s">
        <v>679</v>
      </c>
      <c r="W467" s="277" t="s">
        <v>145</v>
      </c>
      <c r="X467" s="277" t="s">
        <v>309</v>
      </c>
      <c r="Y467" s="278">
        <v>45078</v>
      </c>
      <c r="Z467" s="287" t="s">
        <v>1875</v>
      </c>
      <c r="AA467" s="287" t="s">
        <v>2479</v>
      </c>
      <c r="AB467" s="287" t="s">
        <v>139</v>
      </c>
      <c r="AC467" s="287" t="s">
        <v>1875</v>
      </c>
      <c r="AD467" s="287" t="s">
        <v>1805</v>
      </c>
      <c r="AE467" s="287" t="s">
        <v>1805</v>
      </c>
      <c r="AF467" s="287" t="s">
        <v>2479</v>
      </c>
      <c r="AG467" s="287" t="s">
        <v>2479</v>
      </c>
      <c r="AH467" s="287" t="s">
        <v>2479</v>
      </c>
      <c r="AI467" s="287" t="s">
        <v>2479</v>
      </c>
      <c r="AJ467" s="304" t="s">
        <v>2191</v>
      </c>
      <c r="AK467" s="287" t="s">
        <v>2479</v>
      </c>
      <c r="AL467" s="304" t="s">
        <v>2190</v>
      </c>
      <c r="AM467" s="289" t="s">
        <v>1975</v>
      </c>
      <c r="AN467" s="281" t="b">
        <v>0</v>
      </c>
      <c r="AO467" s="305"/>
      <c r="AP467" s="291"/>
      <c r="AQ467" s="291"/>
      <c r="AR467" s="291"/>
      <c r="AS467" s="291"/>
      <c r="AT467" s="291"/>
      <c r="AU467" s="291"/>
      <c r="AV467" s="305"/>
      <c r="AW467" s="281"/>
      <c r="AX467" s="281"/>
      <c r="AY467" s="289" t="s">
        <v>2479</v>
      </c>
      <c r="AZ467" s="289" t="s">
        <v>2479</v>
      </c>
      <c r="BA467" s="289" t="s">
        <v>373</v>
      </c>
      <c r="BB467" s="289" t="s">
        <v>1610</v>
      </c>
      <c r="BC467" s="292" t="s">
        <v>2192</v>
      </c>
    </row>
    <row r="468" spans="1:55" ht="45" customHeight="1">
      <c r="A468" s="271">
        <f t="shared" si="7"/>
        <v>467</v>
      </c>
      <c r="B468" s="276" t="s">
        <v>2658</v>
      </c>
      <c r="C468" s="277" t="s">
        <v>2659</v>
      </c>
      <c r="D468" s="277" t="s">
        <v>8</v>
      </c>
      <c r="E468" s="277" t="s">
        <v>13</v>
      </c>
      <c r="F468" s="277" t="s">
        <v>1560</v>
      </c>
      <c r="G468" s="307">
        <v>44445</v>
      </c>
      <c r="H468" s="308"/>
      <c r="I468" s="308"/>
      <c r="J468" s="277"/>
      <c r="K468" s="279"/>
      <c r="L468" s="277" t="s">
        <v>2479</v>
      </c>
      <c r="M468" s="277" t="s">
        <v>2479</v>
      </c>
      <c r="N468" s="277" t="s">
        <v>126</v>
      </c>
      <c r="O468" s="277" t="s">
        <v>2479</v>
      </c>
      <c r="P468" s="277" t="s">
        <v>1554</v>
      </c>
      <c r="Q468" s="277" t="s">
        <v>2198</v>
      </c>
      <c r="R468" s="279">
        <v>44630.443472222221</v>
      </c>
      <c r="S468" s="286">
        <v>2021</v>
      </c>
      <c r="T468" s="277" t="s">
        <v>2001</v>
      </c>
      <c r="U468" s="277" t="s">
        <v>678</v>
      </c>
      <c r="V468" s="277" t="s">
        <v>679</v>
      </c>
      <c r="W468" s="277" t="s">
        <v>145</v>
      </c>
      <c r="X468" s="277" t="s">
        <v>309</v>
      </c>
      <c r="Y468" s="278">
        <v>45078</v>
      </c>
      <c r="Z468" s="287" t="s">
        <v>1875</v>
      </c>
      <c r="AA468" s="287" t="s">
        <v>2479</v>
      </c>
      <c r="AB468" s="287" t="s">
        <v>139</v>
      </c>
      <c r="AC468" s="287" t="s">
        <v>1875</v>
      </c>
      <c r="AD468" s="287" t="s">
        <v>1805</v>
      </c>
      <c r="AE468" s="287" t="s">
        <v>1805</v>
      </c>
      <c r="AF468" s="287" t="s">
        <v>2479</v>
      </c>
      <c r="AG468" s="287" t="s">
        <v>2479</v>
      </c>
      <c r="AH468" s="287" t="s">
        <v>2479</v>
      </c>
      <c r="AI468" s="287" t="s">
        <v>2479</v>
      </c>
      <c r="AJ468" s="304" t="s">
        <v>2191</v>
      </c>
      <c r="AK468" s="287" t="s">
        <v>2479</v>
      </c>
      <c r="AL468" s="304" t="s">
        <v>2190</v>
      </c>
      <c r="AM468" s="289" t="s">
        <v>1975</v>
      </c>
      <c r="AN468" s="281" t="b">
        <v>0</v>
      </c>
      <c r="AO468" s="305"/>
      <c r="AP468" s="291"/>
      <c r="AQ468" s="291"/>
      <c r="AR468" s="291"/>
      <c r="AS468" s="291"/>
      <c r="AT468" s="291"/>
      <c r="AU468" s="291"/>
      <c r="AV468" s="305"/>
      <c r="AW468" s="281"/>
      <c r="AX468" s="281"/>
      <c r="AY468" s="289" t="s">
        <v>2479</v>
      </c>
      <c r="AZ468" s="289" t="s">
        <v>2479</v>
      </c>
      <c r="BA468" s="289" t="s">
        <v>373</v>
      </c>
      <c r="BB468" s="289" t="s">
        <v>1610</v>
      </c>
      <c r="BC468" s="292" t="s">
        <v>2192</v>
      </c>
    </row>
    <row r="469" spans="1:55" ht="45" customHeight="1">
      <c r="A469" s="271">
        <f t="shared" si="7"/>
        <v>468</v>
      </c>
      <c r="B469" s="276" t="s">
        <v>2654</v>
      </c>
      <c r="C469" s="277" t="s">
        <v>2655</v>
      </c>
      <c r="D469" s="277" t="s">
        <v>8</v>
      </c>
      <c r="E469" s="277" t="s">
        <v>13</v>
      </c>
      <c r="F469" s="277" t="s">
        <v>1560</v>
      </c>
      <c r="G469" s="307">
        <v>44445</v>
      </c>
      <c r="H469" s="308"/>
      <c r="I469" s="308"/>
      <c r="J469" s="277"/>
      <c r="K469" s="279"/>
      <c r="L469" s="277" t="s">
        <v>2479</v>
      </c>
      <c r="M469" s="277" t="s">
        <v>2479</v>
      </c>
      <c r="N469" s="277" t="s">
        <v>126</v>
      </c>
      <c r="O469" s="277" t="s">
        <v>2479</v>
      </c>
      <c r="P469" s="277" t="s">
        <v>1554</v>
      </c>
      <c r="Q469" s="277" t="s">
        <v>2198</v>
      </c>
      <c r="R469" s="279">
        <v>44572.448877314811</v>
      </c>
      <c r="S469" s="286">
        <v>2021</v>
      </c>
      <c r="T469" s="277" t="s">
        <v>2001</v>
      </c>
      <c r="U469" s="277" t="s">
        <v>678</v>
      </c>
      <c r="V469" s="277" t="s">
        <v>679</v>
      </c>
      <c r="W469" s="277" t="s">
        <v>145</v>
      </c>
      <c r="X469" s="277" t="s">
        <v>309</v>
      </c>
      <c r="Y469" s="278">
        <v>45078</v>
      </c>
      <c r="Z469" s="287" t="s">
        <v>1875</v>
      </c>
      <c r="AA469" s="287" t="s">
        <v>2873</v>
      </c>
      <c r="AB469" s="287" t="s">
        <v>139</v>
      </c>
      <c r="AC469" s="287" t="s">
        <v>1875</v>
      </c>
      <c r="AD469" s="287" t="s">
        <v>1805</v>
      </c>
      <c r="AE469" s="287" t="s">
        <v>1805</v>
      </c>
      <c r="AF469" s="287" t="s">
        <v>3005</v>
      </c>
      <c r="AG469" s="287" t="s">
        <v>2975</v>
      </c>
      <c r="AH469" s="287" t="s">
        <v>2479</v>
      </c>
      <c r="AI469" s="287" t="s">
        <v>2897</v>
      </c>
      <c r="AJ469" s="304">
        <v>44872</v>
      </c>
      <c r="AK469" s="287" t="s">
        <v>3006</v>
      </c>
      <c r="AL469" s="304">
        <v>44397</v>
      </c>
      <c r="AM469" s="289" t="s">
        <v>1975</v>
      </c>
      <c r="AN469" s="281" t="b">
        <v>1</v>
      </c>
      <c r="AO469" s="305">
        <v>44461</v>
      </c>
      <c r="AP469" s="291">
        <v>1</v>
      </c>
      <c r="AQ469" s="291">
        <v>0</v>
      </c>
      <c r="AR469" s="291">
        <v>0</v>
      </c>
      <c r="AS469" s="291">
        <v>1</v>
      </c>
      <c r="AT469" s="291">
        <v>0</v>
      </c>
      <c r="AU469" s="291">
        <v>15</v>
      </c>
      <c r="AV469" s="305">
        <v>44851</v>
      </c>
      <c r="AW469" s="281">
        <v>31</v>
      </c>
      <c r="AX469" s="281">
        <v>1</v>
      </c>
      <c r="AY469" s="289" t="s">
        <v>1989</v>
      </c>
      <c r="AZ469" s="289" t="s">
        <v>2479</v>
      </c>
      <c r="BA469" s="289" t="s">
        <v>373</v>
      </c>
      <c r="BB469" s="289" t="s">
        <v>1610</v>
      </c>
      <c r="BC469" s="292" t="s">
        <v>2192</v>
      </c>
    </row>
    <row r="470" spans="1:55" ht="45" customHeight="1">
      <c r="A470" s="271">
        <f t="shared" si="7"/>
        <v>469</v>
      </c>
      <c r="B470" s="276" t="s">
        <v>2660</v>
      </c>
      <c r="C470" s="277" t="s">
        <v>3007</v>
      </c>
      <c r="D470" s="277" t="s">
        <v>8</v>
      </c>
      <c r="E470" s="277" t="s">
        <v>13</v>
      </c>
      <c r="F470" s="277" t="s">
        <v>1560</v>
      </c>
      <c r="G470" s="307">
        <v>44447</v>
      </c>
      <c r="H470" s="308"/>
      <c r="I470" s="308"/>
      <c r="J470" s="277"/>
      <c r="K470" s="279"/>
      <c r="L470" s="277" t="s">
        <v>2479</v>
      </c>
      <c r="M470" s="277" t="s">
        <v>2479</v>
      </c>
      <c r="N470" s="277" t="s">
        <v>126</v>
      </c>
      <c r="O470" s="277" t="s">
        <v>2479</v>
      </c>
      <c r="P470" s="277" t="s">
        <v>1554</v>
      </c>
      <c r="Q470" s="277" t="s">
        <v>2198</v>
      </c>
      <c r="R470" s="279">
        <v>44959.4374537037</v>
      </c>
      <c r="S470" s="286">
        <v>2021</v>
      </c>
      <c r="T470" s="277" t="s">
        <v>2001</v>
      </c>
      <c r="U470" s="277" t="s">
        <v>678</v>
      </c>
      <c r="V470" s="277" t="s">
        <v>679</v>
      </c>
      <c r="W470" s="277" t="s">
        <v>145</v>
      </c>
      <c r="X470" s="277" t="s">
        <v>309</v>
      </c>
      <c r="Y470" s="278">
        <v>45078</v>
      </c>
      <c r="Z470" s="287" t="s">
        <v>1875</v>
      </c>
      <c r="AA470" s="287" t="s">
        <v>2873</v>
      </c>
      <c r="AB470" s="287" t="s">
        <v>139</v>
      </c>
      <c r="AC470" s="287" t="s">
        <v>1875</v>
      </c>
      <c r="AD470" s="287" t="s">
        <v>1805</v>
      </c>
      <c r="AE470" s="287" t="s">
        <v>1805</v>
      </c>
      <c r="AF470" s="287" t="s">
        <v>3008</v>
      </c>
      <c r="AG470" s="287" t="s">
        <v>3009</v>
      </c>
      <c r="AH470" s="287" t="s">
        <v>2479</v>
      </c>
      <c r="AI470" s="287" t="s">
        <v>3010</v>
      </c>
      <c r="AJ470" s="304">
        <v>44975</v>
      </c>
      <c r="AK470" s="287" t="s">
        <v>3011</v>
      </c>
      <c r="AL470" s="304">
        <v>44396</v>
      </c>
      <c r="AM470" s="289" t="s">
        <v>1975</v>
      </c>
      <c r="AN470" s="281" t="b">
        <v>1</v>
      </c>
      <c r="AO470" s="305">
        <v>44453</v>
      </c>
      <c r="AP470" s="291">
        <v>1</v>
      </c>
      <c r="AQ470" s="291">
        <v>0</v>
      </c>
      <c r="AR470" s="291">
        <v>0</v>
      </c>
      <c r="AS470" s="291">
        <v>1</v>
      </c>
      <c r="AT470" s="291">
        <v>0</v>
      </c>
      <c r="AU470" s="291">
        <v>15</v>
      </c>
      <c r="AV470" s="305">
        <v>44957</v>
      </c>
      <c r="AW470" s="281">
        <v>31</v>
      </c>
      <c r="AX470" s="281">
        <v>10</v>
      </c>
      <c r="AY470" s="289" t="s">
        <v>1971</v>
      </c>
      <c r="AZ470" s="289" t="s">
        <v>2479</v>
      </c>
      <c r="BA470" s="289" t="s">
        <v>373</v>
      </c>
      <c r="BB470" s="289" t="s">
        <v>1610</v>
      </c>
      <c r="BC470" s="292" t="s">
        <v>2192</v>
      </c>
    </row>
    <row r="471" spans="1:55" ht="45" customHeight="1">
      <c r="A471" s="271">
        <f>ROW()-1</f>
        <v>470</v>
      </c>
      <c r="B471" s="276" t="s">
        <v>2666</v>
      </c>
      <c r="C471" s="277" t="s">
        <v>2667</v>
      </c>
      <c r="D471" s="277" t="s">
        <v>8</v>
      </c>
      <c r="E471" s="277" t="s">
        <v>13</v>
      </c>
      <c r="F471" s="277" t="s">
        <v>1560</v>
      </c>
      <c r="G471" s="307">
        <v>44533</v>
      </c>
      <c r="H471" s="308"/>
      <c r="I471" s="308"/>
      <c r="J471" s="277"/>
      <c r="K471" s="279">
        <v>45096</v>
      </c>
      <c r="L471" s="277" t="s">
        <v>2193</v>
      </c>
      <c r="M471" s="277" t="s">
        <v>113</v>
      </c>
      <c r="N471" s="277" t="s">
        <v>2479</v>
      </c>
      <c r="O471" s="277" t="s">
        <v>2479</v>
      </c>
      <c r="P471" s="277" t="s">
        <v>1554</v>
      </c>
      <c r="Q471" s="277" t="s">
        <v>2198</v>
      </c>
      <c r="R471" s="279">
        <v>44992.608275462961</v>
      </c>
      <c r="S471" s="286">
        <v>2021</v>
      </c>
      <c r="T471" s="277" t="s">
        <v>2194</v>
      </c>
      <c r="U471" s="277" t="s">
        <v>678</v>
      </c>
      <c r="V471" s="277" t="s">
        <v>679</v>
      </c>
      <c r="W471" s="277" t="s">
        <v>145</v>
      </c>
      <c r="X471" s="277" t="s">
        <v>309</v>
      </c>
      <c r="Y471" s="278">
        <v>45078</v>
      </c>
      <c r="Z471" s="287" t="s">
        <v>1875</v>
      </c>
      <c r="AA471" s="287" t="s">
        <v>2479</v>
      </c>
      <c r="AB471" s="287" t="s">
        <v>139</v>
      </c>
      <c r="AC471" s="287" t="s">
        <v>1875</v>
      </c>
      <c r="AD471" s="287" t="s">
        <v>1805</v>
      </c>
      <c r="AE471" s="287" t="s">
        <v>1805</v>
      </c>
      <c r="AF471" s="287" t="s">
        <v>2479</v>
      </c>
      <c r="AG471" s="287" t="s">
        <v>2479</v>
      </c>
      <c r="AH471" s="287" t="s">
        <v>2479</v>
      </c>
      <c r="AI471" s="287" t="s">
        <v>2479</v>
      </c>
      <c r="AJ471" s="304" t="s">
        <v>2191</v>
      </c>
      <c r="AK471" s="287" t="s">
        <v>2479</v>
      </c>
      <c r="AL471" s="304" t="s">
        <v>2190</v>
      </c>
      <c r="AM471" s="289" t="s">
        <v>1975</v>
      </c>
      <c r="AN471" s="281" t="b">
        <v>0</v>
      </c>
      <c r="AO471" s="305"/>
      <c r="AP471" s="291"/>
      <c r="AQ471" s="291"/>
      <c r="AR471" s="291"/>
      <c r="AS471" s="291"/>
      <c r="AT471" s="291"/>
      <c r="AU471" s="291"/>
      <c r="AV471" s="305"/>
      <c r="AW471" s="281"/>
      <c r="AX471" s="281"/>
      <c r="AY471" s="289" t="s">
        <v>2479</v>
      </c>
      <c r="AZ471" s="289" t="s">
        <v>2479</v>
      </c>
      <c r="BA471" s="289" t="s">
        <v>373</v>
      </c>
      <c r="BB471" s="289" t="s">
        <v>139</v>
      </c>
      <c r="BC471" s="292" t="s">
        <v>3970</v>
      </c>
    </row>
    <row r="472" spans="1:55" ht="45" customHeight="1">
      <c r="A472" s="271">
        <f>ROW()-1</f>
        <v>471</v>
      </c>
      <c r="B472" s="276" t="s">
        <v>2668</v>
      </c>
      <c r="C472" s="277" t="s">
        <v>2971</v>
      </c>
      <c r="D472" s="277" t="s">
        <v>8</v>
      </c>
      <c r="E472" s="277" t="s">
        <v>13</v>
      </c>
      <c r="F472" s="277" t="s">
        <v>1560</v>
      </c>
      <c r="G472" s="307">
        <v>44553</v>
      </c>
      <c r="H472" s="308"/>
      <c r="I472" s="308"/>
      <c r="J472" s="277"/>
      <c r="K472" s="279"/>
      <c r="L472" s="277" t="s">
        <v>2479</v>
      </c>
      <c r="M472" s="277" t="s">
        <v>2479</v>
      </c>
      <c r="N472" s="277" t="s">
        <v>126</v>
      </c>
      <c r="O472" s="277" t="s">
        <v>2479</v>
      </c>
      <c r="P472" s="277" t="s">
        <v>1554</v>
      </c>
      <c r="Q472" s="277" t="s">
        <v>2198</v>
      </c>
      <c r="R472" s="279">
        <v>44959.430578703701</v>
      </c>
      <c r="S472" s="286">
        <v>2021</v>
      </c>
      <c r="T472" s="277" t="s">
        <v>2001</v>
      </c>
      <c r="U472" s="277" t="s">
        <v>678</v>
      </c>
      <c r="V472" s="277" t="s">
        <v>679</v>
      </c>
      <c r="W472" s="277" t="s">
        <v>145</v>
      </c>
      <c r="X472" s="277" t="s">
        <v>309</v>
      </c>
      <c r="Y472" s="278">
        <v>45078</v>
      </c>
      <c r="Z472" s="287" t="s">
        <v>1875</v>
      </c>
      <c r="AA472" s="287" t="s">
        <v>2876</v>
      </c>
      <c r="AB472" s="287" t="s">
        <v>139</v>
      </c>
      <c r="AC472" s="287" t="s">
        <v>1875</v>
      </c>
      <c r="AD472" s="287" t="s">
        <v>1805</v>
      </c>
      <c r="AE472" s="287" t="s">
        <v>1805</v>
      </c>
      <c r="AF472" s="287" t="s">
        <v>2975</v>
      </c>
      <c r="AG472" s="287" t="s">
        <v>2973</v>
      </c>
      <c r="AH472" s="287" t="s">
        <v>2479</v>
      </c>
      <c r="AI472" s="287" t="s">
        <v>2976</v>
      </c>
      <c r="AJ472" s="304">
        <v>44940</v>
      </c>
      <c r="AK472" s="287" t="s">
        <v>2977</v>
      </c>
      <c r="AL472" s="304">
        <v>44516</v>
      </c>
      <c r="AM472" s="289" t="s">
        <v>1975</v>
      </c>
      <c r="AN472" s="281" t="b">
        <v>1</v>
      </c>
      <c r="AO472" s="305">
        <v>44546</v>
      </c>
      <c r="AP472" s="291">
        <v>4</v>
      </c>
      <c r="AQ472" s="291">
        <v>0</v>
      </c>
      <c r="AR472" s="291">
        <v>0</v>
      </c>
      <c r="AS472" s="291">
        <v>4</v>
      </c>
      <c r="AT472" s="291">
        <v>1</v>
      </c>
      <c r="AU472" s="291">
        <v>18</v>
      </c>
      <c r="AV472" s="305">
        <v>44926</v>
      </c>
      <c r="AW472" s="281">
        <v>19</v>
      </c>
      <c r="AX472" s="281">
        <v>1</v>
      </c>
      <c r="AY472" s="289" t="s">
        <v>1989</v>
      </c>
      <c r="AZ472" s="289" t="s">
        <v>2479</v>
      </c>
      <c r="BA472" s="289" t="s">
        <v>373</v>
      </c>
      <c r="BB472" s="289" t="s">
        <v>1610</v>
      </c>
      <c r="BC472" s="292" t="s">
        <v>2192</v>
      </c>
    </row>
    <row r="473" spans="1:55" ht="45" customHeight="1">
      <c r="A473" s="271">
        <f>ROW()-1</f>
        <v>472</v>
      </c>
      <c r="B473" s="276" t="s">
        <v>2670</v>
      </c>
      <c r="C473" s="277" t="s">
        <v>3012</v>
      </c>
      <c r="D473" s="277" t="s">
        <v>8</v>
      </c>
      <c r="E473" s="277" t="s">
        <v>13</v>
      </c>
      <c r="F473" s="277" t="s">
        <v>1560</v>
      </c>
      <c r="G473" s="307">
        <v>44553</v>
      </c>
      <c r="H473" s="308"/>
      <c r="I473" s="308"/>
      <c r="J473" s="277"/>
      <c r="K473" s="279"/>
      <c r="L473" s="277" t="s">
        <v>2479</v>
      </c>
      <c r="M473" s="277" t="s">
        <v>2479</v>
      </c>
      <c r="N473" s="277" t="s">
        <v>126</v>
      </c>
      <c r="O473" s="277" t="s">
        <v>2479</v>
      </c>
      <c r="P473" s="277" t="s">
        <v>1554</v>
      </c>
      <c r="Q473" s="277" t="s">
        <v>2198</v>
      </c>
      <c r="R473" s="279">
        <v>44572.457789351851</v>
      </c>
      <c r="S473" s="286">
        <v>2021</v>
      </c>
      <c r="T473" s="277" t="s">
        <v>2001</v>
      </c>
      <c r="U473" s="277" t="s">
        <v>678</v>
      </c>
      <c r="V473" s="277" t="s">
        <v>679</v>
      </c>
      <c r="W473" s="277" t="s">
        <v>145</v>
      </c>
      <c r="X473" s="277" t="s">
        <v>309</v>
      </c>
      <c r="Y473" s="278">
        <v>45078</v>
      </c>
      <c r="Z473" s="287" t="s">
        <v>1875</v>
      </c>
      <c r="AA473" s="287" t="s">
        <v>2876</v>
      </c>
      <c r="AB473" s="287" t="s">
        <v>139</v>
      </c>
      <c r="AC473" s="287" t="s">
        <v>1875</v>
      </c>
      <c r="AD473" s="287" t="s">
        <v>1805</v>
      </c>
      <c r="AE473" s="287" t="s">
        <v>1805</v>
      </c>
      <c r="AF473" s="287" t="s">
        <v>3013</v>
      </c>
      <c r="AG473" s="287" t="s">
        <v>3014</v>
      </c>
      <c r="AH473" s="287" t="s">
        <v>2479</v>
      </c>
      <c r="AI473" s="287" t="s">
        <v>3015</v>
      </c>
      <c r="AJ473" s="304">
        <v>44872</v>
      </c>
      <c r="AK473" s="287" t="s">
        <v>3016</v>
      </c>
      <c r="AL473" s="304">
        <v>44529</v>
      </c>
      <c r="AM473" s="289" t="s">
        <v>1975</v>
      </c>
      <c r="AN473" s="281" t="b">
        <v>1</v>
      </c>
      <c r="AO473" s="305">
        <v>44551</v>
      </c>
      <c r="AP473" s="291">
        <v>1</v>
      </c>
      <c r="AQ473" s="291">
        <v>0</v>
      </c>
      <c r="AR473" s="291">
        <v>0</v>
      </c>
      <c r="AS473" s="291">
        <v>1</v>
      </c>
      <c r="AT473" s="291">
        <v>0</v>
      </c>
      <c r="AU473" s="291">
        <v>14</v>
      </c>
      <c r="AV473" s="305">
        <v>44862</v>
      </c>
      <c r="AW473" s="281">
        <v>26</v>
      </c>
      <c r="AX473" s="281">
        <v>1</v>
      </c>
      <c r="AY473" s="289" t="s">
        <v>1971</v>
      </c>
      <c r="AZ473" s="289" t="s">
        <v>2479</v>
      </c>
      <c r="BA473" s="289" t="s">
        <v>373</v>
      </c>
      <c r="BB473" s="289" t="s">
        <v>1610</v>
      </c>
      <c r="BC473" s="292" t="s">
        <v>2192</v>
      </c>
    </row>
    <row r="474" spans="1:55" ht="45" customHeight="1">
      <c r="A474" s="271">
        <f t="shared" si="7"/>
        <v>473</v>
      </c>
      <c r="B474" s="276" t="s">
        <v>2651</v>
      </c>
      <c r="C474" s="277" t="s">
        <v>2958</v>
      </c>
      <c r="D474" s="277" t="s">
        <v>8</v>
      </c>
      <c r="E474" s="277" t="s">
        <v>13</v>
      </c>
      <c r="F474" s="277" t="s">
        <v>1560</v>
      </c>
      <c r="G474" s="307">
        <v>44580</v>
      </c>
      <c r="H474" s="308"/>
      <c r="I474" s="308"/>
      <c r="J474" s="277"/>
      <c r="K474" s="279"/>
      <c r="L474" s="277" t="s">
        <v>2479</v>
      </c>
      <c r="M474" s="277" t="s">
        <v>2479</v>
      </c>
      <c r="N474" s="277" t="s">
        <v>126</v>
      </c>
      <c r="O474" s="277" t="s">
        <v>2479</v>
      </c>
      <c r="P474" s="277" t="s">
        <v>1554</v>
      </c>
      <c r="Q474" s="277" t="s">
        <v>2198</v>
      </c>
      <c r="R474" s="279">
        <v>44959.45857638889</v>
      </c>
      <c r="S474" s="286">
        <v>2022</v>
      </c>
      <c r="T474" s="277" t="s">
        <v>2001</v>
      </c>
      <c r="U474" s="277" t="s">
        <v>678</v>
      </c>
      <c r="V474" s="277" t="s">
        <v>679</v>
      </c>
      <c r="W474" s="277" t="s">
        <v>145</v>
      </c>
      <c r="X474" s="277" t="s">
        <v>309</v>
      </c>
      <c r="Y474" s="278">
        <v>45078</v>
      </c>
      <c r="Z474" s="287" t="s">
        <v>1875</v>
      </c>
      <c r="AA474" s="287" t="s">
        <v>2873</v>
      </c>
      <c r="AB474" s="287" t="s">
        <v>139</v>
      </c>
      <c r="AC474" s="287" t="s">
        <v>1875</v>
      </c>
      <c r="AD474" s="287" t="s">
        <v>1805</v>
      </c>
      <c r="AE474" s="287" t="s">
        <v>1805</v>
      </c>
      <c r="AF474" s="287" t="s">
        <v>2959</v>
      </c>
      <c r="AG474" s="287" t="s">
        <v>2960</v>
      </c>
      <c r="AH474" s="287" t="s">
        <v>2479</v>
      </c>
      <c r="AI474" s="287" t="s">
        <v>2961</v>
      </c>
      <c r="AJ474" s="304">
        <v>44930</v>
      </c>
      <c r="AK474" s="287" t="s">
        <v>2962</v>
      </c>
      <c r="AL474" s="304">
        <v>44545</v>
      </c>
      <c r="AM474" s="289" t="s">
        <v>1975</v>
      </c>
      <c r="AN474" s="281" t="b">
        <v>1</v>
      </c>
      <c r="AO474" s="305">
        <v>44575</v>
      </c>
      <c r="AP474" s="291">
        <v>3</v>
      </c>
      <c r="AQ474" s="291">
        <v>0</v>
      </c>
      <c r="AR474" s="291">
        <v>0</v>
      </c>
      <c r="AS474" s="291">
        <v>3</v>
      </c>
      <c r="AT474" s="291">
        <v>0</v>
      </c>
      <c r="AU474" s="291">
        <v>12</v>
      </c>
      <c r="AV474" s="305">
        <v>44907</v>
      </c>
      <c r="AW474" s="281">
        <v>25</v>
      </c>
      <c r="AX474" s="281">
        <v>15</v>
      </c>
      <c r="AY474" s="289" t="s">
        <v>1989</v>
      </c>
      <c r="AZ474" s="289" t="s">
        <v>2479</v>
      </c>
      <c r="BA474" s="289" t="s">
        <v>373</v>
      </c>
      <c r="BB474" s="289" t="s">
        <v>1610</v>
      </c>
      <c r="BC474" s="292" t="s">
        <v>2192</v>
      </c>
    </row>
    <row r="475" spans="1:55" ht="45" customHeight="1">
      <c r="A475" s="271">
        <f t="shared" si="7"/>
        <v>474</v>
      </c>
      <c r="B475" s="276" t="s">
        <v>2677</v>
      </c>
      <c r="C475" s="277" t="s">
        <v>3019</v>
      </c>
      <c r="D475" s="277" t="s">
        <v>8</v>
      </c>
      <c r="E475" s="277" t="s">
        <v>13</v>
      </c>
      <c r="F475" s="277" t="s">
        <v>1560</v>
      </c>
      <c r="G475" s="307">
        <v>44666</v>
      </c>
      <c r="H475" s="308"/>
      <c r="I475" s="308"/>
      <c r="J475" s="277"/>
      <c r="K475" s="279"/>
      <c r="L475" s="277" t="s">
        <v>2479</v>
      </c>
      <c r="M475" s="277" t="s">
        <v>2479</v>
      </c>
      <c r="N475" s="277" t="s">
        <v>126</v>
      </c>
      <c r="O475" s="277" t="s">
        <v>2479</v>
      </c>
      <c r="P475" s="277" t="s">
        <v>1554</v>
      </c>
      <c r="Q475" s="277" t="s">
        <v>2198</v>
      </c>
      <c r="R475" s="279">
        <v>44572.468553240738</v>
      </c>
      <c r="S475" s="286">
        <v>2022</v>
      </c>
      <c r="T475" s="277" t="s">
        <v>2001</v>
      </c>
      <c r="U475" s="277" t="s">
        <v>678</v>
      </c>
      <c r="V475" s="277" t="s">
        <v>679</v>
      </c>
      <c r="W475" s="277" t="s">
        <v>145</v>
      </c>
      <c r="X475" s="277" t="s">
        <v>309</v>
      </c>
      <c r="Y475" s="278">
        <v>45078</v>
      </c>
      <c r="Z475" s="287" t="s">
        <v>1875</v>
      </c>
      <c r="AA475" s="287" t="s">
        <v>2886</v>
      </c>
      <c r="AB475" s="287" t="s">
        <v>139</v>
      </c>
      <c r="AC475" s="287" t="s">
        <v>1875</v>
      </c>
      <c r="AD475" s="287" t="s">
        <v>1805</v>
      </c>
      <c r="AE475" s="287" t="s">
        <v>1805</v>
      </c>
      <c r="AF475" s="287" t="s">
        <v>3020</v>
      </c>
      <c r="AG475" s="366" t="s">
        <v>3021</v>
      </c>
      <c r="AH475" s="287" t="s">
        <v>2479</v>
      </c>
      <c r="AI475" s="287" t="s">
        <v>3022</v>
      </c>
      <c r="AJ475" s="304">
        <v>44879</v>
      </c>
      <c r="AK475" s="287" t="s">
        <v>3023</v>
      </c>
      <c r="AL475" s="304">
        <v>44619</v>
      </c>
      <c r="AM475" s="289" t="s">
        <v>1975</v>
      </c>
      <c r="AN475" s="281" t="b">
        <v>1</v>
      </c>
      <c r="AO475" s="305">
        <v>44652</v>
      </c>
      <c r="AP475" s="291">
        <v>1</v>
      </c>
      <c r="AQ475" s="291">
        <v>0</v>
      </c>
      <c r="AR475" s="291">
        <v>0</v>
      </c>
      <c r="AS475" s="291">
        <v>1</v>
      </c>
      <c r="AT475" s="291">
        <v>0</v>
      </c>
      <c r="AU475" s="291">
        <v>24</v>
      </c>
      <c r="AV475" s="305">
        <v>44853</v>
      </c>
      <c r="AW475" s="281">
        <v>18</v>
      </c>
      <c r="AX475" s="281">
        <v>1</v>
      </c>
      <c r="AY475" s="289" t="s">
        <v>1989</v>
      </c>
      <c r="AZ475" s="289" t="s">
        <v>2479</v>
      </c>
      <c r="BA475" s="289" t="s">
        <v>373</v>
      </c>
      <c r="BB475" s="289" t="s">
        <v>1610</v>
      </c>
      <c r="BC475" s="292" t="s">
        <v>2192</v>
      </c>
    </row>
    <row r="476" spans="1:55" ht="45" customHeight="1">
      <c r="A476" s="271">
        <f t="shared" si="7"/>
        <v>475</v>
      </c>
      <c r="B476" s="276" t="s">
        <v>2636</v>
      </c>
      <c r="C476" s="277" t="s">
        <v>2679</v>
      </c>
      <c r="D476" s="277" t="s">
        <v>8</v>
      </c>
      <c r="E476" s="277" t="s">
        <v>13</v>
      </c>
      <c r="F476" s="277" t="s">
        <v>1560</v>
      </c>
      <c r="G476" s="307">
        <v>44674</v>
      </c>
      <c r="H476" s="308"/>
      <c r="I476" s="308"/>
      <c r="J476" s="277"/>
      <c r="K476" s="279"/>
      <c r="L476" s="277" t="s">
        <v>2479</v>
      </c>
      <c r="M476" s="277" t="s">
        <v>2479</v>
      </c>
      <c r="N476" s="277" t="s">
        <v>126</v>
      </c>
      <c r="O476" s="277" t="s">
        <v>2479</v>
      </c>
      <c r="P476" s="277" t="s">
        <v>1554</v>
      </c>
      <c r="Q476" s="277" t="s">
        <v>2198</v>
      </c>
      <c r="R476" s="279">
        <v>44630.448020833333</v>
      </c>
      <c r="S476" s="286">
        <v>2022</v>
      </c>
      <c r="T476" s="277" t="s">
        <v>2001</v>
      </c>
      <c r="U476" s="277" t="s">
        <v>678</v>
      </c>
      <c r="V476" s="277" t="s">
        <v>679</v>
      </c>
      <c r="W476" s="277" t="s">
        <v>145</v>
      </c>
      <c r="X476" s="277" t="s">
        <v>309</v>
      </c>
      <c r="Y476" s="278">
        <v>45078</v>
      </c>
      <c r="Z476" s="287" t="s">
        <v>1875</v>
      </c>
      <c r="AA476" s="287" t="s">
        <v>2479</v>
      </c>
      <c r="AB476" s="287" t="s">
        <v>139</v>
      </c>
      <c r="AC476" s="287" t="s">
        <v>1875</v>
      </c>
      <c r="AD476" s="287" t="s">
        <v>1805</v>
      </c>
      <c r="AE476" s="287" t="s">
        <v>1805</v>
      </c>
      <c r="AF476" s="287" t="s">
        <v>2479</v>
      </c>
      <c r="AG476" s="287" t="s">
        <v>2479</v>
      </c>
      <c r="AH476" s="287" t="s">
        <v>2479</v>
      </c>
      <c r="AI476" s="287" t="s">
        <v>2479</v>
      </c>
      <c r="AJ476" s="304" t="s">
        <v>2191</v>
      </c>
      <c r="AK476" s="287" t="s">
        <v>2479</v>
      </c>
      <c r="AL476" s="304" t="s">
        <v>2190</v>
      </c>
      <c r="AM476" s="289" t="s">
        <v>1975</v>
      </c>
      <c r="AN476" s="281" t="b">
        <v>0</v>
      </c>
      <c r="AO476" s="305"/>
      <c r="AP476" s="291"/>
      <c r="AQ476" s="291"/>
      <c r="AR476" s="291"/>
      <c r="AS476" s="291"/>
      <c r="AT476" s="291"/>
      <c r="AU476" s="291"/>
      <c r="AV476" s="305"/>
      <c r="AW476" s="281"/>
      <c r="AX476" s="281"/>
      <c r="AY476" s="289" t="s">
        <v>2479</v>
      </c>
      <c r="AZ476" s="289" t="s">
        <v>2479</v>
      </c>
      <c r="BA476" s="289" t="s">
        <v>373</v>
      </c>
      <c r="BB476" s="289" t="s">
        <v>1610</v>
      </c>
      <c r="BC476" s="292" t="s">
        <v>2192</v>
      </c>
    </row>
    <row r="477" spans="1:55" ht="45" customHeight="1">
      <c r="A477" s="271">
        <f t="shared" si="7"/>
        <v>476</v>
      </c>
      <c r="B477" s="276" t="s">
        <v>2629</v>
      </c>
      <c r="C477" s="277" t="s">
        <v>2682</v>
      </c>
      <c r="D477" s="277" t="s">
        <v>8</v>
      </c>
      <c r="E477" s="277" t="s">
        <v>13</v>
      </c>
      <c r="F477" s="277" t="s">
        <v>1560</v>
      </c>
      <c r="G477" s="308">
        <v>44729</v>
      </c>
      <c r="H477" s="308"/>
      <c r="I477" s="308"/>
      <c r="J477" s="277"/>
      <c r="K477" s="279"/>
      <c r="L477" s="277" t="s">
        <v>2479</v>
      </c>
      <c r="M477" s="277" t="s">
        <v>2479</v>
      </c>
      <c r="N477" s="277" t="s">
        <v>126</v>
      </c>
      <c r="O477" s="277" t="s">
        <v>2479</v>
      </c>
      <c r="P477" s="277" t="s">
        <v>1554</v>
      </c>
      <c r="Q477" s="277" t="s">
        <v>2198</v>
      </c>
      <c r="R477" s="279">
        <v>44630.44871527778</v>
      </c>
      <c r="S477" s="286">
        <v>2022</v>
      </c>
      <c r="T477" s="277" t="s">
        <v>2001</v>
      </c>
      <c r="U477" s="277" t="s">
        <v>678</v>
      </c>
      <c r="V477" s="277" t="s">
        <v>679</v>
      </c>
      <c r="W477" s="277" t="s">
        <v>145</v>
      </c>
      <c r="X477" s="277" t="s">
        <v>309</v>
      </c>
      <c r="Y477" s="278">
        <v>45078</v>
      </c>
      <c r="Z477" s="287" t="s">
        <v>1875</v>
      </c>
      <c r="AA477" s="287" t="s">
        <v>2479</v>
      </c>
      <c r="AB477" s="287" t="s">
        <v>139</v>
      </c>
      <c r="AC477" s="287" t="s">
        <v>1875</v>
      </c>
      <c r="AD477" s="287" t="s">
        <v>1805</v>
      </c>
      <c r="AE477" s="287" t="s">
        <v>1805</v>
      </c>
      <c r="AF477" s="287" t="s">
        <v>2479</v>
      </c>
      <c r="AG477" s="287" t="s">
        <v>2479</v>
      </c>
      <c r="AH477" s="287" t="s">
        <v>2479</v>
      </c>
      <c r="AI477" s="287" t="s">
        <v>2479</v>
      </c>
      <c r="AJ477" s="304" t="s">
        <v>2191</v>
      </c>
      <c r="AK477" s="287" t="s">
        <v>2479</v>
      </c>
      <c r="AL477" s="304" t="s">
        <v>2190</v>
      </c>
      <c r="AM477" s="289" t="s">
        <v>1975</v>
      </c>
      <c r="AN477" s="281" t="b">
        <v>0</v>
      </c>
      <c r="AO477" s="305"/>
      <c r="AP477" s="291"/>
      <c r="AQ477" s="291"/>
      <c r="AR477" s="291"/>
      <c r="AS477" s="291"/>
      <c r="AT477" s="291"/>
      <c r="AU477" s="291"/>
      <c r="AV477" s="305"/>
      <c r="AW477" s="281"/>
      <c r="AX477" s="281"/>
      <c r="AY477" s="289" t="s">
        <v>2479</v>
      </c>
      <c r="AZ477" s="289" t="s">
        <v>2479</v>
      </c>
      <c r="BA477" s="289" t="s">
        <v>373</v>
      </c>
      <c r="BB477" s="289" t="s">
        <v>1610</v>
      </c>
      <c r="BC477" s="292" t="s">
        <v>2192</v>
      </c>
    </row>
    <row r="478" spans="1:55" ht="45" customHeight="1">
      <c r="A478" s="271">
        <f t="shared" si="7"/>
        <v>477</v>
      </c>
      <c r="B478" s="276" t="s">
        <v>2895</v>
      </c>
      <c r="C478" s="277" t="s">
        <v>2896</v>
      </c>
      <c r="D478" s="277" t="s">
        <v>8</v>
      </c>
      <c r="E478" s="277" t="s">
        <v>13</v>
      </c>
      <c r="F478" s="277" t="s">
        <v>1560</v>
      </c>
      <c r="G478" s="307">
        <v>44852</v>
      </c>
      <c r="H478" s="308"/>
      <c r="I478" s="308"/>
      <c r="J478" s="277"/>
      <c r="K478" s="279"/>
      <c r="L478" s="277" t="s">
        <v>2479</v>
      </c>
      <c r="M478" s="277" t="s">
        <v>2479</v>
      </c>
      <c r="N478" s="277" t="s">
        <v>122</v>
      </c>
      <c r="O478" s="277" t="s">
        <v>2479</v>
      </c>
      <c r="P478" s="277" t="s">
        <v>1554</v>
      </c>
      <c r="Q478" s="277" t="s">
        <v>2198</v>
      </c>
      <c r="R478" s="279">
        <v>44959.435694444444</v>
      </c>
      <c r="S478" s="286">
        <v>2022</v>
      </c>
      <c r="T478" s="277" t="s">
        <v>2001</v>
      </c>
      <c r="U478" s="277" t="s">
        <v>678</v>
      </c>
      <c r="V478" s="277" t="s">
        <v>679</v>
      </c>
      <c r="W478" s="277" t="s">
        <v>145</v>
      </c>
      <c r="X478" s="277" t="s">
        <v>309</v>
      </c>
      <c r="Y478" s="278">
        <v>45078</v>
      </c>
      <c r="Z478" s="287" t="s">
        <v>1875</v>
      </c>
      <c r="AA478" s="287" t="s">
        <v>2876</v>
      </c>
      <c r="AB478" s="287" t="s">
        <v>139</v>
      </c>
      <c r="AC478" s="287" t="s">
        <v>1875</v>
      </c>
      <c r="AD478" s="287" t="s">
        <v>1805</v>
      </c>
      <c r="AE478" s="287" t="s">
        <v>1805</v>
      </c>
      <c r="AF478" s="287" t="s">
        <v>3384</v>
      </c>
      <c r="AG478" s="287" t="s">
        <v>3385</v>
      </c>
      <c r="AH478" s="287" t="s">
        <v>2479</v>
      </c>
      <c r="AI478" s="287" t="s">
        <v>2897</v>
      </c>
      <c r="AJ478" s="304">
        <v>44973</v>
      </c>
      <c r="AK478" s="287" t="s">
        <v>2898</v>
      </c>
      <c r="AL478" s="304">
        <v>44710</v>
      </c>
      <c r="AM478" s="289" t="s">
        <v>1975</v>
      </c>
      <c r="AN478" s="281" t="b">
        <v>1</v>
      </c>
      <c r="AO478" s="305">
        <v>44783</v>
      </c>
      <c r="AP478" s="291">
        <v>1</v>
      </c>
      <c r="AQ478" s="291">
        <v>0</v>
      </c>
      <c r="AR478" s="291">
        <v>0</v>
      </c>
      <c r="AS478" s="291">
        <v>1</v>
      </c>
      <c r="AT478" s="291">
        <v>0</v>
      </c>
      <c r="AU478" s="291">
        <v>24</v>
      </c>
      <c r="AV478" s="305">
        <v>44958</v>
      </c>
      <c r="AW478" s="281">
        <v>6</v>
      </c>
      <c r="AX478" s="281">
        <v>3</v>
      </c>
      <c r="AY478" s="289" t="s">
        <v>1989</v>
      </c>
      <c r="AZ478" s="289" t="s">
        <v>2479</v>
      </c>
      <c r="BA478" s="289" t="s">
        <v>373</v>
      </c>
      <c r="BB478" s="289" t="s">
        <v>1610</v>
      </c>
      <c r="BC478" s="292" t="s">
        <v>2192</v>
      </c>
    </row>
    <row r="479" spans="1:55" ht="45" customHeight="1">
      <c r="A479" s="271">
        <f t="shared" si="7"/>
        <v>478</v>
      </c>
      <c r="B479" s="276" t="s">
        <v>3111</v>
      </c>
      <c r="C479" s="277" t="s">
        <v>3112</v>
      </c>
      <c r="D479" s="277" t="s">
        <v>8</v>
      </c>
      <c r="E479" s="277" t="s">
        <v>13</v>
      </c>
      <c r="F479" s="277" t="s">
        <v>1560</v>
      </c>
      <c r="G479" s="307">
        <v>44889</v>
      </c>
      <c r="H479" s="308"/>
      <c r="I479" s="308"/>
      <c r="J479" s="277"/>
      <c r="K479" s="279"/>
      <c r="L479" s="277" t="s">
        <v>2479</v>
      </c>
      <c r="M479" s="277" t="s">
        <v>2479</v>
      </c>
      <c r="N479" s="277" t="s">
        <v>122</v>
      </c>
      <c r="O479" s="277" t="s">
        <v>2479</v>
      </c>
      <c r="P479" s="277" t="s">
        <v>1554</v>
      </c>
      <c r="Q479" s="277" t="s">
        <v>2198</v>
      </c>
      <c r="R479" s="279">
        <v>44693.596805555557</v>
      </c>
      <c r="S479" s="286">
        <v>2022</v>
      </c>
      <c r="T479" s="277" t="s">
        <v>2001</v>
      </c>
      <c r="U479" s="277" t="s">
        <v>678</v>
      </c>
      <c r="V479" s="277" t="s">
        <v>679</v>
      </c>
      <c r="W479" s="277" t="s">
        <v>145</v>
      </c>
      <c r="X479" s="277" t="s">
        <v>309</v>
      </c>
      <c r="Y479" s="278">
        <v>45078</v>
      </c>
      <c r="Z479" s="287" t="s">
        <v>1875</v>
      </c>
      <c r="AA479" s="287" t="s">
        <v>2886</v>
      </c>
      <c r="AB479" s="287" t="s">
        <v>139</v>
      </c>
      <c r="AC479" s="287" t="s">
        <v>1875</v>
      </c>
      <c r="AD479" s="287" t="s">
        <v>1805</v>
      </c>
      <c r="AE479" s="287" t="s">
        <v>1805</v>
      </c>
      <c r="AF479" s="287" t="s">
        <v>2479</v>
      </c>
      <c r="AG479" s="287" t="s">
        <v>2479</v>
      </c>
      <c r="AH479" s="287" t="s">
        <v>2479</v>
      </c>
      <c r="AI479" s="287" t="s">
        <v>3160</v>
      </c>
      <c r="AJ479" s="304">
        <v>44908</v>
      </c>
      <c r="AK479" s="287" t="s">
        <v>3161</v>
      </c>
      <c r="AL479" s="304">
        <v>44688</v>
      </c>
      <c r="AM479" s="289" t="s">
        <v>1975</v>
      </c>
      <c r="AN479" s="281" t="b">
        <v>1</v>
      </c>
      <c r="AO479" s="305">
        <v>44749</v>
      </c>
      <c r="AP479" s="291">
        <v>1</v>
      </c>
      <c r="AQ479" s="291">
        <v>0</v>
      </c>
      <c r="AR479" s="291">
        <v>0</v>
      </c>
      <c r="AS479" s="291">
        <v>1</v>
      </c>
      <c r="AT479" s="291">
        <v>0</v>
      </c>
      <c r="AU479" s="291">
        <v>17</v>
      </c>
      <c r="AV479" s="305" t="s">
        <v>2191</v>
      </c>
      <c r="AW479" s="281">
        <v>1</v>
      </c>
      <c r="AX479" s="281">
        <v>1</v>
      </c>
      <c r="AY479" s="289" t="s">
        <v>2479</v>
      </c>
      <c r="AZ479" s="289" t="s">
        <v>2479</v>
      </c>
      <c r="BA479" s="289" t="s">
        <v>373</v>
      </c>
      <c r="BB479" s="289" t="s">
        <v>1610</v>
      </c>
      <c r="BC479" s="292" t="s">
        <v>2192</v>
      </c>
    </row>
    <row r="480" spans="1:55" ht="45" customHeight="1">
      <c r="A480" s="271">
        <f t="shared" si="7"/>
        <v>479</v>
      </c>
      <c r="B480" s="276" t="s">
        <v>3115</v>
      </c>
      <c r="C480" s="277" t="s">
        <v>3116</v>
      </c>
      <c r="D480" s="277" t="s">
        <v>8</v>
      </c>
      <c r="E480" s="277" t="s">
        <v>13</v>
      </c>
      <c r="F480" s="277" t="s">
        <v>1560</v>
      </c>
      <c r="G480" s="307">
        <v>44889</v>
      </c>
      <c r="H480" s="308"/>
      <c r="I480" s="308"/>
      <c r="J480" s="277"/>
      <c r="K480" s="279"/>
      <c r="L480" s="277" t="s">
        <v>2479</v>
      </c>
      <c r="M480" s="277" t="s">
        <v>2479</v>
      </c>
      <c r="N480" s="277" t="s">
        <v>122</v>
      </c>
      <c r="O480" s="277" t="s">
        <v>2479</v>
      </c>
      <c r="P480" s="277" t="s">
        <v>1554</v>
      </c>
      <c r="Q480" s="277" t="s">
        <v>2198</v>
      </c>
      <c r="R480" s="279">
        <v>44959.45685185185</v>
      </c>
      <c r="S480" s="286">
        <v>2022</v>
      </c>
      <c r="T480" s="277" t="s">
        <v>2001</v>
      </c>
      <c r="U480" s="277" t="s">
        <v>678</v>
      </c>
      <c r="V480" s="277" t="s">
        <v>679</v>
      </c>
      <c r="W480" s="277" t="s">
        <v>145</v>
      </c>
      <c r="X480" s="277" t="s">
        <v>309</v>
      </c>
      <c r="Y480" s="278">
        <v>45078</v>
      </c>
      <c r="Z480" s="287" t="s">
        <v>1875</v>
      </c>
      <c r="AA480" s="287" t="s">
        <v>2868</v>
      </c>
      <c r="AB480" s="287" t="s">
        <v>139</v>
      </c>
      <c r="AC480" s="287" t="s">
        <v>1875</v>
      </c>
      <c r="AD480" s="287" t="s">
        <v>1805</v>
      </c>
      <c r="AE480" s="287" t="s">
        <v>1805</v>
      </c>
      <c r="AF480" s="287" t="s">
        <v>3392</v>
      </c>
      <c r="AG480" s="287" t="s">
        <v>3393</v>
      </c>
      <c r="AH480" s="287" t="s">
        <v>2479</v>
      </c>
      <c r="AI480" s="287" t="s">
        <v>3156</v>
      </c>
      <c r="AJ480" s="304">
        <v>44963</v>
      </c>
      <c r="AK480" s="287" t="s">
        <v>3157</v>
      </c>
      <c r="AL480" s="304">
        <v>44811</v>
      </c>
      <c r="AM480" s="289" t="s">
        <v>1975</v>
      </c>
      <c r="AN480" s="281" t="b">
        <v>1</v>
      </c>
      <c r="AO480" s="305">
        <v>44750</v>
      </c>
      <c r="AP480" s="291">
        <v>1</v>
      </c>
      <c r="AQ480" s="291">
        <v>0</v>
      </c>
      <c r="AR480" s="291">
        <v>0</v>
      </c>
      <c r="AS480" s="291">
        <v>1</v>
      </c>
      <c r="AT480" s="291">
        <v>0</v>
      </c>
      <c r="AU480" s="291">
        <v>19</v>
      </c>
      <c r="AV480" s="305">
        <v>44950</v>
      </c>
      <c r="AW480" s="281">
        <v>5</v>
      </c>
      <c r="AX480" s="281">
        <v>1</v>
      </c>
      <c r="AY480" s="289" t="s">
        <v>1989</v>
      </c>
      <c r="AZ480" s="289" t="s">
        <v>2479</v>
      </c>
      <c r="BA480" s="289" t="s">
        <v>373</v>
      </c>
      <c r="BB480" s="289" t="s">
        <v>1610</v>
      </c>
      <c r="BC480" s="292" t="s">
        <v>2192</v>
      </c>
    </row>
    <row r="481" spans="1:55" ht="45" customHeight="1">
      <c r="A481" s="271">
        <f t="shared" si="7"/>
        <v>480</v>
      </c>
      <c r="B481" s="276" t="s">
        <v>3122</v>
      </c>
      <c r="C481" s="277" t="s">
        <v>3123</v>
      </c>
      <c r="D481" s="277" t="s">
        <v>8</v>
      </c>
      <c r="E481" s="277" t="s">
        <v>13</v>
      </c>
      <c r="F481" s="277" t="s">
        <v>1560</v>
      </c>
      <c r="G481" s="307">
        <v>44889</v>
      </c>
      <c r="H481" s="308"/>
      <c r="I481" s="308"/>
      <c r="J481" s="277"/>
      <c r="K481" s="279"/>
      <c r="L481" s="277" t="s">
        <v>2479</v>
      </c>
      <c r="M481" s="277" t="s">
        <v>2479</v>
      </c>
      <c r="N481" s="277" t="s">
        <v>122</v>
      </c>
      <c r="O481" s="277" t="s">
        <v>2479</v>
      </c>
      <c r="P481" s="277" t="s">
        <v>1554</v>
      </c>
      <c r="Q481" s="277" t="s">
        <v>2198</v>
      </c>
      <c r="R481" s="279" t="s">
        <v>3124</v>
      </c>
      <c r="S481" s="286">
        <v>2022</v>
      </c>
      <c r="T481" s="277" t="s">
        <v>2001</v>
      </c>
      <c r="U481" s="277" t="s">
        <v>678</v>
      </c>
      <c r="V481" s="277" t="s">
        <v>679</v>
      </c>
      <c r="W481" s="277" t="s">
        <v>145</v>
      </c>
      <c r="X481" s="277" t="s">
        <v>309</v>
      </c>
      <c r="Y481" s="278">
        <v>45078</v>
      </c>
      <c r="Z481" s="287" t="s">
        <v>1875</v>
      </c>
      <c r="AA481" s="287" t="s">
        <v>2479</v>
      </c>
      <c r="AB481" s="287" t="s">
        <v>139</v>
      </c>
      <c r="AC481" s="287" t="s">
        <v>1875</v>
      </c>
      <c r="AD481" s="287" t="s">
        <v>1805</v>
      </c>
      <c r="AE481" s="287" t="s">
        <v>1805</v>
      </c>
      <c r="AF481" s="287" t="s">
        <v>2479</v>
      </c>
      <c r="AG481" s="287" t="s">
        <v>2479</v>
      </c>
      <c r="AH481" s="287" t="s">
        <v>2479</v>
      </c>
      <c r="AI481" s="287" t="s">
        <v>2479</v>
      </c>
      <c r="AJ481" s="304" t="s">
        <v>2191</v>
      </c>
      <c r="AK481" s="287" t="s">
        <v>2479</v>
      </c>
      <c r="AL481" s="304" t="s">
        <v>2190</v>
      </c>
      <c r="AM481" s="289" t="s">
        <v>1975</v>
      </c>
      <c r="AN481" s="281" t="b">
        <v>0</v>
      </c>
      <c r="AO481" s="305"/>
      <c r="AP481" s="291"/>
      <c r="AQ481" s="291"/>
      <c r="AR481" s="291"/>
      <c r="AS481" s="291"/>
      <c r="AT481" s="291"/>
      <c r="AU481" s="291"/>
      <c r="AV481" s="305"/>
      <c r="AW481" s="281"/>
      <c r="AX481" s="281"/>
      <c r="AY481" s="289" t="s">
        <v>2479</v>
      </c>
      <c r="AZ481" s="289" t="s">
        <v>2479</v>
      </c>
      <c r="BA481" s="289" t="s">
        <v>373</v>
      </c>
      <c r="BB481" s="289" t="s">
        <v>1610</v>
      </c>
      <c r="BC481" s="292" t="s">
        <v>2192</v>
      </c>
    </row>
    <row r="482" spans="1:55" ht="45" customHeight="1">
      <c r="A482" s="271">
        <f t="shared" si="7"/>
        <v>481</v>
      </c>
      <c r="B482" s="276" t="s">
        <v>3115</v>
      </c>
      <c r="C482" s="277" t="s">
        <v>3116</v>
      </c>
      <c r="D482" s="277" t="s">
        <v>8</v>
      </c>
      <c r="E482" s="277" t="s">
        <v>13</v>
      </c>
      <c r="F482" s="277" t="s">
        <v>1560</v>
      </c>
      <c r="G482" s="307">
        <v>44908</v>
      </c>
      <c r="H482" s="308"/>
      <c r="I482" s="308"/>
      <c r="J482" s="277"/>
      <c r="K482" s="279"/>
      <c r="L482" s="277" t="s">
        <v>2479</v>
      </c>
      <c r="M482" s="277" t="s">
        <v>2479</v>
      </c>
      <c r="N482" s="277" t="s">
        <v>122</v>
      </c>
      <c r="O482" s="277" t="s">
        <v>2479</v>
      </c>
      <c r="P482" s="277" t="s">
        <v>1554</v>
      </c>
      <c r="Q482" s="277" t="s">
        <v>2198</v>
      </c>
      <c r="R482" s="279" t="s">
        <v>3162</v>
      </c>
      <c r="S482" s="286">
        <v>2022</v>
      </c>
      <c r="T482" s="277" t="s">
        <v>2001</v>
      </c>
      <c r="U482" s="277" t="s">
        <v>678</v>
      </c>
      <c r="V482" s="277" t="s">
        <v>679</v>
      </c>
      <c r="W482" s="277" t="s">
        <v>145</v>
      </c>
      <c r="X482" s="277" t="s">
        <v>309</v>
      </c>
      <c r="Y482" s="278">
        <v>45078</v>
      </c>
      <c r="Z482" s="287" t="s">
        <v>1875</v>
      </c>
      <c r="AA482" s="287" t="s">
        <v>2479</v>
      </c>
      <c r="AB482" s="287" t="s">
        <v>139</v>
      </c>
      <c r="AC482" s="287" t="s">
        <v>1875</v>
      </c>
      <c r="AD482" s="287" t="s">
        <v>1805</v>
      </c>
      <c r="AE482" s="287" t="s">
        <v>1805</v>
      </c>
      <c r="AF482" s="287" t="s">
        <v>2479</v>
      </c>
      <c r="AG482" s="287" t="s">
        <v>2479</v>
      </c>
      <c r="AH482" s="287" t="s">
        <v>2479</v>
      </c>
      <c r="AI482" s="287" t="s">
        <v>2479</v>
      </c>
      <c r="AJ482" s="304" t="s">
        <v>2191</v>
      </c>
      <c r="AK482" s="287" t="s">
        <v>2479</v>
      </c>
      <c r="AL482" s="304" t="s">
        <v>2190</v>
      </c>
      <c r="AM482" s="289" t="s">
        <v>1975</v>
      </c>
      <c r="AN482" s="281" t="b">
        <v>0</v>
      </c>
      <c r="AO482" s="305"/>
      <c r="AP482" s="291"/>
      <c r="AQ482" s="291"/>
      <c r="AR482" s="291"/>
      <c r="AS482" s="291"/>
      <c r="AT482" s="291"/>
      <c r="AU482" s="291"/>
      <c r="AV482" s="305"/>
      <c r="AW482" s="281"/>
      <c r="AX482" s="281"/>
      <c r="AY482" s="289" t="s">
        <v>2479</v>
      </c>
      <c r="AZ482" s="289" t="s">
        <v>2479</v>
      </c>
      <c r="BA482" s="289" t="s">
        <v>373</v>
      </c>
      <c r="BB482" s="289" t="s">
        <v>1610</v>
      </c>
      <c r="BC482" s="292" t="s">
        <v>2192</v>
      </c>
    </row>
    <row r="483" spans="1:55" ht="45" customHeight="1">
      <c r="A483" s="271">
        <f t="shared" si="7"/>
        <v>482</v>
      </c>
      <c r="B483" s="284" t="s">
        <v>2723</v>
      </c>
      <c r="C483" s="270" t="s">
        <v>3427</v>
      </c>
      <c r="D483" s="270" t="s">
        <v>8</v>
      </c>
      <c r="E483" s="270" t="s">
        <v>13</v>
      </c>
      <c r="F483" s="270" t="s">
        <v>1560</v>
      </c>
      <c r="G483" s="302">
        <v>44959</v>
      </c>
      <c r="L483" s="270" t="s">
        <v>2479</v>
      </c>
      <c r="M483" s="270" t="s">
        <v>2479</v>
      </c>
      <c r="N483" s="272" t="s">
        <v>122</v>
      </c>
      <c r="O483" s="270" t="s">
        <v>2479</v>
      </c>
      <c r="P483" s="270" t="s">
        <v>1554</v>
      </c>
      <c r="Q483" s="270" t="s">
        <v>2198</v>
      </c>
      <c r="R483" s="306" t="s">
        <v>3434</v>
      </c>
      <c r="S483" s="285">
        <v>2023</v>
      </c>
      <c r="T483" s="270" t="s">
        <v>2001</v>
      </c>
      <c r="U483" s="270" t="s">
        <v>678</v>
      </c>
      <c r="V483" s="270" t="s">
        <v>679</v>
      </c>
      <c r="W483" s="270" t="s">
        <v>145</v>
      </c>
      <c r="X483" s="270" t="s">
        <v>309</v>
      </c>
      <c r="Y483" s="273">
        <v>45078</v>
      </c>
      <c r="Z483" s="288" t="s">
        <v>1875</v>
      </c>
      <c r="AA483" s="288" t="s">
        <v>2886</v>
      </c>
      <c r="AB483" s="288" t="s">
        <v>139</v>
      </c>
      <c r="AC483" s="288" t="s">
        <v>1875</v>
      </c>
      <c r="AD483" s="288" t="s">
        <v>1805</v>
      </c>
      <c r="AE483" s="288" t="s">
        <v>1805</v>
      </c>
      <c r="AF483" s="288" t="s">
        <v>2479</v>
      </c>
      <c r="AG483" s="288" t="s">
        <v>2479</v>
      </c>
      <c r="AH483" s="288" t="s">
        <v>2479</v>
      </c>
      <c r="AI483" s="288" t="s">
        <v>3428</v>
      </c>
      <c r="AJ483" s="303" t="s">
        <v>2191</v>
      </c>
      <c r="AK483" s="288" t="s">
        <v>3429</v>
      </c>
      <c r="AL483" s="303">
        <v>43352</v>
      </c>
      <c r="AM483" s="288" t="s">
        <v>1975</v>
      </c>
      <c r="AN483" s="207" t="b">
        <v>0</v>
      </c>
      <c r="AY483" s="288" t="s">
        <v>2479</v>
      </c>
      <c r="AZ483" s="288" t="s">
        <v>2479</v>
      </c>
      <c r="BA483" s="288" t="s">
        <v>373</v>
      </c>
      <c r="BB483" s="288" t="s">
        <v>1610</v>
      </c>
      <c r="BC483" s="288" t="s">
        <v>2192</v>
      </c>
    </row>
    <row r="484" spans="1:55" ht="45" customHeight="1">
      <c r="A484" s="271">
        <f t="shared" si="7"/>
        <v>483</v>
      </c>
      <c r="B484" s="284" t="s">
        <v>2651</v>
      </c>
      <c r="C484" s="270" t="s">
        <v>3435</v>
      </c>
      <c r="D484" s="270" t="s">
        <v>8</v>
      </c>
      <c r="E484" s="270" t="s">
        <v>13</v>
      </c>
      <c r="F484" s="270" t="s">
        <v>1560</v>
      </c>
      <c r="G484" s="302">
        <v>44971</v>
      </c>
      <c r="L484" s="270" t="s">
        <v>2479</v>
      </c>
      <c r="M484" s="270" t="s">
        <v>2479</v>
      </c>
      <c r="N484" s="272" t="s">
        <v>122</v>
      </c>
      <c r="O484" s="270" t="s">
        <v>2479</v>
      </c>
      <c r="P484" s="270" t="s">
        <v>1554</v>
      </c>
      <c r="Q484" s="270" t="s">
        <v>2198</v>
      </c>
      <c r="R484" s="306" t="s">
        <v>3436</v>
      </c>
      <c r="S484" s="285">
        <v>2023</v>
      </c>
      <c r="T484" s="270" t="s">
        <v>2001</v>
      </c>
      <c r="U484" s="270" t="s">
        <v>678</v>
      </c>
      <c r="V484" s="270" t="s">
        <v>679</v>
      </c>
      <c r="W484" s="270" t="s">
        <v>145</v>
      </c>
      <c r="X484" s="270" t="s">
        <v>309</v>
      </c>
      <c r="Y484" s="273">
        <v>45078</v>
      </c>
      <c r="Z484" s="288" t="s">
        <v>1875</v>
      </c>
      <c r="AA484" s="288" t="s">
        <v>3437</v>
      </c>
      <c r="AB484" s="288" t="s">
        <v>139</v>
      </c>
      <c r="AC484" s="288" t="s">
        <v>1875</v>
      </c>
      <c r="AD484" s="288" t="s">
        <v>1805</v>
      </c>
      <c r="AE484" s="288" t="s">
        <v>1805</v>
      </c>
      <c r="AF484" s="288" t="s">
        <v>2479</v>
      </c>
      <c r="AG484" s="288" t="s">
        <v>2479</v>
      </c>
      <c r="AH484" s="288" t="s">
        <v>2479</v>
      </c>
      <c r="AI484" s="288" t="s">
        <v>3438</v>
      </c>
      <c r="AJ484" s="303" t="s">
        <v>2191</v>
      </c>
      <c r="AK484" s="288" t="s">
        <v>3439</v>
      </c>
      <c r="AL484" s="303">
        <v>44916</v>
      </c>
      <c r="AM484" s="288" t="s">
        <v>1975</v>
      </c>
      <c r="AN484" s="207" t="b">
        <v>0</v>
      </c>
      <c r="AY484" s="288" t="s">
        <v>2479</v>
      </c>
      <c r="AZ484" s="288" t="s">
        <v>2479</v>
      </c>
      <c r="BA484" s="288" t="s">
        <v>373</v>
      </c>
      <c r="BB484" s="288" t="s">
        <v>1610</v>
      </c>
      <c r="BC484" s="288" t="s">
        <v>2192</v>
      </c>
    </row>
    <row r="485" spans="1:55" ht="45" customHeight="1">
      <c r="A485" s="271">
        <f t="shared" si="7"/>
        <v>484</v>
      </c>
      <c r="B485" s="284" t="s">
        <v>2686</v>
      </c>
      <c r="C485" s="270" t="s">
        <v>3440</v>
      </c>
      <c r="D485" s="270" t="s">
        <v>8</v>
      </c>
      <c r="E485" s="270" t="s">
        <v>13</v>
      </c>
      <c r="F485" s="270" t="s">
        <v>1560</v>
      </c>
      <c r="G485" s="302">
        <v>44973</v>
      </c>
      <c r="L485" s="270" t="s">
        <v>2479</v>
      </c>
      <c r="M485" s="270" t="s">
        <v>2479</v>
      </c>
      <c r="N485" s="272" t="s">
        <v>122</v>
      </c>
      <c r="O485" s="270" t="s">
        <v>2479</v>
      </c>
      <c r="P485" s="270" t="s">
        <v>1554</v>
      </c>
      <c r="Q485" s="270" t="s">
        <v>2198</v>
      </c>
      <c r="R485" s="306" t="s">
        <v>3441</v>
      </c>
      <c r="S485" s="285">
        <v>2023</v>
      </c>
      <c r="T485" s="270" t="s">
        <v>2001</v>
      </c>
      <c r="U485" s="270" t="s">
        <v>678</v>
      </c>
      <c r="V485" s="270" t="s">
        <v>679</v>
      </c>
      <c r="W485" s="270" t="s">
        <v>145</v>
      </c>
      <c r="X485" s="270" t="s">
        <v>309</v>
      </c>
      <c r="Y485" s="273">
        <v>45078</v>
      </c>
      <c r="Z485" s="288" t="s">
        <v>1875</v>
      </c>
      <c r="AA485" s="288" t="s">
        <v>2886</v>
      </c>
      <c r="AB485" s="288" t="s">
        <v>139</v>
      </c>
      <c r="AC485" s="288" t="s">
        <v>1875</v>
      </c>
      <c r="AD485" s="288" t="s">
        <v>1805</v>
      </c>
      <c r="AE485" s="288" t="s">
        <v>1805</v>
      </c>
      <c r="AF485" s="288" t="s">
        <v>2479</v>
      </c>
      <c r="AG485" s="288" t="s">
        <v>2479</v>
      </c>
      <c r="AH485" s="288" t="s">
        <v>2479</v>
      </c>
      <c r="AI485" s="288" t="s">
        <v>3442</v>
      </c>
      <c r="AJ485" s="303" t="s">
        <v>2191</v>
      </c>
      <c r="AK485" s="288" t="s">
        <v>3443</v>
      </c>
      <c r="AL485" s="303">
        <v>44925</v>
      </c>
      <c r="AM485" s="288" t="s">
        <v>1975</v>
      </c>
      <c r="AN485" s="207" t="b">
        <v>0</v>
      </c>
      <c r="AY485" s="288" t="s">
        <v>2479</v>
      </c>
      <c r="AZ485" s="288" t="s">
        <v>2479</v>
      </c>
      <c r="BA485" s="288" t="s">
        <v>373</v>
      </c>
      <c r="BB485" s="288" t="s">
        <v>1610</v>
      </c>
      <c r="BC485" s="288" t="s">
        <v>2192</v>
      </c>
    </row>
    <row r="486" spans="1:55" ht="45" customHeight="1">
      <c r="A486" s="271">
        <f t="shared" si="7"/>
        <v>485</v>
      </c>
      <c r="B486" s="284" t="s">
        <v>2728</v>
      </c>
      <c r="C486" s="270" t="s">
        <v>3537</v>
      </c>
      <c r="D486" s="270" t="s">
        <v>8</v>
      </c>
      <c r="E486" s="270" t="s">
        <v>13</v>
      </c>
      <c r="F486" s="270" t="s">
        <v>1560</v>
      </c>
      <c r="G486" s="302">
        <v>44995</v>
      </c>
      <c r="L486" s="270" t="s">
        <v>2479</v>
      </c>
      <c r="M486" s="270" t="s">
        <v>2479</v>
      </c>
      <c r="N486" s="272" t="s">
        <v>122</v>
      </c>
      <c r="O486" s="270" t="s">
        <v>2479</v>
      </c>
      <c r="P486" s="270" t="s">
        <v>1554</v>
      </c>
      <c r="Q486" s="270" t="s">
        <v>2198</v>
      </c>
      <c r="R486" s="306" t="s">
        <v>3538</v>
      </c>
      <c r="S486" s="285">
        <v>2023</v>
      </c>
      <c r="T486" s="270" t="s">
        <v>2001</v>
      </c>
      <c r="U486" s="270" t="s">
        <v>678</v>
      </c>
      <c r="V486" s="270" t="s">
        <v>679</v>
      </c>
      <c r="W486" s="270" t="s">
        <v>145</v>
      </c>
      <c r="X486" s="270" t="s">
        <v>309</v>
      </c>
      <c r="Y486" s="273">
        <v>45078</v>
      </c>
      <c r="Z486" s="288" t="s">
        <v>1875</v>
      </c>
      <c r="AA486" s="288" t="s">
        <v>2479</v>
      </c>
      <c r="AB486" s="288" t="s">
        <v>139</v>
      </c>
      <c r="AC486" s="288" t="s">
        <v>1875</v>
      </c>
      <c r="AD486" s="288" t="s">
        <v>1805</v>
      </c>
      <c r="AE486" s="288" t="s">
        <v>1805</v>
      </c>
      <c r="AF486" s="288" t="s">
        <v>2479</v>
      </c>
      <c r="AG486" s="288" t="s">
        <v>2479</v>
      </c>
      <c r="AH486" s="288" t="s">
        <v>2479</v>
      </c>
      <c r="AI486" s="288" t="s">
        <v>2479</v>
      </c>
      <c r="AJ486" s="303" t="s">
        <v>2191</v>
      </c>
      <c r="AK486" s="288" t="s">
        <v>2479</v>
      </c>
      <c r="AL486" s="303" t="s">
        <v>2190</v>
      </c>
      <c r="AM486" s="288" t="s">
        <v>1975</v>
      </c>
      <c r="AN486" s="207" t="b">
        <v>0</v>
      </c>
      <c r="AY486" s="288" t="s">
        <v>2479</v>
      </c>
      <c r="AZ486" s="288" t="s">
        <v>2479</v>
      </c>
      <c r="BA486" s="288" t="s">
        <v>373</v>
      </c>
      <c r="BB486" s="288" t="s">
        <v>1610</v>
      </c>
      <c r="BC486" s="288" t="s">
        <v>2192</v>
      </c>
    </row>
    <row r="487" spans="1:55" ht="45" customHeight="1">
      <c r="A487" s="271">
        <f>ROW()-1</f>
        <v>486</v>
      </c>
      <c r="B487" s="284" t="s">
        <v>2737</v>
      </c>
      <c r="C487" s="270" t="s">
        <v>3744</v>
      </c>
      <c r="D487" s="270" t="s">
        <v>8</v>
      </c>
      <c r="E487" s="270" t="s">
        <v>13</v>
      </c>
      <c r="F487" s="270" t="s">
        <v>1560</v>
      </c>
      <c r="G487" s="302">
        <v>45064</v>
      </c>
      <c r="K487" s="306">
        <v>45100</v>
      </c>
      <c r="L487" s="270" t="s">
        <v>117</v>
      </c>
      <c r="M487" s="270" t="s">
        <v>117</v>
      </c>
      <c r="N487" s="272" t="s">
        <v>122</v>
      </c>
      <c r="O487" s="270" t="s">
        <v>2479</v>
      </c>
      <c r="P487" s="270" t="s">
        <v>1554</v>
      </c>
      <c r="Q487" s="270" t="s">
        <v>2198</v>
      </c>
      <c r="R487" s="306">
        <v>45023.385312500002</v>
      </c>
      <c r="S487" s="285">
        <v>2023</v>
      </c>
      <c r="T487" s="270" t="s">
        <v>2194</v>
      </c>
      <c r="U487" s="270" t="s">
        <v>678</v>
      </c>
      <c r="V487" s="270" t="s">
        <v>679</v>
      </c>
      <c r="W487" s="270" t="s">
        <v>145</v>
      </c>
      <c r="X487" s="270" t="s">
        <v>309</v>
      </c>
      <c r="Y487" s="273">
        <v>45078</v>
      </c>
      <c r="Z487" s="288" t="s">
        <v>1875</v>
      </c>
      <c r="AA487" s="288" t="s">
        <v>2479</v>
      </c>
      <c r="AB487" s="288" t="s">
        <v>139</v>
      </c>
      <c r="AC487" s="288" t="s">
        <v>1875</v>
      </c>
      <c r="AD487" s="288" t="s">
        <v>1805</v>
      </c>
      <c r="AE487" s="288" t="s">
        <v>1805</v>
      </c>
      <c r="AF487" s="288" t="s">
        <v>2479</v>
      </c>
      <c r="AG487" s="288" t="s">
        <v>2479</v>
      </c>
      <c r="AH487" s="288" t="s">
        <v>2479</v>
      </c>
      <c r="AI487" s="288" t="s">
        <v>2479</v>
      </c>
      <c r="AJ487" s="303" t="s">
        <v>2191</v>
      </c>
      <c r="AK487" s="288" t="s">
        <v>2479</v>
      </c>
      <c r="AL487" s="303" t="s">
        <v>2190</v>
      </c>
      <c r="AM487" s="288" t="s">
        <v>1975</v>
      </c>
      <c r="AN487" s="207" t="b">
        <v>0</v>
      </c>
      <c r="AY487" s="288" t="s">
        <v>2479</v>
      </c>
      <c r="AZ487" s="288" t="s">
        <v>2479</v>
      </c>
      <c r="BA487" s="288" t="s">
        <v>373</v>
      </c>
      <c r="BB487" s="288" t="s">
        <v>139</v>
      </c>
      <c r="BC487" s="288" t="s">
        <v>4000</v>
      </c>
    </row>
    <row r="488" spans="1:55" ht="45" customHeight="1">
      <c r="A488" s="271">
        <f t="shared" si="7"/>
        <v>487</v>
      </c>
      <c r="B488" s="284" t="s">
        <v>2749</v>
      </c>
      <c r="C488" s="270" t="s">
        <v>3871</v>
      </c>
      <c r="D488" s="270" t="s">
        <v>8</v>
      </c>
      <c r="E488" s="270" t="s">
        <v>13</v>
      </c>
      <c r="F488" s="270" t="s">
        <v>1560</v>
      </c>
      <c r="G488" s="302">
        <v>45082</v>
      </c>
      <c r="L488" s="270" t="s">
        <v>2479</v>
      </c>
      <c r="M488" s="270" t="s">
        <v>2479</v>
      </c>
      <c r="N488" s="272" t="s">
        <v>122</v>
      </c>
      <c r="O488" s="270" t="s">
        <v>2479</v>
      </c>
      <c r="P488" s="270" t="s">
        <v>1555</v>
      </c>
      <c r="Q488" s="270" t="s">
        <v>2198</v>
      </c>
      <c r="R488" s="306">
        <v>44992.446979166663</v>
      </c>
      <c r="S488" s="285">
        <v>2023</v>
      </c>
      <c r="T488" s="270" t="s">
        <v>2001</v>
      </c>
      <c r="U488" s="270" t="s">
        <v>678</v>
      </c>
      <c r="V488" s="270" t="s">
        <v>679</v>
      </c>
      <c r="W488" s="270" t="s">
        <v>145</v>
      </c>
      <c r="X488" s="270" t="s">
        <v>309</v>
      </c>
      <c r="Y488" s="273">
        <v>45078</v>
      </c>
      <c r="Z488" s="288" t="s">
        <v>1875</v>
      </c>
      <c r="AA488" s="288" t="s">
        <v>2479</v>
      </c>
      <c r="AB488" s="288" t="s">
        <v>139</v>
      </c>
      <c r="AC488" s="288" t="s">
        <v>1875</v>
      </c>
      <c r="AD488" s="288" t="s">
        <v>1805</v>
      </c>
      <c r="AE488" s="288" t="s">
        <v>1805</v>
      </c>
      <c r="AF488" s="288" t="s">
        <v>2479</v>
      </c>
      <c r="AG488" s="288" t="s">
        <v>2479</v>
      </c>
      <c r="AH488" s="288" t="s">
        <v>2479</v>
      </c>
      <c r="AI488" s="288" t="s">
        <v>2479</v>
      </c>
      <c r="AJ488" s="303" t="s">
        <v>2191</v>
      </c>
      <c r="AK488" s="288" t="s">
        <v>2479</v>
      </c>
      <c r="AL488" s="303" t="s">
        <v>2190</v>
      </c>
      <c r="AM488" s="288" t="s">
        <v>1975</v>
      </c>
      <c r="AN488" s="207" t="b">
        <v>0</v>
      </c>
      <c r="AY488" s="288" t="s">
        <v>2479</v>
      </c>
      <c r="AZ488" s="288" t="s">
        <v>2479</v>
      </c>
      <c r="BA488" s="288" t="s">
        <v>373</v>
      </c>
      <c r="BB488" s="288" t="s">
        <v>139</v>
      </c>
      <c r="BC488" s="288" t="s">
        <v>2192</v>
      </c>
    </row>
    <row r="489" spans="1:55" ht="45" customHeight="1">
      <c r="A489" s="271">
        <f t="shared" si="7"/>
        <v>488</v>
      </c>
      <c r="B489" s="284" t="s">
        <v>2677</v>
      </c>
      <c r="C489" s="270" t="s">
        <v>3874</v>
      </c>
      <c r="D489" s="270" t="s">
        <v>8</v>
      </c>
      <c r="E489" s="270" t="s">
        <v>13</v>
      </c>
      <c r="F489" s="270" t="s">
        <v>1560</v>
      </c>
      <c r="G489" s="302">
        <v>45082</v>
      </c>
      <c r="L489" s="270" t="s">
        <v>2479</v>
      </c>
      <c r="M489" s="270" t="s">
        <v>2479</v>
      </c>
      <c r="N489" s="272" t="s">
        <v>122</v>
      </c>
      <c r="O489" s="270" t="s">
        <v>2479</v>
      </c>
      <c r="P489" s="270" t="s">
        <v>1555</v>
      </c>
      <c r="Q489" s="270" t="s">
        <v>2198</v>
      </c>
      <c r="R489" s="306">
        <v>44992.449479166666</v>
      </c>
      <c r="S489" s="285">
        <v>2023</v>
      </c>
      <c r="T489" s="270" t="s">
        <v>2001</v>
      </c>
      <c r="U489" s="270" t="s">
        <v>678</v>
      </c>
      <c r="V489" s="270" t="s">
        <v>679</v>
      </c>
      <c r="W489" s="270" t="s">
        <v>145</v>
      </c>
      <c r="X489" s="270" t="s">
        <v>309</v>
      </c>
      <c r="Y489" s="273">
        <v>45078</v>
      </c>
      <c r="Z489" s="288" t="s">
        <v>1875</v>
      </c>
      <c r="AA489" s="288" t="s">
        <v>2479</v>
      </c>
      <c r="AB489" s="288" t="s">
        <v>139</v>
      </c>
      <c r="AC489" s="288" t="s">
        <v>1875</v>
      </c>
      <c r="AD489" s="288" t="s">
        <v>1805</v>
      </c>
      <c r="AE489" s="288" t="s">
        <v>1805</v>
      </c>
      <c r="AF489" s="288" t="s">
        <v>2479</v>
      </c>
      <c r="AG489" s="288" t="s">
        <v>2479</v>
      </c>
      <c r="AH489" s="288" t="s">
        <v>2479</v>
      </c>
      <c r="AI489" s="288" t="s">
        <v>2479</v>
      </c>
      <c r="AJ489" s="303" t="s">
        <v>2191</v>
      </c>
      <c r="AK489" s="288" t="s">
        <v>2479</v>
      </c>
      <c r="AL489" s="303" t="s">
        <v>2190</v>
      </c>
      <c r="AM489" s="288" t="s">
        <v>1975</v>
      </c>
      <c r="AN489" s="207" t="b">
        <v>0</v>
      </c>
      <c r="AY489" s="288" t="s">
        <v>2479</v>
      </c>
      <c r="AZ489" s="288" t="s">
        <v>2479</v>
      </c>
      <c r="BA489" s="288" t="s">
        <v>373</v>
      </c>
      <c r="BB489" s="288" t="s">
        <v>139</v>
      </c>
      <c r="BC489" s="288" t="s">
        <v>2192</v>
      </c>
    </row>
    <row r="490" spans="1:55" ht="45" customHeight="1">
      <c r="A490" s="271">
        <f t="shared" si="7"/>
        <v>489</v>
      </c>
      <c r="B490" s="276" t="s">
        <v>2662</v>
      </c>
      <c r="C490" s="277" t="s">
        <v>2663</v>
      </c>
      <c r="D490" s="277" t="s">
        <v>8</v>
      </c>
      <c r="E490" s="277" t="s">
        <v>13</v>
      </c>
      <c r="F490" s="277" t="s">
        <v>1561</v>
      </c>
      <c r="G490" s="307">
        <v>44445</v>
      </c>
      <c r="H490" s="308"/>
      <c r="I490" s="308"/>
      <c r="J490" s="277"/>
      <c r="K490" s="279"/>
      <c r="L490" s="277" t="s">
        <v>2479</v>
      </c>
      <c r="M490" s="277" t="s">
        <v>2479</v>
      </c>
      <c r="N490" s="277" t="s">
        <v>126</v>
      </c>
      <c r="O490" s="277" t="s">
        <v>2479</v>
      </c>
      <c r="P490" s="277" t="s">
        <v>1554</v>
      </c>
      <c r="Q490" s="277" t="s">
        <v>2198</v>
      </c>
      <c r="R490" s="279">
        <v>44630.44427083333</v>
      </c>
      <c r="S490" s="286">
        <v>2021</v>
      </c>
      <c r="T490" s="277" t="s">
        <v>2001</v>
      </c>
      <c r="U490" s="277" t="s">
        <v>678</v>
      </c>
      <c r="V490" s="277" t="s">
        <v>679</v>
      </c>
      <c r="W490" s="277" t="s">
        <v>145</v>
      </c>
      <c r="X490" s="277" t="s">
        <v>309</v>
      </c>
      <c r="Y490" s="278">
        <v>45078</v>
      </c>
      <c r="Z490" s="287" t="s">
        <v>1875</v>
      </c>
      <c r="AA490" s="287" t="s">
        <v>2479</v>
      </c>
      <c r="AB490" s="287" t="s">
        <v>139</v>
      </c>
      <c r="AC490" s="287" t="s">
        <v>1875</v>
      </c>
      <c r="AD490" s="287" t="s">
        <v>1805</v>
      </c>
      <c r="AE490" s="287" t="s">
        <v>1805</v>
      </c>
      <c r="AF490" s="287" t="s">
        <v>2479</v>
      </c>
      <c r="AG490" s="287" t="s">
        <v>2479</v>
      </c>
      <c r="AH490" s="287" t="s">
        <v>2479</v>
      </c>
      <c r="AI490" s="287" t="s">
        <v>2479</v>
      </c>
      <c r="AJ490" s="304" t="s">
        <v>2191</v>
      </c>
      <c r="AK490" s="287" t="s">
        <v>2479</v>
      </c>
      <c r="AL490" s="304" t="s">
        <v>2190</v>
      </c>
      <c r="AM490" s="289" t="s">
        <v>1975</v>
      </c>
      <c r="AN490" s="281" t="b">
        <v>0</v>
      </c>
      <c r="AO490" s="305"/>
      <c r="AP490" s="291"/>
      <c r="AQ490" s="291"/>
      <c r="AR490" s="291"/>
      <c r="AS490" s="291"/>
      <c r="AT490" s="291"/>
      <c r="AU490" s="291"/>
      <c r="AV490" s="305"/>
      <c r="AW490" s="281"/>
      <c r="AX490" s="281"/>
      <c r="AY490" s="289" t="s">
        <v>2479</v>
      </c>
      <c r="AZ490" s="289" t="s">
        <v>2479</v>
      </c>
      <c r="BA490" s="289" t="s">
        <v>373</v>
      </c>
      <c r="BB490" s="289" t="s">
        <v>1610</v>
      </c>
      <c r="BC490" s="292" t="s">
        <v>2192</v>
      </c>
    </row>
    <row r="491" spans="1:55" ht="45" customHeight="1">
      <c r="A491" s="271">
        <f t="shared" si="7"/>
        <v>490</v>
      </c>
      <c r="B491" s="276" t="s">
        <v>2664</v>
      </c>
      <c r="C491" s="277" t="s">
        <v>2665</v>
      </c>
      <c r="D491" s="277" t="s">
        <v>8</v>
      </c>
      <c r="E491" s="277" t="s">
        <v>13</v>
      </c>
      <c r="F491" s="277" t="s">
        <v>1561</v>
      </c>
      <c r="G491" s="307">
        <v>44461</v>
      </c>
      <c r="H491" s="308"/>
      <c r="I491" s="308"/>
      <c r="J491" s="277"/>
      <c r="K491" s="279"/>
      <c r="L491" s="277" t="s">
        <v>2479</v>
      </c>
      <c r="M491" s="277" t="s">
        <v>2479</v>
      </c>
      <c r="N491" s="277" t="s">
        <v>126</v>
      </c>
      <c r="O491" s="277" t="s">
        <v>2479</v>
      </c>
      <c r="P491" s="277" t="s">
        <v>1554</v>
      </c>
      <c r="Q491" s="277" t="s">
        <v>2198</v>
      </c>
      <c r="R491" s="279">
        <v>44959.455381944441</v>
      </c>
      <c r="S491" s="286">
        <v>2021</v>
      </c>
      <c r="T491" s="277" t="s">
        <v>2001</v>
      </c>
      <c r="U491" s="277" t="s">
        <v>678</v>
      </c>
      <c r="V491" s="277" t="s">
        <v>679</v>
      </c>
      <c r="W491" s="277" t="s">
        <v>145</v>
      </c>
      <c r="X491" s="277" t="s">
        <v>309</v>
      </c>
      <c r="Y491" s="278">
        <v>45078</v>
      </c>
      <c r="Z491" s="287" t="s">
        <v>1875</v>
      </c>
      <c r="AA491" s="287" t="s">
        <v>2873</v>
      </c>
      <c r="AB491" s="287" t="s">
        <v>139</v>
      </c>
      <c r="AC491" s="287" t="s">
        <v>1875</v>
      </c>
      <c r="AD491" s="287" t="s">
        <v>1805</v>
      </c>
      <c r="AE491" s="287" t="s">
        <v>1805</v>
      </c>
      <c r="AF491" s="366" t="s">
        <v>3033</v>
      </c>
      <c r="AG491" s="287" t="s">
        <v>3034</v>
      </c>
      <c r="AH491" s="287" t="s">
        <v>2479</v>
      </c>
      <c r="AI491" s="287" t="s">
        <v>3035</v>
      </c>
      <c r="AJ491" s="304">
        <v>44964</v>
      </c>
      <c r="AK491" s="287" t="s">
        <v>3036</v>
      </c>
      <c r="AL491" s="304">
        <v>44437</v>
      </c>
      <c r="AM491" s="289" t="s">
        <v>1975</v>
      </c>
      <c r="AN491" s="281" t="b">
        <v>1</v>
      </c>
      <c r="AO491" s="305">
        <v>44467</v>
      </c>
      <c r="AP491" s="291">
        <v>1</v>
      </c>
      <c r="AQ491" s="291">
        <v>0</v>
      </c>
      <c r="AR491" s="291">
        <v>0</v>
      </c>
      <c r="AS491" s="291">
        <v>1</v>
      </c>
      <c r="AT491" s="291">
        <v>0</v>
      </c>
      <c r="AU491" s="291">
        <v>14</v>
      </c>
      <c r="AV491" s="305">
        <v>44945</v>
      </c>
      <c r="AW491" s="281">
        <v>23</v>
      </c>
      <c r="AX491" s="281">
        <v>6</v>
      </c>
      <c r="AY491" s="289" t="s">
        <v>1989</v>
      </c>
      <c r="AZ491" s="289" t="s">
        <v>2479</v>
      </c>
      <c r="BA491" s="289" t="s">
        <v>373</v>
      </c>
      <c r="BB491" s="289" t="s">
        <v>1610</v>
      </c>
      <c r="BC491" s="292" t="s">
        <v>2192</v>
      </c>
    </row>
    <row r="492" spans="1:55" ht="45" customHeight="1">
      <c r="A492" s="271">
        <f t="shared" si="7"/>
        <v>491</v>
      </c>
      <c r="B492" s="276" t="s">
        <v>2684</v>
      </c>
      <c r="C492" s="277" t="s">
        <v>2685</v>
      </c>
      <c r="D492" s="277" t="s">
        <v>8</v>
      </c>
      <c r="E492" s="277" t="s">
        <v>13</v>
      </c>
      <c r="F492" s="277" t="s">
        <v>1561</v>
      </c>
      <c r="G492" s="307">
        <v>44632</v>
      </c>
      <c r="H492" s="308"/>
      <c r="I492" s="308"/>
      <c r="J492" s="277"/>
      <c r="K492" s="279"/>
      <c r="L492" s="277" t="s">
        <v>2479</v>
      </c>
      <c r="M492" s="277" t="s">
        <v>2479</v>
      </c>
      <c r="N492" s="277" t="s">
        <v>126</v>
      </c>
      <c r="O492" s="277" t="s">
        <v>2479</v>
      </c>
      <c r="P492" s="277" t="s">
        <v>1554</v>
      </c>
      <c r="Q492" s="277" t="s">
        <v>2198</v>
      </c>
      <c r="R492" s="279">
        <v>44630.449629629627</v>
      </c>
      <c r="S492" s="286">
        <v>2022</v>
      </c>
      <c r="T492" s="277" t="s">
        <v>2001</v>
      </c>
      <c r="U492" s="277" t="s">
        <v>678</v>
      </c>
      <c r="V492" s="277" t="s">
        <v>679</v>
      </c>
      <c r="W492" s="277" t="s">
        <v>145</v>
      </c>
      <c r="X492" s="277" t="s">
        <v>309</v>
      </c>
      <c r="Y492" s="278">
        <v>45078</v>
      </c>
      <c r="Z492" s="287" t="s">
        <v>1875</v>
      </c>
      <c r="AA492" s="287" t="s">
        <v>2479</v>
      </c>
      <c r="AB492" s="287" t="s">
        <v>139</v>
      </c>
      <c r="AC492" s="287" t="s">
        <v>1875</v>
      </c>
      <c r="AD492" s="287" t="s">
        <v>1805</v>
      </c>
      <c r="AE492" s="287" t="s">
        <v>1805</v>
      </c>
      <c r="AF492" s="287" t="s">
        <v>2479</v>
      </c>
      <c r="AG492" s="287" t="s">
        <v>2479</v>
      </c>
      <c r="AH492" s="287" t="s">
        <v>2479</v>
      </c>
      <c r="AI492" s="287" t="s">
        <v>2479</v>
      </c>
      <c r="AJ492" s="304" t="s">
        <v>2191</v>
      </c>
      <c r="AK492" s="287" t="s">
        <v>2479</v>
      </c>
      <c r="AL492" s="304" t="s">
        <v>2190</v>
      </c>
      <c r="AM492" s="289" t="s">
        <v>1975</v>
      </c>
      <c r="AN492" s="281" t="b">
        <v>0</v>
      </c>
      <c r="AO492" s="305"/>
      <c r="AP492" s="291"/>
      <c r="AQ492" s="291"/>
      <c r="AR492" s="291"/>
      <c r="AS492" s="291"/>
      <c r="AT492" s="291"/>
      <c r="AU492" s="291"/>
      <c r="AV492" s="305"/>
      <c r="AW492" s="281"/>
      <c r="AX492" s="281"/>
      <c r="AY492" s="289" t="s">
        <v>2479</v>
      </c>
      <c r="AZ492" s="289" t="s">
        <v>2479</v>
      </c>
      <c r="BA492" s="289" t="s">
        <v>373</v>
      </c>
      <c r="BB492" s="289" t="s">
        <v>1610</v>
      </c>
      <c r="BC492" s="292" t="s">
        <v>2192</v>
      </c>
    </row>
    <row r="493" spans="1:55" ht="45" customHeight="1">
      <c r="A493" s="271">
        <f t="shared" si="7"/>
        <v>492</v>
      </c>
      <c r="B493" s="276" t="s">
        <v>2680</v>
      </c>
      <c r="C493" s="277" t="s">
        <v>2689</v>
      </c>
      <c r="D493" s="277" t="s">
        <v>8</v>
      </c>
      <c r="E493" s="277" t="s">
        <v>13</v>
      </c>
      <c r="F493" s="277" t="s">
        <v>1561</v>
      </c>
      <c r="G493" s="307">
        <v>44744</v>
      </c>
      <c r="H493" s="308"/>
      <c r="I493" s="308"/>
      <c r="J493" s="277"/>
      <c r="K493" s="279"/>
      <c r="L493" s="277" t="s">
        <v>2479</v>
      </c>
      <c r="M493" s="277" t="s">
        <v>2479</v>
      </c>
      <c r="N493" s="277" t="s">
        <v>126</v>
      </c>
      <c r="O493" s="277" t="s">
        <v>2479</v>
      </c>
      <c r="P493" s="277" t="s">
        <v>1554</v>
      </c>
      <c r="Q493" s="277" t="s">
        <v>2198</v>
      </c>
      <c r="R493" s="279">
        <v>44630.45108796296</v>
      </c>
      <c r="S493" s="286">
        <v>2022</v>
      </c>
      <c r="T493" s="277" t="s">
        <v>2001</v>
      </c>
      <c r="U493" s="277" t="s">
        <v>678</v>
      </c>
      <c r="V493" s="277" t="s">
        <v>679</v>
      </c>
      <c r="W493" s="277" t="s">
        <v>145</v>
      </c>
      <c r="X493" s="277" t="s">
        <v>309</v>
      </c>
      <c r="Y493" s="278">
        <v>45078</v>
      </c>
      <c r="Z493" s="287" t="s">
        <v>1875</v>
      </c>
      <c r="AA493" s="287" t="s">
        <v>2479</v>
      </c>
      <c r="AB493" s="287" t="s">
        <v>139</v>
      </c>
      <c r="AC493" s="287" t="s">
        <v>1875</v>
      </c>
      <c r="AD493" s="287" t="s">
        <v>1805</v>
      </c>
      <c r="AE493" s="287" t="s">
        <v>1805</v>
      </c>
      <c r="AF493" s="287" t="s">
        <v>2479</v>
      </c>
      <c r="AG493" s="287" t="s">
        <v>2479</v>
      </c>
      <c r="AH493" s="287" t="s">
        <v>2479</v>
      </c>
      <c r="AI493" s="287" t="s">
        <v>2479</v>
      </c>
      <c r="AJ493" s="304" t="s">
        <v>2191</v>
      </c>
      <c r="AK493" s="287" t="s">
        <v>2479</v>
      </c>
      <c r="AL493" s="304" t="s">
        <v>2190</v>
      </c>
      <c r="AM493" s="289" t="s">
        <v>1975</v>
      </c>
      <c r="AN493" s="281" t="b">
        <v>0</v>
      </c>
      <c r="AO493" s="305"/>
      <c r="AP493" s="291"/>
      <c r="AQ493" s="291"/>
      <c r="AR493" s="291"/>
      <c r="AS493" s="291"/>
      <c r="AT493" s="291"/>
      <c r="AU493" s="291"/>
      <c r="AV493" s="305"/>
      <c r="AW493" s="281"/>
      <c r="AX493" s="281"/>
      <c r="AY493" s="289" t="s">
        <v>2479</v>
      </c>
      <c r="AZ493" s="289" t="s">
        <v>2479</v>
      </c>
      <c r="BA493" s="289" t="s">
        <v>373</v>
      </c>
      <c r="BB493" s="289" t="s">
        <v>1610</v>
      </c>
      <c r="BC493" s="292" t="s">
        <v>2192</v>
      </c>
    </row>
    <row r="494" spans="1:55" ht="45" customHeight="1">
      <c r="A494" s="271">
        <f t="shared" si="7"/>
        <v>493</v>
      </c>
      <c r="B494" s="284" t="s">
        <v>3236</v>
      </c>
      <c r="C494" s="270" t="s">
        <v>3212</v>
      </c>
      <c r="D494" s="270" t="s">
        <v>8</v>
      </c>
      <c r="E494" s="270" t="s">
        <v>13</v>
      </c>
      <c r="F494" s="270" t="s">
        <v>1561</v>
      </c>
      <c r="G494" s="302">
        <v>44910</v>
      </c>
      <c r="L494" s="270" t="s">
        <v>2479</v>
      </c>
      <c r="M494" s="270" t="s">
        <v>2479</v>
      </c>
      <c r="N494" s="272" t="s">
        <v>122</v>
      </c>
      <c r="O494" s="270" t="s">
        <v>2479</v>
      </c>
      <c r="P494" s="270" t="s">
        <v>1554</v>
      </c>
      <c r="Q494" s="270" t="s">
        <v>2198</v>
      </c>
      <c r="R494" s="306">
        <v>44959.447222222225</v>
      </c>
      <c r="S494" s="285">
        <v>2022</v>
      </c>
      <c r="T494" s="270" t="s">
        <v>2001</v>
      </c>
      <c r="U494" s="270" t="s">
        <v>678</v>
      </c>
      <c r="V494" s="270" t="s">
        <v>679</v>
      </c>
      <c r="W494" s="270" t="s">
        <v>145</v>
      </c>
      <c r="X494" s="270" t="s">
        <v>309</v>
      </c>
      <c r="Y494" s="273">
        <v>45078</v>
      </c>
      <c r="Z494" s="288" t="s">
        <v>1875</v>
      </c>
      <c r="AA494" s="288" t="s">
        <v>2886</v>
      </c>
      <c r="AB494" s="288" t="s">
        <v>139</v>
      </c>
      <c r="AC494" s="288" t="s">
        <v>1875</v>
      </c>
      <c r="AD494" s="288" t="s">
        <v>1805</v>
      </c>
      <c r="AE494" s="288" t="s">
        <v>1805</v>
      </c>
      <c r="AF494" s="288" t="s">
        <v>3013</v>
      </c>
      <c r="AG494" s="288" t="s">
        <v>2479</v>
      </c>
      <c r="AH494" s="288" t="s">
        <v>2479</v>
      </c>
      <c r="AI494" s="288" t="s">
        <v>3387</v>
      </c>
      <c r="AJ494" s="303">
        <v>44967</v>
      </c>
      <c r="AK494" s="288" t="s">
        <v>3388</v>
      </c>
      <c r="AL494" s="303">
        <v>44863</v>
      </c>
      <c r="AM494" s="288" t="s">
        <v>1975</v>
      </c>
      <c r="AN494" s="207" t="b">
        <v>1</v>
      </c>
      <c r="AO494" s="303">
        <v>44890</v>
      </c>
      <c r="AP494" s="290">
        <v>1</v>
      </c>
      <c r="AQ494" s="290">
        <v>0</v>
      </c>
      <c r="AR494" s="290">
        <v>0</v>
      </c>
      <c r="AS494" s="290">
        <v>1</v>
      </c>
      <c r="AT494" s="290">
        <v>0</v>
      </c>
      <c r="AU494" s="290">
        <v>17</v>
      </c>
      <c r="AV494" s="303">
        <v>44953</v>
      </c>
      <c r="AW494" s="207">
        <v>4</v>
      </c>
      <c r="AX494" s="207">
        <v>2</v>
      </c>
      <c r="AY494" s="288" t="s">
        <v>1989</v>
      </c>
      <c r="AZ494" s="288" t="s">
        <v>2479</v>
      </c>
      <c r="BA494" s="288" t="s">
        <v>373</v>
      </c>
      <c r="BB494" s="288" t="s">
        <v>1610</v>
      </c>
      <c r="BC494" s="288" t="s">
        <v>2192</v>
      </c>
    </row>
    <row r="495" spans="1:55" ht="45" customHeight="1">
      <c r="A495" s="271">
        <f t="shared" si="7"/>
        <v>494</v>
      </c>
      <c r="B495" s="284" t="s">
        <v>3251</v>
      </c>
      <c r="C495" s="270" t="s">
        <v>3252</v>
      </c>
      <c r="D495" s="270" t="s">
        <v>8</v>
      </c>
      <c r="E495" s="270" t="s">
        <v>13</v>
      </c>
      <c r="F495" s="270" t="s">
        <v>1561</v>
      </c>
      <c r="G495" s="302">
        <v>44954</v>
      </c>
      <c r="L495" s="270" t="s">
        <v>2479</v>
      </c>
      <c r="M495" s="270" t="s">
        <v>2479</v>
      </c>
      <c r="N495" s="272" t="s">
        <v>122</v>
      </c>
      <c r="O495" s="270" t="s">
        <v>2479</v>
      </c>
      <c r="P495" s="270" t="s">
        <v>1554</v>
      </c>
      <c r="Q495" s="270" t="s">
        <v>2198</v>
      </c>
      <c r="R495" s="306" t="s">
        <v>3253</v>
      </c>
      <c r="S495" s="285">
        <v>2023</v>
      </c>
      <c r="T495" s="270" t="s">
        <v>2001</v>
      </c>
      <c r="U495" s="270" t="s">
        <v>678</v>
      </c>
      <c r="V495" s="270" t="s">
        <v>679</v>
      </c>
      <c r="W495" s="270" t="s">
        <v>145</v>
      </c>
      <c r="X495" s="270" t="s">
        <v>309</v>
      </c>
      <c r="Y495" s="273">
        <v>45078</v>
      </c>
      <c r="Z495" s="288" t="s">
        <v>1875</v>
      </c>
      <c r="AA495" s="288" t="s">
        <v>2886</v>
      </c>
      <c r="AB495" s="288" t="s">
        <v>139</v>
      </c>
      <c r="AC495" s="288" t="s">
        <v>1875</v>
      </c>
      <c r="AD495" s="288" t="s">
        <v>1805</v>
      </c>
      <c r="AE495" s="288" t="s">
        <v>1805</v>
      </c>
      <c r="AF495" s="288" t="s">
        <v>2479</v>
      </c>
      <c r="AG495" s="288" t="s">
        <v>2479</v>
      </c>
      <c r="AH495" s="288" t="s">
        <v>2479</v>
      </c>
      <c r="AI495" s="288" t="s">
        <v>3254</v>
      </c>
      <c r="AJ495" s="303" t="s">
        <v>2191</v>
      </c>
      <c r="AK495" s="288" t="s">
        <v>3255</v>
      </c>
      <c r="AL495" s="303">
        <v>44905</v>
      </c>
      <c r="AM495" s="288" t="s">
        <v>1975</v>
      </c>
      <c r="AN495" s="207" t="b">
        <v>0</v>
      </c>
      <c r="AY495" s="288" t="s">
        <v>2479</v>
      </c>
      <c r="AZ495" s="288" t="s">
        <v>2479</v>
      </c>
      <c r="BA495" s="288" t="s">
        <v>373</v>
      </c>
      <c r="BB495" s="288" t="s">
        <v>1610</v>
      </c>
      <c r="BC495" s="288" t="s">
        <v>2192</v>
      </c>
    </row>
    <row r="496" spans="1:55" ht="45" customHeight="1">
      <c r="A496" s="271">
        <f t="shared" si="7"/>
        <v>495</v>
      </c>
      <c r="B496" s="284" t="s">
        <v>2692</v>
      </c>
      <c r="C496" s="270" t="s">
        <v>2671</v>
      </c>
      <c r="D496" s="270" t="s">
        <v>8</v>
      </c>
      <c r="E496" s="270" t="s">
        <v>13</v>
      </c>
      <c r="F496" s="270" t="s">
        <v>1561</v>
      </c>
      <c r="G496" s="302">
        <v>44984</v>
      </c>
      <c r="L496" s="270" t="s">
        <v>2479</v>
      </c>
      <c r="M496" s="270" t="s">
        <v>2479</v>
      </c>
      <c r="N496" s="272" t="s">
        <v>122</v>
      </c>
      <c r="O496" s="270" t="s">
        <v>2479</v>
      </c>
      <c r="P496" s="270" t="s">
        <v>1554</v>
      </c>
      <c r="Q496" s="270" t="s">
        <v>2198</v>
      </c>
      <c r="R496" s="306">
        <v>44929.446909722225</v>
      </c>
      <c r="S496" s="285">
        <v>2023</v>
      </c>
      <c r="T496" s="270" t="s">
        <v>2001</v>
      </c>
      <c r="U496" s="270" t="s">
        <v>678</v>
      </c>
      <c r="V496" s="270" t="s">
        <v>679</v>
      </c>
      <c r="W496" s="270" t="s">
        <v>145</v>
      </c>
      <c r="X496" s="270" t="s">
        <v>309</v>
      </c>
      <c r="Y496" s="273">
        <v>45078</v>
      </c>
      <c r="Z496" s="288" t="s">
        <v>1875</v>
      </c>
      <c r="AA496" s="288" t="s">
        <v>2886</v>
      </c>
      <c r="AB496" s="288" t="s">
        <v>139</v>
      </c>
      <c r="AC496" s="288" t="s">
        <v>1875</v>
      </c>
      <c r="AD496" s="288" t="s">
        <v>1805</v>
      </c>
      <c r="AE496" s="288" t="s">
        <v>1805</v>
      </c>
      <c r="AF496" s="288" t="s">
        <v>3013</v>
      </c>
      <c r="AG496" s="288" t="s">
        <v>2479</v>
      </c>
      <c r="AH496" s="288" t="s">
        <v>2479</v>
      </c>
      <c r="AI496" s="288" t="s">
        <v>2897</v>
      </c>
      <c r="AJ496" s="303">
        <v>45729</v>
      </c>
      <c r="AK496" s="288" t="s">
        <v>2993</v>
      </c>
      <c r="AL496" s="303">
        <v>44950</v>
      </c>
      <c r="AM496" s="288" t="s">
        <v>1975</v>
      </c>
      <c r="AN496" s="207" t="b">
        <v>1</v>
      </c>
      <c r="AO496" s="303">
        <v>44971</v>
      </c>
      <c r="AP496" s="290">
        <v>1</v>
      </c>
      <c r="AQ496" s="290">
        <v>0</v>
      </c>
      <c r="AR496" s="290">
        <v>0</v>
      </c>
      <c r="AS496" s="290">
        <v>1</v>
      </c>
      <c r="AT496" s="290">
        <v>0</v>
      </c>
      <c r="AU496" s="290">
        <v>24</v>
      </c>
      <c r="AV496" s="303">
        <v>44984</v>
      </c>
      <c r="AW496" s="207">
        <v>1</v>
      </c>
      <c r="AX496" s="207">
        <v>1</v>
      </c>
      <c r="AY496" s="288" t="s">
        <v>1989</v>
      </c>
      <c r="AZ496" s="288" t="s">
        <v>2479</v>
      </c>
      <c r="BA496" s="288" t="s">
        <v>373</v>
      </c>
      <c r="BB496" s="288" t="s">
        <v>1610</v>
      </c>
      <c r="BC496" s="288" t="s">
        <v>2192</v>
      </c>
    </row>
    <row r="497" spans="1:55" ht="45" customHeight="1">
      <c r="A497" s="271">
        <f t="shared" si="7"/>
        <v>496</v>
      </c>
      <c r="B497" s="284" t="s">
        <v>2643</v>
      </c>
      <c r="C497" s="270" t="s">
        <v>3652</v>
      </c>
      <c r="D497" s="270" t="s">
        <v>8</v>
      </c>
      <c r="E497" s="270" t="s">
        <v>13</v>
      </c>
      <c r="F497" s="270" t="s">
        <v>1561</v>
      </c>
      <c r="G497" s="302">
        <v>45023</v>
      </c>
      <c r="L497" s="270" t="s">
        <v>2479</v>
      </c>
      <c r="M497" s="270" t="s">
        <v>2479</v>
      </c>
      <c r="N497" s="272" t="s">
        <v>122</v>
      </c>
      <c r="O497" s="270" t="s">
        <v>2479</v>
      </c>
      <c r="P497" s="270" t="s">
        <v>1554</v>
      </c>
      <c r="Q497" s="270" t="s">
        <v>2198</v>
      </c>
      <c r="R497" s="306" t="s">
        <v>3653</v>
      </c>
      <c r="S497" s="285">
        <v>2023</v>
      </c>
      <c r="T497" s="270" t="s">
        <v>2001</v>
      </c>
      <c r="U497" s="270" t="s">
        <v>678</v>
      </c>
      <c r="V497" s="270" t="s">
        <v>679</v>
      </c>
      <c r="W497" s="270" t="s">
        <v>145</v>
      </c>
      <c r="X497" s="270" t="s">
        <v>309</v>
      </c>
      <c r="Y497" s="273">
        <v>45078</v>
      </c>
      <c r="Z497" s="288" t="s">
        <v>1875</v>
      </c>
      <c r="AA497" s="288" t="s">
        <v>2886</v>
      </c>
      <c r="AB497" s="288" t="s">
        <v>139</v>
      </c>
      <c r="AC497" s="288" t="s">
        <v>1875</v>
      </c>
      <c r="AD497" s="288" t="s">
        <v>1805</v>
      </c>
      <c r="AE497" s="288" t="s">
        <v>1805</v>
      </c>
      <c r="AF497" s="288" t="s">
        <v>2479</v>
      </c>
      <c r="AG497" s="288" t="s">
        <v>2479</v>
      </c>
      <c r="AH497" s="288" t="s">
        <v>3654</v>
      </c>
      <c r="AI497" s="288" t="s">
        <v>2479</v>
      </c>
      <c r="AJ497" s="303" t="s">
        <v>2191</v>
      </c>
      <c r="AK497" s="288" t="s">
        <v>3023</v>
      </c>
      <c r="AL497" s="303">
        <v>44960</v>
      </c>
      <c r="AM497" s="288" t="s">
        <v>1975</v>
      </c>
      <c r="AN497" s="207" t="b">
        <v>0</v>
      </c>
      <c r="AY497" s="288" t="s">
        <v>2479</v>
      </c>
      <c r="AZ497" s="288" t="s">
        <v>2479</v>
      </c>
      <c r="BA497" s="288" t="s">
        <v>373</v>
      </c>
      <c r="BB497" s="288" t="s">
        <v>1610</v>
      </c>
      <c r="BC497" s="288" t="s">
        <v>2192</v>
      </c>
    </row>
    <row r="498" spans="1:55" ht="45" customHeight="1">
      <c r="A498" s="271">
        <f t="shared" si="7"/>
        <v>497</v>
      </c>
      <c r="B498" s="284" t="s">
        <v>2732</v>
      </c>
      <c r="C498" s="270" t="s">
        <v>3655</v>
      </c>
      <c r="D498" s="270" t="s">
        <v>8</v>
      </c>
      <c r="E498" s="270" t="s">
        <v>13</v>
      </c>
      <c r="F498" s="270" t="s">
        <v>1561</v>
      </c>
      <c r="G498" s="302">
        <v>45027</v>
      </c>
      <c r="L498" s="270" t="s">
        <v>2479</v>
      </c>
      <c r="M498" s="270" t="s">
        <v>2479</v>
      </c>
      <c r="N498" s="272" t="s">
        <v>122</v>
      </c>
      <c r="O498" s="270" t="s">
        <v>2479</v>
      </c>
      <c r="P498" s="270" t="s">
        <v>1554</v>
      </c>
      <c r="Q498" s="270" t="s">
        <v>2198</v>
      </c>
      <c r="R498" s="306" t="s">
        <v>3656</v>
      </c>
      <c r="S498" s="285">
        <v>2023</v>
      </c>
      <c r="T498" s="270" t="s">
        <v>2001</v>
      </c>
      <c r="U498" s="270" t="s">
        <v>678</v>
      </c>
      <c r="V498" s="270" t="s">
        <v>679</v>
      </c>
      <c r="W498" s="270" t="s">
        <v>145</v>
      </c>
      <c r="X498" s="270" t="s">
        <v>309</v>
      </c>
      <c r="Y498" s="273">
        <v>45078</v>
      </c>
      <c r="Z498" s="288" t="s">
        <v>1875</v>
      </c>
      <c r="AA498" s="288" t="s">
        <v>2886</v>
      </c>
      <c r="AB498" s="288" t="s">
        <v>139</v>
      </c>
      <c r="AC498" s="288" t="s">
        <v>1875</v>
      </c>
      <c r="AD498" s="288" t="s">
        <v>1805</v>
      </c>
      <c r="AE498" s="288" t="s">
        <v>1805</v>
      </c>
      <c r="AF498" s="288" t="s">
        <v>2479</v>
      </c>
      <c r="AG498" s="288" t="s">
        <v>2479</v>
      </c>
      <c r="AH498" s="288" t="s">
        <v>2479</v>
      </c>
      <c r="AI498" s="288" t="s">
        <v>3657</v>
      </c>
      <c r="AJ498" s="303" t="s">
        <v>2191</v>
      </c>
      <c r="AK498" s="288" t="s">
        <v>3062</v>
      </c>
      <c r="AL498" s="303">
        <v>44961</v>
      </c>
      <c r="AM498" s="288" t="s">
        <v>1975</v>
      </c>
      <c r="AN498" s="207" t="b">
        <v>0</v>
      </c>
      <c r="AY498" s="288" t="s">
        <v>2479</v>
      </c>
      <c r="AZ498" s="288" t="s">
        <v>2479</v>
      </c>
      <c r="BA498" s="288" t="s">
        <v>373</v>
      </c>
      <c r="BB498" s="288" t="s">
        <v>1610</v>
      </c>
      <c r="BC498" s="288" t="s">
        <v>2192</v>
      </c>
    </row>
    <row r="499" spans="1:55" ht="45" customHeight="1">
      <c r="A499" s="271">
        <f t="shared" si="7"/>
        <v>498</v>
      </c>
      <c r="B499" s="284" t="s">
        <v>2684</v>
      </c>
      <c r="C499" s="270" t="s">
        <v>3742</v>
      </c>
      <c r="D499" s="270" t="s">
        <v>8</v>
      </c>
      <c r="E499" s="270" t="s">
        <v>13</v>
      </c>
      <c r="F499" s="270" t="s">
        <v>1561</v>
      </c>
      <c r="G499" s="302">
        <v>45054</v>
      </c>
      <c r="L499" s="270" t="s">
        <v>2479</v>
      </c>
      <c r="M499" s="270" t="s">
        <v>2479</v>
      </c>
      <c r="N499" s="272" t="s">
        <v>122</v>
      </c>
      <c r="O499" s="270" t="s">
        <v>2479</v>
      </c>
      <c r="P499" s="270" t="s">
        <v>1554</v>
      </c>
      <c r="Q499" s="270" t="s">
        <v>2198</v>
      </c>
      <c r="R499" s="306">
        <v>44932.454467592594</v>
      </c>
      <c r="S499" s="285">
        <v>2023</v>
      </c>
      <c r="T499" s="270" t="s">
        <v>2001</v>
      </c>
      <c r="U499" s="270" t="s">
        <v>678</v>
      </c>
      <c r="V499" s="270" t="s">
        <v>679</v>
      </c>
      <c r="W499" s="270" t="s">
        <v>145</v>
      </c>
      <c r="X499" s="270" t="s">
        <v>309</v>
      </c>
      <c r="Y499" s="273">
        <v>45078</v>
      </c>
      <c r="Z499" s="288" t="s">
        <v>1875</v>
      </c>
      <c r="AA499" s="288" t="s">
        <v>2479</v>
      </c>
      <c r="AB499" s="288" t="s">
        <v>139</v>
      </c>
      <c r="AC499" s="288" t="s">
        <v>1875</v>
      </c>
      <c r="AD499" s="288" t="s">
        <v>1805</v>
      </c>
      <c r="AE499" s="288" t="s">
        <v>1805</v>
      </c>
      <c r="AF499" s="288" t="s">
        <v>2479</v>
      </c>
      <c r="AG499" s="288" t="s">
        <v>2479</v>
      </c>
      <c r="AH499" s="288" t="s">
        <v>2479</v>
      </c>
      <c r="AI499" s="288" t="s">
        <v>2479</v>
      </c>
      <c r="AJ499" s="303" t="s">
        <v>2191</v>
      </c>
      <c r="AK499" s="288" t="s">
        <v>2479</v>
      </c>
      <c r="AL499" s="303" t="s">
        <v>2190</v>
      </c>
      <c r="AM499" s="288" t="s">
        <v>1975</v>
      </c>
      <c r="AN499" s="207" t="b">
        <v>0</v>
      </c>
      <c r="AY499" s="288" t="s">
        <v>2479</v>
      </c>
      <c r="AZ499" s="288" t="s">
        <v>2479</v>
      </c>
      <c r="BA499" s="288" t="s">
        <v>373</v>
      </c>
      <c r="BB499" s="288" t="s">
        <v>1610</v>
      </c>
      <c r="BC499" s="288" t="s">
        <v>2192</v>
      </c>
    </row>
    <row r="500" spans="1:55" ht="45" customHeight="1">
      <c r="A500" s="271">
        <f t="shared" si="7"/>
        <v>499</v>
      </c>
      <c r="B500" s="284" t="s">
        <v>2637</v>
      </c>
      <c r="C500" s="270" t="s">
        <v>3743</v>
      </c>
      <c r="D500" s="270" t="s">
        <v>8</v>
      </c>
      <c r="E500" s="270" t="s">
        <v>13</v>
      </c>
      <c r="F500" s="270" t="s">
        <v>1561</v>
      </c>
      <c r="G500" s="302">
        <v>45064</v>
      </c>
      <c r="L500" s="270" t="s">
        <v>2479</v>
      </c>
      <c r="M500" s="270" t="s">
        <v>2479</v>
      </c>
      <c r="N500" s="272" t="s">
        <v>122</v>
      </c>
      <c r="O500" s="270" t="s">
        <v>2479</v>
      </c>
      <c r="P500" s="270" t="s">
        <v>1554</v>
      </c>
      <c r="Q500" s="270" t="s">
        <v>2198</v>
      </c>
      <c r="R500" s="306">
        <v>44932.454953703702</v>
      </c>
      <c r="S500" s="285">
        <v>2023</v>
      </c>
      <c r="T500" s="270" t="s">
        <v>2001</v>
      </c>
      <c r="U500" s="270" t="s">
        <v>678</v>
      </c>
      <c r="V500" s="270" t="s">
        <v>679</v>
      </c>
      <c r="W500" s="270" t="s">
        <v>145</v>
      </c>
      <c r="X500" s="270" t="s">
        <v>309</v>
      </c>
      <c r="Y500" s="273">
        <v>45078</v>
      </c>
      <c r="Z500" s="288" t="s">
        <v>1875</v>
      </c>
      <c r="AA500" s="288" t="s">
        <v>2479</v>
      </c>
      <c r="AB500" s="288" t="s">
        <v>139</v>
      </c>
      <c r="AC500" s="288" t="s">
        <v>1875</v>
      </c>
      <c r="AD500" s="288" t="s">
        <v>1805</v>
      </c>
      <c r="AE500" s="288" t="s">
        <v>1805</v>
      </c>
      <c r="AF500" s="288" t="s">
        <v>2479</v>
      </c>
      <c r="AG500" s="288" t="s">
        <v>2479</v>
      </c>
      <c r="AH500" s="288" t="s">
        <v>2479</v>
      </c>
      <c r="AI500" s="288" t="s">
        <v>2479</v>
      </c>
      <c r="AJ500" s="303" t="s">
        <v>2191</v>
      </c>
      <c r="AK500" s="288" t="s">
        <v>2479</v>
      </c>
      <c r="AL500" s="303" t="s">
        <v>2190</v>
      </c>
      <c r="AM500" s="288" t="s">
        <v>1975</v>
      </c>
      <c r="AN500" s="207" t="b">
        <v>0</v>
      </c>
      <c r="AY500" s="288" t="s">
        <v>2479</v>
      </c>
      <c r="AZ500" s="288" t="s">
        <v>2479</v>
      </c>
      <c r="BA500" s="288" t="s">
        <v>373</v>
      </c>
      <c r="BB500" s="288" t="s">
        <v>1610</v>
      </c>
      <c r="BC500" s="288" t="s">
        <v>2192</v>
      </c>
    </row>
    <row r="501" spans="1:55" ht="45" customHeight="1">
      <c r="A501" s="271">
        <f t="shared" si="7"/>
        <v>500</v>
      </c>
      <c r="B501" s="284" t="s">
        <v>2743</v>
      </c>
      <c r="C501" s="270" t="s">
        <v>3747</v>
      </c>
      <c r="D501" s="270" t="s">
        <v>8</v>
      </c>
      <c r="E501" s="270" t="s">
        <v>13</v>
      </c>
      <c r="F501" s="270" t="s">
        <v>1561</v>
      </c>
      <c r="G501" s="302">
        <v>45068</v>
      </c>
      <c r="L501" s="270" t="s">
        <v>2479</v>
      </c>
      <c r="M501" s="270" t="s">
        <v>2479</v>
      </c>
      <c r="N501" s="272" t="s">
        <v>122</v>
      </c>
      <c r="O501" s="270" t="s">
        <v>2479</v>
      </c>
      <c r="P501" s="270" t="s">
        <v>1554</v>
      </c>
      <c r="Q501" s="270" t="s">
        <v>2198</v>
      </c>
      <c r="R501" s="306">
        <v>44932.456550925926</v>
      </c>
      <c r="S501" s="285">
        <v>2023</v>
      </c>
      <c r="T501" s="270" t="s">
        <v>2001</v>
      </c>
      <c r="U501" s="270" t="s">
        <v>678</v>
      </c>
      <c r="V501" s="270" t="s">
        <v>679</v>
      </c>
      <c r="W501" s="270" t="s">
        <v>145</v>
      </c>
      <c r="X501" s="270" t="s">
        <v>309</v>
      </c>
      <c r="Y501" s="273">
        <v>45078</v>
      </c>
      <c r="Z501" s="288" t="s">
        <v>1875</v>
      </c>
      <c r="AA501" s="288" t="s">
        <v>2479</v>
      </c>
      <c r="AB501" s="288" t="s">
        <v>139</v>
      </c>
      <c r="AC501" s="288" t="s">
        <v>1875</v>
      </c>
      <c r="AD501" s="288" t="s">
        <v>1805</v>
      </c>
      <c r="AE501" s="288" t="s">
        <v>1805</v>
      </c>
      <c r="AF501" s="288" t="s">
        <v>2479</v>
      </c>
      <c r="AG501" s="288" t="s">
        <v>2479</v>
      </c>
      <c r="AH501" s="288" t="s">
        <v>2479</v>
      </c>
      <c r="AI501" s="288" t="s">
        <v>2479</v>
      </c>
      <c r="AJ501" s="303" t="s">
        <v>2191</v>
      </c>
      <c r="AK501" s="288" t="s">
        <v>2479</v>
      </c>
      <c r="AL501" s="303" t="s">
        <v>2190</v>
      </c>
      <c r="AM501" s="288" t="s">
        <v>1975</v>
      </c>
      <c r="AN501" s="207" t="b">
        <v>0</v>
      </c>
      <c r="AY501" s="288" t="s">
        <v>2479</v>
      </c>
      <c r="AZ501" s="288" t="s">
        <v>2479</v>
      </c>
      <c r="BA501" s="288" t="s">
        <v>373</v>
      </c>
      <c r="BB501" s="288" t="s">
        <v>1610</v>
      </c>
      <c r="BC501" s="288" t="s">
        <v>2192</v>
      </c>
    </row>
    <row r="502" spans="1:55" ht="45" customHeight="1">
      <c r="A502" s="271">
        <f t="shared" si="7"/>
        <v>501</v>
      </c>
      <c r="B502" s="284" t="s">
        <v>2745</v>
      </c>
      <c r="C502" s="270" t="s">
        <v>3748</v>
      </c>
      <c r="D502" s="270" t="s">
        <v>8</v>
      </c>
      <c r="E502" s="270" t="s">
        <v>13</v>
      </c>
      <c r="F502" s="270" t="s">
        <v>1561</v>
      </c>
      <c r="G502" s="302">
        <v>45075</v>
      </c>
      <c r="L502" s="270" t="s">
        <v>2479</v>
      </c>
      <c r="M502" s="270" t="s">
        <v>2479</v>
      </c>
      <c r="N502" s="272" t="s">
        <v>122</v>
      </c>
      <c r="O502" s="270" t="s">
        <v>2479</v>
      </c>
      <c r="P502" s="270" t="s">
        <v>1554</v>
      </c>
      <c r="Q502" s="270" t="s">
        <v>2198</v>
      </c>
      <c r="R502" s="306">
        <v>44932.456932870373</v>
      </c>
      <c r="S502" s="285">
        <v>2023</v>
      </c>
      <c r="T502" s="270" t="s">
        <v>2001</v>
      </c>
      <c r="U502" s="270" t="s">
        <v>678</v>
      </c>
      <c r="V502" s="270" t="s">
        <v>679</v>
      </c>
      <c r="W502" s="270" t="s">
        <v>145</v>
      </c>
      <c r="X502" s="270" t="s">
        <v>309</v>
      </c>
      <c r="Y502" s="273">
        <v>45078</v>
      </c>
      <c r="Z502" s="288" t="s">
        <v>1875</v>
      </c>
      <c r="AA502" s="288" t="s">
        <v>2479</v>
      </c>
      <c r="AB502" s="288" t="s">
        <v>139</v>
      </c>
      <c r="AC502" s="288" t="s">
        <v>1875</v>
      </c>
      <c r="AD502" s="288" t="s">
        <v>1805</v>
      </c>
      <c r="AE502" s="288" t="s">
        <v>1805</v>
      </c>
      <c r="AF502" s="288" t="s">
        <v>2479</v>
      </c>
      <c r="AG502" s="288" t="s">
        <v>2479</v>
      </c>
      <c r="AH502" s="288" t="s">
        <v>2479</v>
      </c>
      <c r="AI502" s="288" t="s">
        <v>2479</v>
      </c>
      <c r="AJ502" s="303" t="s">
        <v>2191</v>
      </c>
      <c r="AK502" s="288" t="s">
        <v>2479</v>
      </c>
      <c r="AL502" s="303" t="s">
        <v>2190</v>
      </c>
      <c r="AM502" s="288" t="s">
        <v>1975</v>
      </c>
      <c r="AN502" s="207" t="b">
        <v>0</v>
      </c>
      <c r="AY502" s="288" t="s">
        <v>2479</v>
      </c>
      <c r="AZ502" s="288" t="s">
        <v>2479</v>
      </c>
      <c r="BA502" s="288" t="s">
        <v>373</v>
      </c>
      <c r="BB502" s="288" t="s">
        <v>1610</v>
      </c>
      <c r="BC502" s="288" t="s">
        <v>2192</v>
      </c>
    </row>
    <row r="503" spans="1:55" ht="45" customHeight="1">
      <c r="A503" s="271">
        <f t="shared" si="7"/>
        <v>502</v>
      </c>
      <c r="B503" s="284" t="s">
        <v>2695</v>
      </c>
      <c r="C503" s="270" t="s">
        <v>3877</v>
      </c>
      <c r="D503" s="270" t="s">
        <v>8</v>
      </c>
      <c r="E503" s="270" t="s">
        <v>13</v>
      </c>
      <c r="F503" s="270" t="s">
        <v>1561</v>
      </c>
      <c r="G503" s="302">
        <v>45087</v>
      </c>
      <c r="L503" s="270" t="s">
        <v>2479</v>
      </c>
      <c r="M503" s="270" t="s">
        <v>2479</v>
      </c>
      <c r="N503" s="272" t="s">
        <v>122</v>
      </c>
      <c r="O503" s="270" t="s">
        <v>2479</v>
      </c>
      <c r="P503" s="270" t="s">
        <v>1555</v>
      </c>
      <c r="Q503" s="270" t="s">
        <v>2198</v>
      </c>
      <c r="R503" s="306">
        <v>44992.452430555553</v>
      </c>
      <c r="S503" s="285">
        <v>2023</v>
      </c>
      <c r="T503" s="270" t="s">
        <v>2001</v>
      </c>
      <c r="U503" s="270" t="s">
        <v>678</v>
      </c>
      <c r="V503" s="270" t="s">
        <v>679</v>
      </c>
      <c r="W503" s="270" t="s">
        <v>145</v>
      </c>
      <c r="X503" s="270" t="s">
        <v>309</v>
      </c>
      <c r="Y503" s="273">
        <v>45078</v>
      </c>
      <c r="Z503" s="288" t="s">
        <v>1875</v>
      </c>
      <c r="AA503" s="288" t="s">
        <v>2479</v>
      </c>
      <c r="AB503" s="288" t="s">
        <v>139</v>
      </c>
      <c r="AC503" s="288" t="s">
        <v>1875</v>
      </c>
      <c r="AD503" s="288" t="s">
        <v>1805</v>
      </c>
      <c r="AE503" s="288" t="s">
        <v>1805</v>
      </c>
      <c r="AF503" s="288" t="s">
        <v>2479</v>
      </c>
      <c r="AG503" s="288" t="s">
        <v>2479</v>
      </c>
      <c r="AH503" s="288" t="s">
        <v>2479</v>
      </c>
      <c r="AI503" s="288" t="s">
        <v>2479</v>
      </c>
      <c r="AJ503" s="303" t="s">
        <v>2191</v>
      </c>
      <c r="AK503" s="288" t="s">
        <v>2479</v>
      </c>
      <c r="AL503" s="303" t="s">
        <v>2190</v>
      </c>
      <c r="AM503" s="288" t="s">
        <v>1975</v>
      </c>
      <c r="AN503" s="207" t="b">
        <v>0</v>
      </c>
      <c r="AY503" s="288" t="s">
        <v>2479</v>
      </c>
      <c r="AZ503" s="288" t="s">
        <v>2479</v>
      </c>
      <c r="BA503" s="288" t="s">
        <v>373</v>
      </c>
      <c r="BB503" s="288" t="s">
        <v>139</v>
      </c>
      <c r="BC503" s="288" t="s">
        <v>2192</v>
      </c>
    </row>
    <row r="504" spans="1:55" ht="45" customHeight="1">
      <c r="A504" s="271">
        <f t="shared" si="7"/>
        <v>503</v>
      </c>
      <c r="B504" s="276" t="s">
        <v>2690</v>
      </c>
      <c r="C504" s="277" t="s">
        <v>2691</v>
      </c>
      <c r="D504" s="277" t="s">
        <v>8</v>
      </c>
      <c r="E504" s="277" t="s">
        <v>13</v>
      </c>
      <c r="F504" s="277" t="s">
        <v>1558</v>
      </c>
      <c r="G504" s="307">
        <v>44666</v>
      </c>
      <c r="H504" s="308"/>
      <c r="I504" s="308"/>
      <c r="J504" s="277"/>
      <c r="K504" s="279"/>
      <c r="L504" s="277" t="s">
        <v>2479</v>
      </c>
      <c r="M504" s="277" t="s">
        <v>2479</v>
      </c>
      <c r="N504" s="277" t="s">
        <v>126</v>
      </c>
      <c r="O504" s="277" t="s">
        <v>2479</v>
      </c>
      <c r="P504" s="277" t="s">
        <v>1554</v>
      </c>
      <c r="Q504" s="277" t="s">
        <v>2198</v>
      </c>
      <c r="R504" s="279">
        <v>44630.452013888891</v>
      </c>
      <c r="S504" s="286">
        <v>2022</v>
      </c>
      <c r="T504" s="277" t="s">
        <v>2001</v>
      </c>
      <c r="U504" s="277" t="s">
        <v>678</v>
      </c>
      <c r="V504" s="277" t="s">
        <v>679</v>
      </c>
      <c r="W504" s="277" t="s">
        <v>145</v>
      </c>
      <c r="X504" s="277" t="s">
        <v>309</v>
      </c>
      <c r="Y504" s="278">
        <v>45078</v>
      </c>
      <c r="Z504" s="287" t="s">
        <v>1875</v>
      </c>
      <c r="AA504" s="287" t="s">
        <v>2479</v>
      </c>
      <c r="AB504" s="287" t="s">
        <v>139</v>
      </c>
      <c r="AC504" s="287" t="s">
        <v>1875</v>
      </c>
      <c r="AD504" s="287" t="s">
        <v>1805</v>
      </c>
      <c r="AE504" s="287" t="s">
        <v>1805</v>
      </c>
      <c r="AF504" s="287" t="s">
        <v>2479</v>
      </c>
      <c r="AG504" s="287" t="s">
        <v>2479</v>
      </c>
      <c r="AH504" s="287" t="s">
        <v>2479</v>
      </c>
      <c r="AI504" s="287" t="s">
        <v>2479</v>
      </c>
      <c r="AJ504" s="304" t="s">
        <v>2191</v>
      </c>
      <c r="AK504" s="287" t="s">
        <v>2479</v>
      </c>
      <c r="AL504" s="304" t="s">
        <v>2190</v>
      </c>
      <c r="AM504" s="289" t="s">
        <v>1975</v>
      </c>
      <c r="AN504" s="281" t="b">
        <v>0</v>
      </c>
      <c r="AO504" s="305"/>
      <c r="AP504" s="291"/>
      <c r="AQ504" s="291"/>
      <c r="AR504" s="291"/>
      <c r="AS504" s="291"/>
      <c r="AT504" s="291"/>
      <c r="AU504" s="291"/>
      <c r="AV504" s="305"/>
      <c r="AW504" s="281"/>
      <c r="AX504" s="281"/>
      <c r="AY504" s="289" t="s">
        <v>2479</v>
      </c>
      <c r="AZ504" s="289" t="s">
        <v>2479</v>
      </c>
      <c r="BA504" s="289" t="s">
        <v>373</v>
      </c>
      <c r="BB504" s="289" t="s">
        <v>1610</v>
      </c>
      <c r="BC504" s="292" t="s">
        <v>2192</v>
      </c>
    </row>
    <row r="505" spans="1:55" ht="45" customHeight="1">
      <c r="A505" s="271">
        <f t="shared" si="7"/>
        <v>504</v>
      </c>
      <c r="B505" s="276" t="s">
        <v>2641</v>
      </c>
      <c r="C505" s="277" t="s">
        <v>2842</v>
      </c>
      <c r="D505" s="277" t="s">
        <v>8</v>
      </c>
      <c r="E505" s="277" t="s">
        <v>13</v>
      </c>
      <c r="F505" s="277" t="s">
        <v>1558</v>
      </c>
      <c r="G505" s="307">
        <v>44821</v>
      </c>
      <c r="H505" s="308"/>
      <c r="I505" s="308"/>
      <c r="J505" s="277"/>
      <c r="K505" s="279"/>
      <c r="L505" s="277" t="s">
        <v>2479</v>
      </c>
      <c r="M505" s="277" t="s">
        <v>2479</v>
      </c>
      <c r="N505" s="277" t="s">
        <v>122</v>
      </c>
      <c r="O505" s="277" t="s">
        <v>2479</v>
      </c>
      <c r="P505" s="277" t="s">
        <v>1554</v>
      </c>
      <c r="Q505" s="277" t="s">
        <v>2198</v>
      </c>
      <c r="R505" s="279">
        <v>44630.553159722222</v>
      </c>
      <c r="S505" s="286">
        <v>2022</v>
      </c>
      <c r="T505" s="277" t="s">
        <v>2001</v>
      </c>
      <c r="U505" s="277" t="s">
        <v>678</v>
      </c>
      <c r="V505" s="277" t="s">
        <v>679</v>
      </c>
      <c r="W505" s="277" t="s">
        <v>145</v>
      </c>
      <c r="X505" s="277" t="s">
        <v>309</v>
      </c>
      <c r="Y505" s="278">
        <v>45078</v>
      </c>
      <c r="Z505" s="287" t="s">
        <v>1875</v>
      </c>
      <c r="AA505" s="287" t="s">
        <v>2479</v>
      </c>
      <c r="AB505" s="287" t="s">
        <v>139</v>
      </c>
      <c r="AC505" s="287" t="s">
        <v>1875</v>
      </c>
      <c r="AD505" s="287" t="s">
        <v>1805</v>
      </c>
      <c r="AE505" s="287" t="s">
        <v>1805</v>
      </c>
      <c r="AF505" s="287" t="s">
        <v>2479</v>
      </c>
      <c r="AG505" s="287" t="s">
        <v>2479</v>
      </c>
      <c r="AH505" s="287" t="s">
        <v>2479</v>
      </c>
      <c r="AI505" s="287" t="s">
        <v>2479</v>
      </c>
      <c r="AJ505" s="304" t="s">
        <v>2191</v>
      </c>
      <c r="AK505" s="287" t="s">
        <v>2479</v>
      </c>
      <c r="AL505" s="304" t="s">
        <v>2190</v>
      </c>
      <c r="AM505" s="289" t="s">
        <v>1975</v>
      </c>
      <c r="AN505" s="281" t="b">
        <v>0</v>
      </c>
      <c r="AO505" s="305"/>
      <c r="AP505" s="291"/>
      <c r="AQ505" s="291"/>
      <c r="AR505" s="291"/>
      <c r="AS505" s="291"/>
      <c r="AT505" s="291"/>
      <c r="AU505" s="291"/>
      <c r="AV505" s="305"/>
      <c r="AW505" s="281"/>
      <c r="AX505" s="281"/>
      <c r="AY505" s="289" t="s">
        <v>2479</v>
      </c>
      <c r="AZ505" s="289" t="s">
        <v>2479</v>
      </c>
      <c r="BA505" s="289" t="s">
        <v>373</v>
      </c>
      <c r="BB505" s="289" t="s">
        <v>1610</v>
      </c>
      <c r="BC505" s="292" t="s">
        <v>2192</v>
      </c>
    </row>
    <row r="506" spans="1:55" ht="45" customHeight="1">
      <c r="A506" s="271">
        <f t="shared" si="7"/>
        <v>505</v>
      </c>
      <c r="B506" s="284" t="s">
        <v>2739</v>
      </c>
      <c r="C506" s="270" t="s">
        <v>3745</v>
      </c>
      <c r="D506" s="270" t="s">
        <v>8</v>
      </c>
      <c r="E506" s="270" t="s">
        <v>13</v>
      </c>
      <c r="F506" s="270" t="s">
        <v>1558</v>
      </c>
      <c r="G506" s="302">
        <v>45064</v>
      </c>
      <c r="L506" s="270" t="s">
        <v>2479</v>
      </c>
      <c r="M506" s="270" t="s">
        <v>2479</v>
      </c>
      <c r="N506" s="272" t="s">
        <v>122</v>
      </c>
      <c r="O506" s="270" t="s">
        <v>2479</v>
      </c>
      <c r="P506" s="270" t="s">
        <v>1554</v>
      </c>
      <c r="Q506" s="270" t="s">
        <v>2198</v>
      </c>
      <c r="R506" s="306">
        <v>44932.455775462964</v>
      </c>
      <c r="S506" s="285">
        <v>2023</v>
      </c>
      <c r="T506" s="270" t="s">
        <v>2001</v>
      </c>
      <c r="U506" s="270" t="s">
        <v>678</v>
      </c>
      <c r="V506" s="270" t="s">
        <v>679</v>
      </c>
      <c r="W506" s="270" t="s">
        <v>145</v>
      </c>
      <c r="X506" s="270" t="s">
        <v>309</v>
      </c>
      <c r="Y506" s="273">
        <v>45078</v>
      </c>
      <c r="Z506" s="288" t="s">
        <v>1875</v>
      </c>
      <c r="AA506" s="288" t="s">
        <v>2479</v>
      </c>
      <c r="AB506" s="288" t="s">
        <v>139</v>
      </c>
      <c r="AC506" s="288" t="s">
        <v>1875</v>
      </c>
      <c r="AD506" s="288" t="s">
        <v>1805</v>
      </c>
      <c r="AE506" s="288" t="s">
        <v>1805</v>
      </c>
      <c r="AF506" s="288" t="s">
        <v>2479</v>
      </c>
      <c r="AG506" s="288" t="s">
        <v>2479</v>
      </c>
      <c r="AH506" s="288" t="s">
        <v>2479</v>
      </c>
      <c r="AI506" s="288" t="s">
        <v>2479</v>
      </c>
      <c r="AJ506" s="303" t="s">
        <v>2191</v>
      </c>
      <c r="AK506" s="288" t="s">
        <v>2479</v>
      </c>
      <c r="AL506" s="303" t="s">
        <v>2190</v>
      </c>
      <c r="AM506" s="288" t="s">
        <v>1975</v>
      </c>
      <c r="AN506" s="207" t="b">
        <v>0</v>
      </c>
      <c r="AY506" s="288" t="s">
        <v>2479</v>
      </c>
      <c r="AZ506" s="288" t="s">
        <v>2479</v>
      </c>
      <c r="BA506" s="288" t="s">
        <v>373</v>
      </c>
      <c r="BB506" s="288" t="s">
        <v>1610</v>
      </c>
      <c r="BC506" s="288" t="s">
        <v>2192</v>
      </c>
    </row>
    <row r="507" spans="1:55" ht="45" customHeight="1">
      <c r="A507" s="271">
        <f t="shared" si="7"/>
        <v>506</v>
      </c>
      <c r="B507" s="284" t="s">
        <v>2741</v>
      </c>
      <c r="C507" s="270" t="s">
        <v>3746</v>
      </c>
      <c r="D507" s="270" t="s">
        <v>8</v>
      </c>
      <c r="E507" s="270" t="s">
        <v>13</v>
      </c>
      <c r="F507" s="270" t="s">
        <v>1558</v>
      </c>
      <c r="G507" s="302">
        <v>45064</v>
      </c>
      <c r="L507" s="270" t="s">
        <v>2479</v>
      </c>
      <c r="M507" s="270" t="s">
        <v>2479</v>
      </c>
      <c r="N507" s="272" t="s">
        <v>122</v>
      </c>
      <c r="O507" s="270" t="s">
        <v>2479</v>
      </c>
      <c r="P507" s="270" t="s">
        <v>1554</v>
      </c>
      <c r="Q507" s="270" t="s">
        <v>2198</v>
      </c>
      <c r="R507" s="306">
        <v>44932.456192129626</v>
      </c>
      <c r="S507" s="285">
        <v>2023</v>
      </c>
      <c r="T507" s="270" t="s">
        <v>2001</v>
      </c>
      <c r="U507" s="270" t="s">
        <v>678</v>
      </c>
      <c r="V507" s="270" t="s">
        <v>679</v>
      </c>
      <c r="W507" s="270" t="s">
        <v>145</v>
      </c>
      <c r="X507" s="270" t="s">
        <v>309</v>
      </c>
      <c r="Y507" s="273">
        <v>45078</v>
      </c>
      <c r="Z507" s="288" t="s">
        <v>1875</v>
      </c>
      <c r="AA507" s="288" t="s">
        <v>2479</v>
      </c>
      <c r="AB507" s="288" t="s">
        <v>139</v>
      </c>
      <c r="AC507" s="288" t="s">
        <v>1875</v>
      </c>
      <c r="AD507" s="288" t="s">
        <v>1805</v>
      </c>
      <c r="AE507" s="288" t="s">
        <v>1805</v>
      </c>
      <c r="AF507" s="288" t="s">
        <v>2479</v>
      </c>
      <c r="AG507" s="288" t="s">
        <v>2479</v>
      </c>
      <c r="AH507" s="288" t="s">
        <v>2479</v>
      </c>
      <c r="AI507" s="288" t="s">
        <v>2479</v>
      </c>
      <c r="AJ507" s="303" t="s">
        <v>2191</v>
      </c>
      <c r="AK507" s="288" t="s">
        <v>2479</v>
      </c>
      <c r="AL507" s="303" t="s">
        <v>2190</v>
      </c>
      <c r="AM507" s="288" t="s">
        <v>1975</v>
      </c>
      <c r="AN507" s="207" t="b">
        <v>0</v>
      </c>
      <c r="AY507" s="288" t="s">
        <v>2479</v>
      </c>
      <c r="AZ507" s="288" t="s">
        <v>2479</v>
      </c>
      <c r="BA507" s="288" t="s">
        <v>373</v>
      </c>
      <c r="BB507" s="288" t="s">
        <v>1610</v>
      </c>
      <c r="BC507" s="288" t="s">
        <v>2192</v>
      </c>
    </row>
    <row r="508" spans="1:55" ht="45" customHeight="1">
      <c r="A508" s="271">
        <f t="shared" si="7"/>
        <v>507</v>
      </c>
      <c r="B508" s="284" t="s">
        <v>2747</v>
      </c>
      <c r="C508" s="270" t="s">
        <v>3749</v>
      </c>
      <c r="D508" s="270" t="s">
        <v>8</v>
      </c>
      <c r="E508" s="270" t="s">
        <v>13</v>
      </c>
      <c r="F508" s="270" t="s">
        <v>1558</v>
      </c>
      <c r="G508" s="302">
        <v>45075</v>
      </c>
      <c r="L508" s="270" t="s">
        <v>2479</v>
      </c>
      <c r="M508" s="270" t="s">
        <v>2479</v>
      </c>
      <c r="N508" s="272" t="s">
        <v>122</v>
      </c>
      <c r="O508" s="270" t="s">
        <v>2479</v>
      </c>
      <c r="P508" s="270" t="s">
        <v>1554</v>
      </c>
      <c r="Q508" s="270" t="s">
        <v>2198</v>
      </c>
      <c r="R508" s="306">
        <v>44932.457268518519</v>
      </c>
      <c r="S508" s="285">
        <v>2023</v>
      </c>
      <c r="T508" s="270" t="s">
        <v>2001</v>
      </c>
      <c r="U508" s="270" t="s">
        <v>678</v>
      </c>
      <c r="V508" s="270" t="s">
        <v>679</v>
      </c>
      <c r="W508" s="270" t="s">
        <v>145</v>
      </c>
      <c r="X508" s="270" t="s">
        <v>309</v>
      </c>
      <c r="Y508" s="273">
        <v>45078</v>
      </c>
      <c r="Z508" s="288" t="s">
        <v>1875</v>
      </c>
      <c r="AA508" s="288" t="s">
        <v>2479</v>
      </c>
      <c r="AB508" s="288" t="s">
        <v>139</v>
      </c>
      <c r="AC508" s="288" t="s">
        <v>1875</v>
      </c>
      <c r="AD508" s="288" t="s">
        <v>1805</v>
      </c>
      <c r="AE508" s="288" t="s">
        <v>1805</v>
      </c>
      <c r="AF508" s="288" t="s">
        <v>2479</v>
      </c>
      <c r="AG508" s="288" t="s">
        <v>2479</v>
      </c>
      <c r="AH508" s="288" t="s">
        <v>2479</v>
      </c>
      <c r="AI508" s="288" t="s">
        <v>2479</v>
      </c>
      <c r="AJ508" s="303" t="s">
        <v>2191</v>
      </c>
      <c r="AK508" s="288" t="s">
        <v>2479</v>
      </c>
      <c r="AL508" s="303" t="s">
        <v>2190</v>
      </c>
      <c r="AM508" s="288" t="s">
        <v>1975</v>
      </c>
      <c r="AN508" s="207" t="b">
        <v>0</v>
      </c>
      <c r="AY508" s="288" t="s">
        <v>2479</v>
      </c>
      <c r="AZ508" s="288" t="s">
        <v>2479</v>
      </c>
      <c r="BA508" s="288" t="s">
        <v>373</v>
      </c>
      <c r="BB508" s="288" t="s">
        <v>1610</v>
      </c>
      <c r="BC508" s="288" t="s">
        <v>2192</v>
      </c>
    </row>
    <row r="509" spans="1:55" ht="45" customHeight="1">
      <c r="A509" s="271">
        <f t="shared" si="7"/>
        <v>508</v>
      </c>
      <c r="B509" s="284" t="s">
        <v>2847</v>
      </c>
      <c r="C509" s="270" t="s">
        <v>3872</v>
      </c>
      <c r="D509" s="270" t="s">
        <v>8</v>
      </c>
      <c r="E509" s="270" t="s">
        <v>13</v>
      </c>
      <c r="F509" s="270" t="s">
        <v>1558</v>
      </c>
      <c r="G509" s="302">
        <v>45082</v>
      </c>
      <c r="L509" s="270" t="s">
        <v>2479</v>
      </c>
      <c r="M509" s="270" t="s">
        <v>2479</v>
      </c>
      <c r="N509" s="272" t="s">
        <v>122</v>
      </c>
      <c r="O509" s="270" t="s">
        <v>2479</v>
      </c>
      <c r="P509" s="270" t="s">
        <v>1555</v>
      </c>
      <c r="Q509" s="270" t="s">
        <v>2198</v>
      </c>
      <c r="R509" s="306">
        <v>44992.447685185187</v>
      </c>
      <c r="S509" s="285">
        <v>2023</v>
      </c>
      <c r="T509" s="270" t="s">
        <v>2001</v>
      </c>
      <c r="U509" s="270" t="s">
        <v>678</v>
      </c>
      <c r="V509" s="270" t="s">
        <v>679</v>
      </c>
      <c r="W509" s="270" t="s">
        <v>145</v>
      </c>
      <c r="X509" s="270" t="s">
        <v>309</v>
      </c>
      <c r="Y509" s="273">
        <v>45078</v>
      </c>
      <c r="Z509" s="288" t="s">
        <v>1875</v>
      </c>
      <c r="AA509" s="288" t="s">
        <v>2479</v>
      </c>
      <c r="AB509" s="288" t="s">
        <v>139</v>
      </c>
      <c r="AC509" s="288" t="s">
        <v>1875</v>
      </c>
      <c r="AD509" s="288" t="s">
        <v>1805</v>
      </c>
      <c r="AE509" s="288" t="s">
        <v>1805</v>
      </c>
      <c r="AF509" s="288" t="s">
        <v>2479</v>
      </c>
      <c r="AG509" s="288" t="s">
        <v>2479</v>
      </c>
      <c r="AH509" s="288" t="s">
        <v>2479</v>
      </c>
      <c r="AI509" s="288" t="s">
        <v>2479</v>
      </c>
      <c r="AJ509" s="303" t="s">
        <v>2191</v>
      </c>
      <c r="AK509" s="288" t="s">
        <v>2479</v>
      </c>
      <c r="AL509" s="303" t="s">
        <v>2190</v>
      </c>
      <c r="AM509" s="288" t="s">
        <v>1975</v>
      </c>
      <c r="AN509" s="207" t="b">
        <v>0</v>
      </c>
      <c r="AY509" s="288" t="s">
        <v>2479</v>
      </c>
      <c r="AZ509" s="288" t="s">
        <v>2479</v>
      </c>
      <c r="BA509" s="288" t="s">
        <v>373</v>
      </c>
      <c r="BB509" s="288" t="s">
        <v>139</v>
      </c>
      <c r="BC509" s="288" t="s">
        <v>2192</v>
      </c>
    </row>
    <row r="510" spans="1:55" ht="45" customHeight="1">
      <c r="A510" s="271">
        <f t="shared" si="7"/>
        <v>509</v>
      </c>
      <c r="B510" s="284" t="s">
        <v>2690</v>
      </c>
      <c r="C510" s="270" t="s">
        <v>3875</v>
      </c>
      <c r="D510" s="270" t="s">
        <v>8</v>
      </c>
      <c r="E510" s="270" t="s">
        <v>13</v>
      </c>
      <c r="F510" s="270" t="s">
        <v>1558</v>
      </c>
      <c r="G510" s="302">
        <v>45087</v>
      </c>
      <c r="L510" s="270" t="s">
        <v>2479</v>
      </c>
      <c r="M510" s="270" t="s">
        <v>2479</v>
      </c>
      <c r="N510" s="272" t="s">
        <v>122</v>
      </c>
      <c r="O510" s="270" t="s">
        <v>2479</v>
      </c>
      <c r="P510" s="270" t="s">
        <v>1555</v>
      </c>
      <c r="Q510" s="270" t="s">
        <v>2198</v>
      </c>
      <c r="R510" s="306">
        <v>44992.450023148151</v>
      </c>
      <c r="S510" s="285">
        <v>2023</v>
      </c>
      <c r="T510" s="270" t="s">
        <v>2001</v>
      </c>
      <c r="U510" s="270" t="s">
        <v>678</v>
      </c>
      <c r="V510" s="270" t="s">
        <v>679</v>
      </c>
      <c r="W510" s="270" t="s">
        <v>145</v>
      </c>
      <c r="X510" s="270" t="s">
        <v>309</v>
      </c>
      <c r="Y510" s="273">
        <v>45078</v>
      </c>
      <c r="Z510" s="288" t="s">
        <v>1875</v>
      </c>
      <c r="AA510" s="288" t="s">
        <v>2479</v>
      </c>
      <c r="AB510" s="288" t="s">
        <v>139</v>
      </c>
      <c r="AC510" s="288" t="s">
        <v>1875</v>
      </c>
      <c r="AD510" s="288" t="s">
        <v>1805</v>
      </c>
      <c r="AE510" s="288" t="s">
        <v>1805</v>
      </c>
      <c r="AF510" s="288" t="s">
        <v>2479</v>
      </c>
      <c r="AG510" s="288" t="s">
        <v>2479</v>
      </c>
      <c r="AH510" s="288" t="s">
        <v>2479</v>
      </c>
      <c r="AI510" s="288" t="s">
        <v>2479</v>
      </c>
      <c r="AJ510" s="303" t="s">
        <v>2191</v>
      </c>
      <c r="AK510" s="288" t="s">
        <v>2479</v>
      </c>
      <c r="AL510" s="303" t="s">
        <v>2190</v>
      </c>
      <c r="AM510" s="288" t="s">
        <v>1975</v>
      </c>
      <c r="AN510" s="207" t="b">
        <v>0</v>
      </c>
      <c r="AY510" s="288" t="s">
        <v>2479</v>
      </c>
      <c r="AZ510" s="288" t="s">
        <v>2479</v>
      </c>
      <c r="BA510" s="288" t="s">
        <v>373</v>
      </c>
      <c r="BB510" s="288" t="s">
        <v>139</v>
      </c>
      <c r="BC510" s="288" t="s">
        <v>2192</v>
      </c>
    </row>
    <row r="511" spans="1:55" ht="45" customHeight="1">
      <c r="A511" s="271">
        <f t="shared" si="7"/>
        <v>510</v>
      </c>
      <c r="B511" s="276" t="s">
        <v>2699</v>
      </c>
      <c r="C511" s="277" t="s">
        <v>2700</v>
      </c>
      <c r="D511" s="277" t="s">
        <v>8</v>
      </c>
      <c r="E511" s="277" t="s">
        <v>13</v>
      </c>
      <c r="F511" s="277" t="s">
        <v>1563</v>
      </c>
      <c r="G511" s="307">
        <v>44370</v>
      </c>
      <c r="H511" s="308"/>
      <c r="I511" s="308"/>
      <c r="J511" s="277"/>
      <c r="K511" s="279"/>
      <c r="L511" s="277" t="s">
        <v>2479</v>
      </c>
      <c r="M511" s="277" t="s">
        <v>2479</v>
      </c>
      <c r="N511" s="277" t="s">
        <v>126</v>
      </c>
      <c r="O511" s="277" t="s">
        <v>2479</v>
      </c>
      <c r="P511" s="277" t="s">
        <v>1554</v>
      </c>
      <c r="Q511" s="277" t="s">
        <v>2198</v>
      </c>
      <c r="R511" s="279">
        <v>44630.462048611109</v>
      </c>
      <c r="S511" s="286">
        <v>2021</v>
      </c>
      <c r="T511" s="277" t="s">
        <v>2001</v>
      </c>
      <c r="U511" s="277" t="s">
        <v>678</v>
      </c>
      <c r="V511" s="277" t="s">
        <v>679</v>
      </c>
      <c r="W511" s="277" t="s">
        <v>145</v>
      </c>
      <c r="X511" s="277" t="s">
        <v>309</v>
      </c>
      <c r="Y511" s="278">
        <v>45078</v>
      </c>
      <c r="Z511" s="287" t="s">
        <v>1875</v>
      </c>
      <c r="AA511" s="287" t="s">
        <v>2479</v>
      </c>
      <c r="AB511" s="287" t="s">
        <v>139</v>
      </c>
      <c r="AC511" s="287" t="s">
        <v>1875</v>
      </c>
      <c r="AD511" s="287" t="s">
        <v>1805</v>
      </c>
      <c r="AE511" s="287" t="s">
        <v>1805</v>
      </c>
      <c r="AF511" s="287" t="s">
        <v>2479</v>
      </c>
      <c r="AG511" s="287" t="s">
        <v>2479</v>
      </c>
      <c r="AH511" s="287" t="s">
        <v>2479</v>
      </c>
      <c r="AI511" s="287" t="s">
        <v>2479</v>
      </c>
      <c r="AJ511" s="304" t="s">
        <v>2191</v>
      </c>
      <c r="AK511" s="287" t="s">
        <v>2479</v>
      </c>
      <c r="AL511" s="304" t="s">
        <v>2190</v>
      </c>
      <c r="AM511" s="289" t="s">
        <v>1975</v>
      </c>
      <c r="AN511" s="281" t="b">
        <v>0</v>
      </c>
      <c r="AO511" s="305"/>
      <c r="AP511" s="291"/>
      <c r="AQ511" s="291"/>
      <c r="AR511" s="291"/>
      <c r="AS511" s="291"/>
      <c r="AT511" s="291"/>
      <c r="AU511" s="291"/>
      <c r="AV511" s="305"/>
      <c r="AW511" s="281"/>
      <c r="AX511" s="281"/>
      <c r="AY511" s="289" t="s">
        <v>2479</v>
      </c>
      <c r="AZ511" s="289" t="s">
        <v>2479</v>
      </c>
      <c r="BA511" s="289" t="s">
        <v>373</v>
      </c>
      <c r="BB511" s="289" t="s">
        <v>1610</v>
      </c>
      <c r="BC511" s="292" t="s">
        <v>2192</v>
      </c>
    </row>
    <row r="512" spans="1:55" ht="45" customHeight="1">
      <c r="A512" s="271">
        <f>ROW()-1</f>
        <v>511</v>
      </c>
      <c r="B512" s="276" t="s">
        <v>2701</v>
      </c>
      <c r="C512" s="277" t="s">
        <v>2702</v>
      </c>
      <c r="D512" s="277" t="s">
        <v>8</v>
      </c>
      <c r="E512" s="277" t="s">
        <v>13</v>
      </c>
      <c r="F512" s="277" t="s">
        <v>1563</v>
      </c>
      <c r="G512" s="307">
        <v>44370</v>
      </c>
      <c r="H512" s="308"/>
      <c r="I512" s="308"/>
      <c r="J512" s="277"/>
      <c r="K512" s="279"/>
      <c r="L512" s="277" t="s">
        <v>2479</v>
      </c>
      <c r="M512" s="277" t="s">
        <v>2479</v>
      </c>
      <c r="N512" s="277" t="s">
        <v>126</v>
      </c>
      <c r="O512" s="277" t="s">
        <v>2479</v>
      </c>
      <c r="P512" s="277" t="s">
        <v>1554</v>
      </c>
      <c r="Q512" s="277" t="s">
        <v>2198</v>
      </c>
      <c r="R512" s="279">
        <v>44630.462395833332</v>
      </c>
      <c r="S512" s="286">
        <v>2021</v>
      </c>
      <c r="T512" s="277" t="s">
        <v>2001</v>
      </c>
      <c r="U512" s="277" t="s">
        <v>678</v>
      </c>
      <c r="V512" s="277" t="s">
        <v>679</v>
      </c>
      <c r="W512" s="277" t="s">
        <v>145</v>
      </c>
      <c r="X512" s="277" t="s">
        <v>309</v>
      </c>
      <c r="Y512" s="278">
        <v>45078</v>
      </c>
      <c r="Z512" s="287" t="s">
        <v>1875</v>
      </c>
      <c r="AA512" s="287" t="s">
        <v>2479</v>
      </c>
      <c r="AB512" s="287" t="s">
        <v>139</v>
      </c>
      <c r="AC512" s="287" t="s">
        <v>1875</v>
      </c>
      <c r="AD512" s="287" t="s">
        <v>1805</v>
      </c>
      <c r="AE512" s="287" t="s">
        <v>1805</v>
      </c>
      <c r="AF512" s="287" t="s">
        <v>2479</v>
      </c>
      <c r="AG512" s="287" t="s">
        <v>2479</v>
      </c>
      <c r="AH512" s="287" t="s">
        <v>2479</v>
      </c>
      <c r="AI512" s="287" t="s">
        <v>2479</v>
      </c>
      <c r="AJ512" s="304" t="s">
        <v>2191</v>
      </c>
      <c r="AK512" s="287" t="s">
        <v>2479</v>
      </c>
      <c r="AL512" s="304" t="s">
        <v>2190</v>
      </c>
      <c r="AM512" s="289" t="s">
        <v>1975</v>
      </c>
      <c r="AN512" s="281" t="b">
        <v>0</v>
      </c>
      <c r="AO512" s="305"/>
      <c r="AP512" s="291"/>
      <c r="AQ512" s="291"/>
      <c r="AR512" s="291"/>
      <c r="AS512" s="291"/>
      <c r="AT512" s="291"/>
      <c r="AU512" s="291"/>
      <c r="AV512" s="305"/>
      <c r="AW512" s="281"/>
      <c r="AX512" s="281"/>
      <c r="AY512" s="289" t="s">
        <v>2479</v>
      </c>
      <c r="AZ512" s="289" t="s">
        <v>2479</v>
      </c>
      <c r="BA512" s="289" t="s">
        <v>373</v>
      </c>
      <c r="BB512" s="289" t="s">
        <v>1610</v>
      </c>
      <c r="BC512" s="292" t="s">
        <v>2192</v>
      </c>
    </row>
    <row r="513" spans="1:55" ht="45" customHeight="1">
      <c r="A513" s="271">
        <f t="shared" ref="A513:A576" si="8">ROW()-1</f>
        <v>512</v>
      </c>
      <c r="B513" s="276" t="s">
        <v>2703</v>
      </c>
      <c r="C513" s="277" t="s">
        <v>2650</v>
      </c>
      <c r="D513" s="277" t="s">
        <v>8</v>
      </c>
      <c r="E513" s="277" t="s">
        <v>13</v>
      </c>
      <c r="F513" s="277" t="s">
        <v>1563</v>
      </c>
      <c r="G513" s="307">
        <v>44373</v>
      </c>
      <c r="H513" s="308"/>
      <c r="I513" s="308"/>
      <c r="J513" s="277"/>
      <c r="K513" s="279"/>
      <c r="L513" s="277" t="s">
        <v>2479</v>
      </c>
      <c r="M513" s="277" t="s">
        <v>2479</v>
      </c>
      <c r="N513" s="277" t="s">
        <v>126</v>
      </c>
      <c r="O513" s="277" t="s">
        <v>2479</v>
      </c>
      <c r="P513" s="277" t="s">
        <v>1554</v>
      </c>
      <c r="Q513" s="277" t="s">
        <v>2198</v>
      </c>
      <c r="R513" s="279">
        <v>44572.473587962966</v>
      </c>
      <c r="S513" s="286">
        <v>2021</v>
      </c>
      <c r="T513" s="277" t="s">
        <v>2001</v>
      </c>
      <c r="U513" s="277" t="s">
        <v>678</v>
      </c>
      <c r="V513" s="277" t="s">
        <v>679</v>
      </c>
      <c r="W513" s="277" t="s">
        <v>145</v>
      </c>
      <c r="X513" s="277" t="s">
        <v>309</v>
      </c>
      <c r="Y513" s="278">
        <v>45078</v>
      </c>
      <c r="Z513" s="287" t="s">
        <v>1875</v>
      </c>
      <c r="AA513" s="287" t="s">
        <v>2876</v>
      </c>
      <c r="AB513" s="287" t="s">
        <v>139</v>
      </c>
      <c r="AC513" s="287" t="s">
        <v>1875</v>
      </c>
      <c r="AD513" s="287" t="s">
        <v>1805</v>
      </c>
      <c r="AE513" s="287" t="s">
        <v>1805</v>
      </c>
      <c r="AF513" s="287" t="s">
        <v>3013</v>
      </c>
      <c r="AG513" s="287" t="s">
        <v>3028</v>
      </c>
      <c r="AH513" s="287" t="s">
        <v>2479</v>
      </c>
      <c r="AI513" s="287" t="s">
        <v>2965</v>
      </c>
      <c r="AJ513" s="304">
        <v>44879</v>
      </c>
      <c r="AK513" s="287" t="s">
        <v>3029</v>
      </c>
      <c r="AL513" s="304">
        <v>44346</v>
      </c>
      <c r="AM513" s="289" t="s">
        <v>1975</v>
      </c>
      <c r="AN513" s="281" t="b">
        <v>1</v>
      </c>
      <c r="AO513" s="305">
        <v>44370</v>
      </c>
      <c r="AP513" s="291">
        <v>1</v>
      </c>
      <c r="AQ513" s="291">
        <v>0</v>
      </c>
      <c r="AR513" s="291">
        <v>0</v>
      </c>
      <c r="AS513" s="291">
        <v>1</v>
      </c>
      <c r="AT513" s="291">
        <v>0</v>
      </c>
      <c r="AU513" s="291">
        <v>4</v>
      </c>
      <c r="AV513" s="305">
        <v>44862</v>
      </c>
      <c r="AW513" s="281">
        <v>27</v>
      </c>
      <c r="AX513" s="281">
        <v>1</v>
      </c>
      <c r="AY513" s="289" t="s">
        <v>1989</v>
      </c>
      <c r="AZ513" s="289" t="s">
        <v>2479</v>
      </c>
      <c r="BA513" s="289" t="s">
        <v>373</v>
      </c>
      <c r="BB513" s="289" t="s">
        <v>1610</v>
      </c>
      <c r="BC513" s="292" t="s">
        <v>2192</v>
      </c>
    </row>
    <row r="514" spans="1:55" ht="45" customHeight="1">
      <c r="A514" s="271">
        <f t="shared" si="8"/>
        <v>513</v>
      </c>
      <c r="B514" s="276" t="s">
        <v>2704</v>
      </c>
      <c r="C514" s="277" t="s">
        <v>2705</v>
      </c>
      <c r="D514" s="277" t="s">
        <v>8</v>
      </c>
      <c r="E514" s="277" t="s">
        <v>13</v>
      </c>
      <c r="F514" s="277" t="s">
        <v>1563</v>
      </c>
      <c r="G514" s="307">
        <v>44445</v>
      </c>
      <c r="H514" s="308"/>
      <c r="I514" s="308"/>
      <c r="J514" s="277"/>
      <c r="K514" s="279"/>
      <c r="L514" s="277" t="s">
        <v>2479</v>
      </c>
      <c r="M514" s="277" t="s">
        <v>2479</v>
      </c>
      <c r="N514" s="277" t="s">
        <v>126</v>
      </c>
      <c r="O514" s="277" t="s">
        <v>2479</v>
      </c>
      <c r="P514" s="277" t="s">
        <v>1554</v>
      </c>
      <c r="Q514" s="277" t="s">
        <v>2198</v>
      </c>
      <c r="R514" s="279">
        <v>44630.46303240741</v>
      </c>
      <c r="S514" s="286">
        <v>2021</v>
      </c>
      <c r="T514" s="277" t="s">
        <v>2001</v>
      </c>
      <c r="U514" s="277" t="s">
        <v>678</v>
      </c>
      <c r="V514" s="277" t="s">
        <v>679</v>
      </c>
      <c r="W514" s="277" t="s">
        <v>145</v>
      </c>
      <c r="X514" s="277" t="s">
        <v>309</v>
      </c>
      <c r="Y514" s="278">
        <v>45078</v>
      </c>
      <c r="Z514" s="287" t="s">
        <v>1875</v>
      </c>
      <c r="AA514" s="287" t="s">
        <v>2479</v>
      </c>
      <c r="AB514" s="287" t="s">
        <v>139</v>
      </c>
      <c r="AC514" s="287" t="s">
        <v>1875</v>
      </c>
      <c r="AD514" s="287" t="s">
        <v>1805</v>
      </c>
      <c r="AE514" s="287" t="s">
        <v>1805</v>
      </c>
      <c r="AF514" s="287" t="s">
        <v>2479</v>
      </c>
      <c r="AG514" s="287" t="s">
        <v>2479</v>
      </c>
      <c r="AH514" s="287" t="s">
        <v>2479</v>
      </c>
      <c r="AI514" s="287" t="s">
        <v>2479</v>
      </c>
      <c r="AJ514" s="304" t="s">
        <v>2191</v>
      </c>
      <c r="AK514" s="287" t="s">
        <v>2479</v>
      </c>
      <c r="AL514" s="304" t="s">
        <v>2190</v>
      </c>
      <c r="AM514" s="289" t="s">
        <v>1975</v>
      </c>
      <c r="AN514" s="281" t="b">
        <v>0</v>
      </c>
      <c r="AO514" s="305"/>
      <c r="AP514" s="291"/>
      <c r="AQ514" s="291"/>
      <c r="AR514" s="291"/>
      <c r="AS514" s="291"/>
      <c r="AT514" s="291"/>
      <c r="AU514" s="291"/>
      <c r="AV514" s="305"/>
      <c r="AW514" s="281"/>
      <c r="AX514" s="281"/>
      <c r="AY514" s="289" t="s">
        <v>2479</v>
      </c>
      <c r="AZ514" s="289" t="s">
        <v>2479</v>
      </c>
      <c r="BA514" s="289" t="s">
        <v>373</v>
      </c>
      <c r="BB514" s="289" t="s">
        <v>1610</v>
      </c>
      <c r="BC514" s="292" t="s">
        <v>2192</v>
      </c>
    </row>
    <row r="515" spans="1:55" ht="45" customHeight="1">
      <c r="A515" s="271">
        <f t="shared" si="8"/>
        <v>514</v>
      </c>
      <c r="B515" s="276" t="s">
        <v>2706</v>
      </c>
      <c r="C515" s="277" t="s">
        <v>2665</v>
      </c>
      <c r="D515" s="277" t="s">
        <v>8</v>
      </c>
      <c r="E515" s="277" t="s">
        <v>13</v>
      </c>
      <c r="F515" s="277" t="s">
        <v>1563</v>
      </c>
      <c r="G515" s="307">
        <v>44461</v>
      </c>
      <c r="H515" s="308"/>
      <c r="I515" s="308"/>
      <c r="J515" s="277"/>
      <c r="K515" s="279"/>
      <c r="L515" s="277" t="s">
        <v>2479</v>
      </c>
      <c r="M515" s="277" t="s">
        <v>2479</v>
      </c>
      <c r="N515" s="277" t="s">
        <v>126</v>
      </c>
      <c r="O515" s="277" t="s">
        <v>2479</v>
      </c>
      <c r="P515" s="277" t="s">
        <v>1554</v>
      </c>
      <c r="Q515" s="277" t="s">
        <v>2198</v>
      </c>
      <c r="R515" s="279">
        <v>44959.452835648146</v>
      </c>
      <c r="S515" s="286">
        <v>2021</v>
      </c>
      <c r="T515" s="277" t="s">
        <v>2001</v>
      </c>
      <c r="U515" s="277" t="s">
        <v>678</v>
      </c>
      <c r="V515" s="277" t="s">
        <v>679</v>
      </c>
      <c r="W515" s="277" t="s">
        <v>145</v>
      </c>
      <c r="X515" s="277" t="s">
        <v>309</v>
      </c>
      <c r="Y515" s="278">
        <v>45078</v>
      </c>
      <c r="Z515" s="287" t="s">
        <v>1875</v>
      </c>
      <c r="AA515" s="287" t="s">
        <v>2873</v>
      </c>
      <c r="AB515" s="287" t="s">
        <v>139</v>
      </c>
      <c r="AC515" s="287" t="s">
        <v>1875</v>
      </c>
      <c r="AD515" s="287" t="s">
        <v>1805</v>
      </c>
      <c r="AE515" s="287" t="s">
        <v>1805</v>
      </c>
      <c r="AF515" s="366" t="s">
        <v>3033</v>
      </c>
      <c r="AG515" s="287" t="s">
        <v>3034</v>
      </c>
      <c r="AH515" s="287" t="s">
        <v>2479</v>
      </c>
      <c r="AI515" s="287" t="s">
        <v>2965</v>
      </c>
      <c r="AJ515" s="304">
        <v>44964</v>
      </c>
      <c r="AK515" s="287" t="s">
        <v>3037</v>
      </c>
      <c r="AL515" s="304">
        <v>44437</v>
      </c>
      <c r="AM515" s="289" t="s">
        <v>1975</v>
      </c>
      <c r="AN515" s="281" t="b">
        <v>1</v>
      </c>
      <c r="AO515" s="305">
        <v>44460</v>
      </c>
      <c r="AP515" s="291">
        <v>1</v>
      </c>
      <c r="AQ515" s="291">
        <v>0</v>
      </c>
      <c r="AR515" s="291">
        <v>0</v>
      </c>
      <c r="AS515" s="291">
        <v>1</v>
      </c>
      <c r="AT515" s="291">
        <v>0</v>
      </c>
      <c r="AU515" s="291">
        <v>7</v>
      </c>
      <c r="AV515" s="305">
        <v>44945</v>
      </c>
      <c r="AW515" s="281">
        <v>27</v>
      </c>
      <c r="AX515" s="281">
        <v>12</v>
      </c>
      <c r="AY515" s="289" t="s">
        <v>1989</v>
      </c>
      <c r="AZ515" s="289" t="s">
        <v>2479</v>
      </c>
      <c r="BA515" s="289" t="s">
        <v>373</v>
      </c>
      <c r="BB515" s="289" t="s">
        <v>1610</v>
      </c>
      <c r="BC515" s="292" t="s">
        <v>2192</v>
      </c>
    </row>
    <row r="516" spans="1:55" ht="45" customHeight="1">
      <c r="A516" s="271">
        <f t="shared" si="8"/>
        <v>515</v>
      </c>
      <c r="B516" s="276" t="s">
        <v>2707</v>
      </c>
      <c r="C516" s="277" t="s">
        <v>2971</v>
      </c>
      <c r="D516" s="277" t="s">
        <v>8</v>
      </c>
      <c r="E516" s="277" t="s">
        <v>13</v>
      </c>
      <c r="F516" s="277" t="s">
        <v>1563</v>
      </c>
      <c r="G516" s="307">
        <v>44553</v>
      </c>
      <c r="H516" s="308"/>
      <c r="I516" s="308"/>
      <c r="J516" s="277"/>
      <c r="K516" s="279"/>
      <c r="L516" s="277" t="s">
        <v>2479</v>
      </c>
      <c r="M516" s="277" t="s">
        <v>2479</v>
      </c>
      <c r="N516" s="277" t="s">
        <v>126</v>
      </c>
      <c r="O516" s="277" t="s">
        <v>2479</v>
      </c>
      <c r="P516" s="277" t="s">
        <v>1554</v>
      </c>
      <c r="Q516" s="277" t="s">
        <v>2198</v>
      </c>
      <c r="R516" s="279">
        <v>44572.441493055558</v>
      </c>
      <c r="S516" s="286">
        <v>2021</v>
      </c>
      <c r="T516" s="277" t="s">
        <v>2001</v>
      </c>
      <c r="U516" s="277" t="s">
        <v>678</v>
      </c>
      <c r="V516" s="277" t="s">
        <v>679</v>
      </c>
      <c r="W516" s="277" t="s">
        <v>145</v>
      </c>
      <c r="X516" s="277" t="s">
        <v>309</v>
      </c>
      <c r="Y516" s="278">
        <v>45078</v>
      </c>
      <c r="Z516" s="287" t="s">
        <v>1875</v>
      </c>
      <c r="AA516" s="287" t="s">
        <v>2876</v>
      </c>
      <c r="AB516" s="287" t="s">
        <v>139</v>
      </c>
      <c r="AC516" s="287" t="s">
        <v>1875</v>
      </c>
      <c r="AD516" s="287" t="s">
        <v>1805</v>
      </c>
      <c r="AE516" s="287" t="s">
        <v>1805</v>
      </c>
      <c r="AF516" s="287" t="s">
        <v>2972</v>
      </c>
      <c r="AG516" s="287" t="s">
        <v>2973</v>
      </c>
      <c r="AH516" s="287" t="s">
        <v>2479</v>
      </c>
      <c r="AI516" s="287" t="s">
        <v>2965</v>
      </c>
      <c r="AJ516" s="304">
        <v>44870</v>
      </c>
      <c r="AK516" s="287" t="s">
        <v>2974</v>
      </c>
      <c r="AL516" s="304">
        <v>44519</v>
      </c>
      <c r="AM516" s="289" t="s">
        <v>1975</v>
      </c>
      <c r="AN516" s="281" t="b">
        <v>1</v>
      </c>
      <c r="AO516" s="305">
        <v>44539</v>
      </c>
      <c r="AP516" s="291">
        <v>2</v>
      </c>
      <c r="AQ516" s="291">
        <v>0</v>
      </c>
      <c r="AR516" s="291">
        <v>0</v>
      </c>
      <c r="AS516" s="291">
        <v>2</v>
      </c>
      <c r="AT516" s="291">
        <v>0</v>
      </c>
      <c r="AU516" s="291">
        <v>6</v>
      </c>
      <c r="AV516" s="305">
        <v>44855</v>
      </c>
      <c r="AW516" s="281">
        <v>19</v>
      </c>
      <c r="AX516" s="281">
        <v>1</v>
      </c>
      <c r="AY516" s="289" t="s">
        <v>1989</v>
      </c>
      <c r="AZ516" s="289" t="s">
        <v>2479</v>
      </c>
      <c r="BA516" s="289" t="s">
        <v>373</v>
      </c>
      <c r="BB516" s="289" t="s">
        <v>1610</v>
      </c>
      <c r="BC516" s="292" t="s">
        <v>2192</v>
      </c>
    </row>
    <row r="517" spans="1:55" ht="45" customHeight="1">
      <c r="A517" s="271">
        <f t="shared" si="8"/>
        <v>516</v>
      </c>
      <c r="B517" s="276" t="s">
        <v>2709</v>
      </c>
      <c r="C517" s="277" t="s">
        <v>2671</v>
      </c>
      <c r="D517" s="277" t="s">
        <v>8</v>
      </c>
      <c r="E517" s="277" t="s">
        <v>13</v>
      </c>
      <c r="F517" s="277" t="s">
        <v>1563</v>
      </c>
      <c r="G517" s="307">
        <v>44553</v>
      </c>
      <c r="H517" s="308"/>
      <c r="I517" s="308"/>
      <c r="J517" s="277"/>
      <c r="K517" s="279"/>
      <c r="L517" s="277" t="s">
        <v>2479</v>
      </c>
      <c r="M517" s="277" t="s">
        <v>2479</v>
      </c>
      <c r="N517" s="277" t="s">
        <v>126</v>
      </c>
      <c r="O517" s="277" t="s">
        <v>2479</v>
      </c>
      <c r="P517" s="277" t="s">
        <v>1554</v>
      </c>
      <c r="Q517" s="277" t="s">
        <v>2198</v>
      </c>
      <c r="R517" s="279">
        <v>44572.461226851854</v>
      </c>
      <c r="S517" s="286">
        <v>2021</v>
      </c>
      <c r="T517" s="277" t="s">
        <v>2001</v>
      </c>
      <c r="U517" s="277" t="s">
        <v>678</v>
      </c>
      <c r="V517" s="277" t="s">
        <v>679</v>
      </c>
      <c r="W517" s="277" t="s">
        <v>145</v>
      </c>
      <c r="X517" s="277" t="s">
        <v>309</v>
      </c>
      <c r="Y517" s="278">
        <v>45078</v>
      </c>
      <c r="Z517" s="287" t="s">
        <v>1875</v>
      </c>
      <c r="AA517" s="287" t="s">
        <v>2876</v>
      </c>
      <c r="AB517" s="287" t="s">
        <v>139</v>
      </c>
      <c r="AC517" s="287" t="s">
        <v>1875</v>
      </c>
      <c r="AD517" s="287" t="s">
        <v>1805</v>
      </c>
      <c r="AE517" s="287" t="s">
        <v>1805</v>
      </c>
      <c r="AF517" s="287" t="s">
        <v>3013</v>
      </c>
      <c r="AG517" s="287" t="s">
        <v>3005</v>
      </c>
      <c r="AH517" s="287" t="s">
        <v>2479</v>
      </c>
      <c r="AI517" s="287" t="s">
        <v>2965</v>
      </c>
      <c r="AJ517" s="304">
        <v>44872</v>
      </c>
      <c r="AK517" s="287" t="s">
        <v>3017</v>
      </c>
      <c r="AL517" s="304">
        <v>44530</v>
      </c>
      <c r="AM517" s="289" t="s">
        <v>1975</v>
      </c>
      <c r="AN517" s="281" t="b">
        <v>1</v>
      </c>
      <c r="AO517" s="305">
        <v>44546</v>
      </c>
      <c r="AP517" s="291">
        <v>1</v>
      </c>
      <c r="AQ517" s="291">
        <v>0</v>
      </c>
      <c r="AR517" s="291">
        <v>0</v>
      </c>
      <c r="AS517" s="291">
        <v>1</v>
      </c>
      <c r="AT517" s="291">
        <v>0</v>
      </c>
      <c r="AU517" s="291">
        <v>5</v>
      </c>
      <c r="AV517" s="305">
        <v>44862</v>
      </c>
      <c r="AW517" s="281">
        <v>26</v>
      </c>
      <c r="AX517" s="281">
        <v>1</v>
      </c>
      <c r="AY517" s="289" t="s">
        <v>1971</v>
      </c>
      <c r="AZ517" s="289" t="s">
        <v>2479</v>
      </c>
      <c r="BA517" s="289" t="s">
        <v>373</v>
      </c>
      <c r="BB517" s="289" t="s">
        <v>1610</v>
      </c>
      <c r="BC517" s="292" t="s">
        <v>2192</v>
      </c>
    </row>
    <row r="518" spans="1:55" ht="45" customHeight="1">
      <c r="A518" s="271">
        <f t="shared" si="8"/>
        <v>517</v>
      </c>
      <c r="B518" s="276" t="s">
        <v>2963</v>
      </c>
      <c r="C518" s="277" t="s">
        <v>2674</v>
      </c>
      <c r="D518" s="277" t="s">
        <v>8</v>
      </c>
      <c r="E518" s="277" t="s">
        <v>13</v>
      </c>
      <c r="F518" s="277" t="s">
        <v>1563</v>
      </c>
      <c r="G518" s="307">
        <v>44580</v>
      </c>
      <c r="H518" s="308"/>
      <c r="I518" s="308"/>
      <c r="J518" s="277"/>
      <c r="K518" s="279"/>
      <c r="L518" s="277" t="s">
        <v>2479</v>
      </c>
      <c r="M518" s="277" t="s">
        <v>2479</v>
      </c>
      <c r="N518" s="277" t="s">
        <v>126</v>
      </c>
      <c r="O518" s="277" t="s">
        <v>2479</v>
      </c>
      <c r="P518" s="277" t="s">
        <v>1554</v>
      </c>
      <c r="Q518" s="277" t="s">
        <v>2198</v>
      </c>
      <c r="R518" s="279">
        <v>44572.430706018517</v>
      </c>
      <c r="S518" s="286">
        <v>2022</v>
      </c>
      <c r="T518" s="277" t="s">
        <v>2001</v>
      </c>
      <c r="U518" s="277" t="s">
        <v>678</v>
      </c>
      <c r="V518" s="277" t="s">
        <v>679</v>
      </c>
      <c r="W518" s="277" t="s">
        <v>145</v>
      </c>
      <c r="X518" s="277" t="s">
        <v>309</v>
      </c>
      <c r="Y518" s="278">
        <v>45078</v>
      </c>
      <c r="Z518" s="287" t="s">
        <v>1875</v>
      </c>
      <c r="AA518" s="287" t="s">
        <v>2873</v>
      </c>
      <c r="AB518" s="287" t="s">
        <v>139</v>
      </c>
      <c r="AC518" s="287" t="s">
        <v>1875</v>
      </c>
      <c r="AD518" s="287" t="s">
        <v>1805</v>
      </c>
      <c r="AE518" s="287" t="s">
        <v>1805</v>
      </c>
      <c r="AF518" s="287" t="s">
        <v>2959</v>
      </c>
      <c r="AG518" s="287" t="s">
        <v>2964</v>
      </c>
      <c r="AH518" s="287" t="s">
        <v>2479</v>
      </c>
      <c r="AI518" s="287" t="s">
        <v>2965</v>
      </c>
      <c r="AJ518" s="304">
        <v>44873</v>
      </c>
      <c r="AK518" s="287" t="s">
        <v>2966</v>
      </c>
      <c r="AL518" s="304">
        <v>44549</v>
      </c>
      <c r="AM518" s="289" t="s">
        <v>1975</v>
      </c>
      <c r="AN518" s="281" t="b">
        <v>1</v>
      </c>
      <c r="AO518" s="305">
        <v>44575</v>
      </c>
      <c r="AP518" s="291">
        <v>2</v>
      </c>
      <c r="AQ518" s="291">
        <v>0</v>
      </c>
      <c r="AR518" s="291">
        <v>0</v>
      </c>
      <c r="AS518" s="291">
        <v>2</v>
      </c>
      <c r="AT518" s="291">
        <v>0</v>
      </c>
      <c r="AU518" s="291">
        <v>6</v>
      </c>
      <c r="AV518" s="305">
        <v>44858</v>
      </c>
      <c r="AW518" s="281">
        <v>22</v>
      </c>
      <c r="AX518" s="281">
        <v>1</v>
      </c>
      <c r="AY518" s="289" t="s">
        <v>1989</v>
      </c>
      <c r="AZ518" s="289" t="s">
        <v>2479</v>
      </c>
      <c r="BA518" s="289" t="s">
        <v>373</v>
      </c>
      <c r="BB518" s="289" t="s">
        <v>1610</v>
      </c>
      <c r="BC518" s="292" t="s">
        <v>2192</v>
      </c>
    </row>
    <row r="519" spans="1:55" ht="45" customHeight="1">
      <c r="A519" s="271">
        <f t="shared" si="8"/>
        <v>518</v>
      </c>
      <c r="B519" s="276" t="s">
        <v>3042</v>
      </c>
      <c r="C519" s="277" t="s">
        <v>2642</v>
      </c>
      <c r="D519" s="277" t="s">
        <v>8</v>
      </c>
      <c r="E519" s="277" t="s">
        <v>13</v>
      </c>
      <c r="F519" s="277" t="s">
        <v>1563</v>
      </c>
      <c r="G519" s="307">
        <v>44802</v>
      </c>
      <c r="H519" s="308"/>
      <c r="I519" s="308"/>
      <c r="J519" s="277"/>
      <c r="K519" s="279"/>
      <c r="L519" s="277" t="s">
        <v>2479</v>
      </c>
      <c r="M519" s="277" t="s">
        <v>2479</v>
      </c>
      <c r="N519" s="277" t="s">
        <v>126</v>
      </c>
      <c r="O519" s="277" t="s">
        <v>2479</v>
      </c>
      <c r="P519" s="277" t="s">
        <v>1554</v>
      </c>
      <c r="Q519" s="277" t="s">
        <v>2198</v>
      </c>
      <c r="R519" s="279">
        <v>44572.491331018522</v>
      </c>
      <c r="S519" s="286">
        <v>2022</v>
      </c>
      <c r="T519" s="277" t="s">
        <v>2001</v>
      </c>
      <c r="U519" s="277" t="s">
        <v>678</v>
      </c>
      <c r="V519" s="277" t="s">
        <v>679</v>
      </c>
      <c r="W519" s="277" t="s">
        <v>145</v>
      </c>
      <c r="X519" s="277" t="s">
        <v>309</v>
      </c>
      <c r="Y519" s="278">
        <v>45078</v>
      </c>
      <c r="Z519" s="287" t="s">
        <v>1875</v>
      </c>
      <c r="AA519" s="287" t="s">
        <v>2868</v>
      </c>
      <c r="AB519" s="287" t="s">
        <v>139</v>
      </c>
      <c r="AC519" s="287" t="s">
        <v>1875</v>
      </c>
      <c r="AD519" s="287" t="s">
        <v>1805</v>
      </c>
      <c r="AE519" s="287" t="s">
        <v>1805</v>
      </c>
      <c r="AF519" s="287" t="s">
        <v>2968</v>
      </c>
      <c r="AG519" s="366" t="s">
        <v>3043</v>
      </c>
      <c r="AH519" s="287" t="s">
        <v>2479</v>
      </c>
      <c r="AI519" s="287" t="s">
        <v>2965</v>
      </c>
      <c r="AJ519" s="304">
        <v>44874</v>
      </c>
      <c r="AK519" s="287" t="s">
        <v>3041</v>
      </c>
      <c r="AL519" s="304">
        <v>44316</v>
      </c>
      <c r="AM519" s="289" t="s">
        <v>1975</v>
      </c>
      <c r="AN519" s="281" t="b">
        <v>1</v>
      </c>
      <c r="AO519" s="305">
        <v>44272</v>
      </c>
      <c r="AP519" s="291">
        <v>1</v>
      </c>
      <c r="AQ519" s="291">
        <v>0</v>
      </c>
      <c r="AR519" s="291">
        <v>0</v>
      </c>
      <c r="AS519" s="291">
        <v>1</v>
      </c>
      <c r="AT519" s="291">
        <v>0</v>
      </c>
      <c r="AU519" s="291">
        <v>4</v>
      </c>
      <c r="AV519" s="305">
        <v>44861</v>
      </c>
      <c r="AW519" s="281">
        <v>37</v>
      </c>
      <c r="AX519" s="281">
        <v>1</v>
      </c>
      <c r="AY519" s="289" t="s">
        <v>1989</v>
      </c>
      <c r="AZ519" s="289" t="s">
        <v>2479</v>
      </c>
      <c r="BA519" s="289" t="s">
        <v>373</v>
      </c>
      <c r="BB519" s="289" t="s">
        <v>1610</v>
      </c>
      <c r="BC519" s="292" t="s">
        <v>2192</v>
      </c>
    </row>
    <row r="520" spans="1:55" ht="45" customHeight="1">
      <c r="A520" s="271">
        <f t="shared" si="8"/>
        <v>519</v>
      </c>
      <c r="B520" s="276" t="s">
        <v>3128</v>
      </c>
      <c r="C520" s="277" t="s">
        <v>3126</v>
      </c>
      <c r="D520" s="277" t="s">
        <v>8</v>
      </c>
      <c r="E520" s="277" t="s">
        <v>13</v>
      </c>
      <c r="F520" s="277" t="s">
        <v>1563</v>
      </c>
      <c r="G520" s="307">
        <v>44889</v>
      </c>
      <c r="H520" s="308"/>
      <c r="I520" s="308"/>
      <c r="J520" s="277"/>
      <c r="K520" s="279"/>
      <c r="L520" s="277" t="s">
        <v>2479</v>
      </c>
      <c r="M520" s="277" t="s">
        <v>2479</v>
      </c>
      <c r="N520" s="277" t="s">
        <v>122</v>
      </c>
      <c r="O520" s="277" t="s">
        <v>2479</v>
      </c>
      <c r="P520" s="277" t="s">
        <v>1554</v>
      </c>
      <c r="Q520" s="277" t="s">
        <v>2198</v>
      </c>
      <c r="R520" s="279" t="s">
        <v>3129</v>
      </c>
      <c r="S520" s="286">
        <v>2022</v>
      </c>
      <c r="T520" s="277" t="s">
        <v>2001</v>
      </c>
      <c r="U520" s="277" t="s">
        <v>678</v>
      </c>
      <c r="V520" s="277" t="s">
        <v>679</v>
      </c>
      <c r="W520" s="277" t="s">
        <v>145</v>
      </c>
      <c r="X520" s="277" t="s">
        <v>309</v>
      </c>
      <c r="Y520" s="278">
        <v>45078</v>
      </c>
      <c r="Z520" s="287" t="s">
        <v>1875</v>
      </c>
      <c r="AA520" s="287" t="s">
        <v>2479</v>
      </c>
      <c r="AB520" s="287" t="s">
        <v>139</v>
      </c>
      <c r="AC520" s="287" t="s">
        <v>1875</v>
      </c>
      <c r="AD520" s="287" t="s">
        <v>1805</v>
      </c>
      <c r="AE520" s="287" t="s">
        <v>1805</v>
      </c>
      <c r="AF520" s="287" t="s">
        <v>2479</v>
      </c>
      <c r="AG520" s="287" t="s">
        <v>2479</v>
      </c>
      <c r="AH520" s="287" t="s">
        <v>2479</v>
      </c>
      <c r="AI520" s="287" t="s">
        <v>2479</v>
      </c>
      <c r="AJ520" s="304" t="s">
        <v>2191</v>
      </c>
      <c r="AK520" s="287" t="s">
        <v>2479</v>
      </c>
      <c r="AL520" s="304" t="s">
        <v>2190</v>
      </c>
      <c r="AM520" s="289" t="s">
        <v>1975</v>
      </c>
      <c r="AN520" s="281" t="b">
        <v>0</v>
      </c>
      <c r="AO520" s="305"/>
      <c r="AP520" s="291"/>
      <c r="AQ520" s="291"/>
      <c r="AR520" s="291"/>
      <c r="AS520" s="291"/>
      <c r="AT520" s="291"/>
      <c r="AU520" s="291"/>
      <c r="AV520" s="305"/>
      <c r="AW520" s="281"/>
      <c r="AX520" s="281"/>
      <c r="AY520" s="289" t="s">
        <v>2479</v>
      </c>
      <c r="AZ520" s="289" t="s">
        <v>2479</v>
      </c>
      <c r="BA520" s="289" t="s">
        <v>373</v>
      </c>
      <c r="BB520" s="289" t="s">
        <v>1610</v>
      </c>
      <c r="BC520" s="292" t="s">
        <v>2192</v>
      </c>
    </row>
    <row r="521" spans="1:55" ht="45" customHeight="1">
      <c r="A521" s="271">
        <f t="shared" si="8"/>
        <v>520</v>
      </c>
      <c r="B521" s="276" t="s">
        <v>3125</v>
      </c>
      <c r="C521" s="277" t="s">
        <v>3126</v>
      </c>
      <c r="D521" s="277" t="s">
        <v>8</v>
      </c>
      <c r="E521" s="277" t="s">
        <v>13</v>
      </c>
      <c r="F521" s="277" t="s">
        <v>1563</v>
      </c>
      <c r="G521" s="307">
        <v>44889</v>
      </c>
      <c r="H521" s="308"/>
      <c r="I521" s="308"/>
      <c r="J521" s="277"/>
      <c r="K521" s="279"/>
      <c r="L521" s="277" t="s">
        <v>2479</v>
      </c>
      <c r="M521" s="277" t="s">
        <v>2479</v>
      </c>
      <c r="N521" s="277" t="s">
        <v>122</v>
      </c>
      <c r="O521" s="277" t="s">
        <v>2479</v>
      </c>
      <c r="P521" s="277" t="s">
        <v>1554</v>
      </c>
      <c r="Q521" s="277" t="s">
        <v>2198</v>
      </c>
      <c r="R521" s="279" t="s">
        <v>3127</v>
      </c>
      <c r="S521" s="286">
        <v>2022</v>
      </c>
      <c r="T521" s="277" t="s">
        <v>2001</v>
      </c>
      <c r="U521" s="277" t="s">
        <v>678</v>
      </c>
      <c r="V521" s="277" t="s">
        <v>679</v>
      </c>
      <c r="W521" s="277" t="s">
        <v>145</v>
      </c>
      <c r="X521" s="277" t="s">
        <v>309</v>
      </c>
      <c r="Y521" s="278">
        <v>45078</v>
      </c>
      <c r="Z521" s="287" t="s">
        <v>1875</v>
      </c>
      <c r="AA521" s="287" t="s">
        <v>2479</v>
      </c>
      <c r="AB521" s="287" t="s">
        <v>139</v>
      </c>
      <c r="AC521" s="287" t="s">
        <v>1875</v>
      </c>
      <c r="AD521" s="287" t="s">
        <v>1805</v>
      </c>
      <c r="AE521" s="287" t="s">
        <v>1805</v>
      </c>
      <c r="AF521" s="287" t="s">
        <v>2479</v>
      </c>
      <c r="AG521" s="287" t="s">
        <v>2479</v>
      </c>
      <c r="AH521" s="287" t="s">
        <v>2479</v>
      </c>
      <c r="AI521" s="287" t="s">
        <v>2479</v>
      </c>
      <c r="AJ521" s="304" t="s">
        <v>2191</v>
      </c>
      <c r="AK521" s="287" t="s">
        <v>2479</v>
      </c>
      <c r="AL521" s="304" t="s">
        <v>2190</v>
      </c>
      <c r="AM521" s="289" t="s">
        <v>1975</v>
      </c>
      <c r="AN521" s="281" t="b">
        <v>0</v>
      </c>
      <c r="AO521" s="305"/>
      <c r="AP521" s="291"/>
      <c r="AQ521" s="291"/>
      <c r="AR521" s="291"/>
      <c r="AS521" s="291"/>
      <c r="AT521" s="291"/>
      <c r="AU521" s="291"/>
      <c r="AV521" s="305"/>
      <c r="AW521" s="281"/>
      <c r="AX521" s="281"/>
      <c r="AY521" s="289" t="s">
        <v>2479</v>
      </c>
      <c r="AZ521" s="289" t="s">
        <v>2479</v>
      </c>
      <c r="BA521" s="289" t="s">
        <v>373</v>
      </c>
      <c r="BB521" s="289" t="s">
        <v>1610</v>
      </c>
      <c r="BC521" s="292" t="s">
        <v>2192</v>
      </c>
    </row>
    <row r="522" spans="1:55" ht="45" customHeight="1">
      <c r="A522" s="271">
        <f t="shared" si="8"/>
        <v>521</v>
      </c>
      <c r="B522" s="284" t="s">
        <v>3042</v>
      </c>
      <c r="C522" s="270" t="s">
        <v>3378</v>
      </c>
      <c r="D522" s="270" t="s">
        <v>8</v>
      </c>
      <c r="E522" s="270" t="s">
        <v>13</v>
      </c>
      <c r="F522" s="270" t="s">
        <v>1563</v>
      </c>
      <c r="G522" s="302">
        <v>44932</v>
      </c>
      <c r="L522" s="270" t="s">
        <v>2479</v>
      </c>
      <c r="M522" s="270" t="s">
        <v>2479</v>
      </c>
      <c r="N522" s="272" t="s">
        <v>122</v>
      </c>
      <c r="O522" s="270" t="s">
        <v>2479</v>
      </c>
      <c r="P522" s="270" t="s">
        <v>1554</v>
      </c>
      <c r="Q522" s="270" t="s">
        <v>2198</v>
      </c>
      <c r="R522" s="306">
        <v>44959.426087962966</v>
      </c>
      <c r="S522" s="285">
        <v>2023</v>
      </c>
      <c r="T522" s="270" t="s">
        <v>2001</v>
      </c>
      <c r="U522" s="270" t="s">
        <v>678</v>
      </c>
      <c r="V522" s="270" t="s">
        <v>679</v>
      </c>
      <c r="W522" s="270" t="s">
        <v>145</v>
      </c>
      <c r="X522" s="270" t="s">
        <v>309</v>
      </c>
      <c r="Y522" s="273">
        <v>45078</v>
      </c>
      <c r="Z522" s="288" t="s">
        <v>1875</v>
      </c>
      <c r="AA522" s="288" t="s">
        <v>2868</v>
      </c>
      <c r="AB522" s="288" t="s">
        <v>139</v>
      </c>
      <c r="AC522" s="288" t="s">
        <v>1875</v>
      </c>
      <c r="AD522" s="288" t="s">
        <v>1805</v>
      </c>
      <c r="AE522" s="288" t="s">
        <v>1805</v>
      </c>
      <c r="AF522" s="288" t="s">
        <v>2479</v>
      </c>
      <c r="AG522" s="288" t="s">
        <v>2479</v>
      </c>
      <c r="AH522" s="288" t="s">
        <v>2479</v>
      </c>
      <c r="AI522" s="288" t="s">
        <v>2965</v>
      </c>
      <c r="AJ522" s="303">
        <v>44971</v>
      </c>
      <c r="AK522" s="288" t="s">
        <v>3379</v>
      </c>
      <c r="AL522" s="303">
        <v>44805</v>
      </c>
      <c r="AM522" s="288" t="s">
        <v>1975</v>
      </c>
      <c r="AN522" s="207" t="b">
        <v>1</v>
      </c>
      <c r="AO522" s="303">
        <v>44796</v>
      </c>
      <c r="AP522" s="290">
        <v>1</v>
      </c>
      <c r="AQ522" s="290">
        <v>0</v>
      </c>
      <c r="AR522" s="290">
        <v>0</v>
      </c>
      <c r="AS522" s="290">
        <v>1</v>
      </c>
      <c r="AT522" s="290">
        <v>0</v>
      </c>
      <c r="AU522" s="290">
        <v>9</v>
      </c>
      <c r="AV522" s="303">
        <v>44965</v>
      </c>
      <c r="AW522" s="207">
        <v>1</v>
      </c>
      <c r="AX522" s="207">
        <v>1</v>
      </c>
      <c r="AY522" s="288" t="s">
        <v>2479</v>
      </c>
      <c r="AZ522" s="288" t="s">
        <v>2479</v>
      </c>
      <c r="BA522" s="288" t="s">
        <v>373</v>
      </c>
      <c r="BB522" s="288" t="s">
        <v>1610</v>
      </c>
      <c r="BC522" s="288" t="s">
        <v>2192</v>
      </c>
    </row>
    <row r="523" spans="1:55" ht="45" customHeight="1">
      <c r="A523" s="271">
        <f t="shared" si="8"/>
        <v>522</v>
      </c>
      <c r="B523" s="284" t="s">
        <v>2710</v>
      </c>
      <c r="C523" s="270" t="s">
        <v>3446</v>
      </c>
      <c r="D523" s="270" t="s">
        <v>8</v>
      </c>
      <c r="E523" s="270" t="s">
        <v>13</v>
      </c>
      <c r="F523" s="270" t="s">
        <v>1563</v>
      </c>
      <c r="G523" s="302">
        <v>44959</v>
      </c>
      <c r="L523" s="270" t="s">
        <v>2479</v>
      </c>
      <c r="M523" s="270" t="s">
        <v>2479</v>
      </c>
      <c r="N523" s="272" t="s">
        <v>122</v>
      </c>
      <c r="O523" s="270" t="s">
        <v>2479</v>
      </c>
      <c r="P523" s="270" t="s">
        <v>1554</v>
      </c>
      <c r="Q523" s="270" t="s">
        <v>2198</v>
      </c>
      <c r="R523" s="306" t="s">
        <v>3447</v>
      </c>
      <c r="S523" s="285">
        <v>2023</v>
      </c>
      <c r="T523" s="270" t="s">
        <v>2001</v>
      </c>
      <c r="U523" s="270" t="s">
        <v>678</v>
      </c>
      <c r="V523" s="270" t="s">
        <v>679</v>
      </c>
      <c r="W523" s="270" t="s">
        <v>145</v>
      </c>
      <c r="X523" s="270" t="s">
        <v>309</v>
      </c>
      <c r="Y523" s="273">
        <v>45078</v>
      </c>
      <c r="Z523" s="288" t="s">
        <v>1875</v>
      </c>
      <c r="AA523" s="288" t="s">
        <v>2479</v>
      </c>
      <c r="AB523" s="288" t="s">
        <v>139</v>
      </c>
      <c r="AC523" s="288" t="s">
        <v>1875</v>
      </c>
      <c r="AD523" s="288" t="s">
        <v>1805</v>
      </c>
      <c r="AE523" s="288" t="s">
        <v>1805</v>
      </c>
      <c r="AF523" s="288" t="s">
        <v>2479</v>
      </c>
      <c r="AG523" s="288" t="s">
        <v>2479</v>
      </c>
      <c r="AH523" s="288" t="s">
        <v>2479</v>
      </c>
      <c r="AI523" s="288" t="s">
        <v>2965</v>
      </c>
      <c r="AJ523" s="303" t="s">
        <v>2191</v>
      </c>
      <c r="AK523" s="288" t="s">
        <v>3448</v>
      </c>
      <c r="AL523" s="303">
        <v>44892</v>
      </c>
      <c r="AM523" s="288" t="s">
        <v>1975</v>
      </c>
      <c r="AN523" s="207" t="b">
        <v>0</v>
      </c>
      <c r="AY523" s="288" t="s">
        <v>2479</v>
      </c>
      <c r="AZ523" s="288" t="s">
        <v>2479</v>
      </c>
      <c r="BA523" s="288" t="s">
        <v>373</v>
      </c>
      <c r="BB523" s="288" t="s">
        <v>1610</v>
      </c>
      <c r="BC523" s="288" t="s">
        <v>2192</v>
      </c>
    </row>
    <row r="524" spans="1:55" ht="45" customHeight="1">
      <c r="A524" s="271">
        <f t="shared" si="8"/>
        <v>523</v>
      </c>
      <c r="B524" s="284" t="s">
        <v>2711</v>
      </c>
      <c r="C524" s="270" t="s">
        <v>3449</v>
      </c>
      <c r="D524" s="270" t="s">
        <v>8</v>
      </c>
      <c r="E524" s="270" t="s">
        <v>13</v>
      </c>
      <c r="F524" s="270" t="s">
        <v>1563</v>
      </c>
      <c r="G524" s="302">
        <v>44971</v>
      </c>
      <c r="L524" s="270" t="s">
        <v>2479</v>
      </c>
      <c r="M524" s="270" t="s">
        <v>2479</v>
      </c>
      <c r="N524" s="272" t="s">
        <v>122</v>
      </c>
      <c r="O524" s="270" t="s">
        <v>2479</v>
      </c>
      <c r="P524" s="270" t="s">
        <v>1554</v>
      </c>
      <c r="Q524" s="270" t="s">
        <v>2198</v>
      </c>
      <c r="R524" s="306" t="s">
        <v>3450</v>
      </c>
      <c r="S524" s="285">
        <v>2023</v>
      </c>
      <c r="T524" s="270" t="s">
        <v>2001</v>
      </c>
      <c r="U524" s="270" t="s">
        <v>678</v>
      </c>
      <c r="V524" s="270" t="s">
        <v>679</v>
      </c>
      <c r="W524" s="270" t="s">
        <v>145</v>
      </c>
      <c r="X524" s="270" t="s">
        <v>309</v>
      </c>
      <c r="Y524" s="273">
        <v>45078</v>
      </c>
      <c r="Z524" s="288" t="s">
        <v>1875</v>
      </c>
      <c r="AA524" s="288" t="s">
        <v>2886</v>
      </c>
      <c r="AB524" s="288" t="s">
        <v>139</v>
      </c>
      <c r="AC524" s="288" t="s">
        <v>1875</v>
      </c>
      <c r="AD524" s="288" t="s">
        <v>1805</v>
      </c>
      <c r="AE524" s="288" t="s">
        <v>1805</v>
      </c>
      <c r="AF524" s="288" t="s">
        <v>2479</v>
      </c>
      <c r="AG524" s="288" t="s">
        <v>2479</v>
      </c>
      <c r="AH524" s="288" t="s">
        <v>2479</v>
      </c>
      <c r="AI524" s="288" t="s">
        <v>2965</v>
      </c>
      <c r="AJ524" s="303" t="s">
        <v>2191</v>
      </c>
      <c r="AK524" s="288" t="s">
        <v>3439</v>
      </c>
      <c r="AL524" s="303">
        <v>44916</v>
      </c>
      <c r="AM524" s="288" t="s">
        <v>1975</v>
      </c>
      <c r="AN524" s="207" t="b">
        <v>0</v>
      </c>
      <c r="AY524" s="288" t="s">
        <v>2479</v>
      </c>
      <c r="AZ524" s="288" t="s">
        <v>2479</v>
      </c>
      <c r="BA524" s="288" t="s">
        <v>373</v>
      </c>
      <c r="BB524" s="288" t="s">
        <v>1610</v>
      </c>
      <c r="BC524" s="288" t="s">
        <v>2192</v>
      </c>
    </row>
    <row r="525" spans="1:55" ht="45" customHeight="1">
      <c r="A525" s="271">
        <f t="shared" si="8"/>
        <v>524</v>
      </c>
      <c r="B525" s="284" t="s">
        <v>2713</v>
      </c>
      <c r="C525" s="270" t="s">
        <v>3504</v>
      </c>
      <c r="D525" s="270" t="s">
        <v>8</v>
      </c>
      <c r="E525" s="270" t="s">
        <v>13</v>
      </c>
      <c r="F525" s="270" t="s">
        <v>1563</v>
      </c>
      <c r="G525" s="302">
        <v>44984</v>
      </c>
      <c r="L525" s="270" t="s">
        <v>2479</v>
      </c>
      <c r="M525" s="270" t="s">
        <v>2479</v>
      </c>
      <c r="N525" s="272" t="s">
        <v>122</v>
      </c>
      <c r="O525" s="270" t="s">
        <v>2479</v>
      </c>
      <c r="P525" s="270" t="s">
        <v>1554</v>
      </c>
      <c r="Q525" s="270" t="s">
        <v>2198</v>
      </c>
      <c r="R525" s="306">
        <v>44929.444814814815</v>
      </c>
      <c r="S525" s="285">
        <v>2023</v>
      </c>
      <c r="T525" s="270" t="s">
        <v>2001</v>
      </c>
      <c r="U525" s="270" t="s">
        <v>678</v>
      </c>
      <c r="V525" s="270" t="s">
        <v>679</v>
      </c>
      <c r="W525" s="270" t="s">
        <v>145</v>
      </c>
      <c r="X525" s="270" t="s">
        <v>309</v>
      </c>
      <c r="Y525" s="273">
        <v>45078</v>
      </c>
      <c r="Z525" s="288" t="s">
        <v>1875</v>
      </c>
      <c r="AA525" s="288" t="s">
        <v>2479</v>
      </c>
      <c r="AB525" s="288" t="s">
        <v>139</v>
      </c>
      <c r="AC525" s="288" t="s">
        <v>1875</v>
      </c>
      <c r="AD525" s="288" t="s">
        <v>1805</v>
      </c>
      <c r="AE525" s="288" t="s">
        <v>1805</v>
      </c>
      <c r="AF525" s="288" t="s">
        <v>2479</v>
      </c>
      <c r="AG525" s="288" t="s">
        <v>2479</v>
      </c>
      <c r="AH525" s="288" t="s">
        <v>2479</v>
      </c>
      <c r="AI525" s="288" t="s">
        <v>2479</v>
      </c>
      <c r="AJ525" s="303" t="s">
        <v>2191</v>
      </c>
      <c r="AK525" s="288" t="s">
        <v>2479</v>
      </c>
      <c r="AL525" s="303" t="s">
        <v>2190</v>
      </c>
      <c r="AM525" s="288" t="s">
        <v>1975</v>
      </c>
      <c r="AN525" s="207" t="b">
        <v>0</v>
      </c>
      <c r="AY525" s="288" t="s">
        <v>2479</v>
      </c>
      <c r="AZ525" s="288" t="s">
        <v>2479</v>
      </c>
      <c r="BA525" s="288" t="s">
        <v>373</v>
      </c>
      <c r="BB525" s="288" t="s">
        <v>1610</v>
      </c>
      <c r="BC525" s="288" t="s">
        <v>2192</v>
      </c>
    </row>
    <row r="526" spans="1:55" ht="45" customHeight="1">
      <c r="A526" s="271">
        <f t="shared" si="8"/>
        <v>525</v>
      </c>
      <c r="B526" s="284" t="s">
        <v>3526</v>
      </c>
      <c r="C526" s="270" t="s">
        <v>3527</v>
      </c>
      <c r="D526" s="270" t="s">
        <v>8</v>
      </c>
      <c r="E526" s="270" t="s">
        <v>13</v>
      </c>
      <c r="F526" s="270" t="s">
        <v>1563</v>
      </c>
      <c r="G526" s="302">
        <v>44995</v>
      </c>
      <c r="L526" s="270" t="s">
        <v>2479</v>
      </c>
      <c r="M526" s="270" t="s">
        <v>2479</v>
      </c>
      <c r="N526" s="272" t="s">
        <v>122</v>
      </c>
      <c r="O526" s="270" t="s">
        <v>2479</v>
      </c>
      <c r="P526" s="270" t="s">
        <v>1554</v>
      </c>
      <c r="Q526" s="270" t="s">
        <v>2198</v>
      </c>
      <c r="R526" s="306" t="s">
        <v>3528</v>
      </c>
      <c r="S526" s="285">
        <v>2023</v>
      </c>
      <c r="T526" s="270" t="s">
        <v>2001</v>
      </c>
      <c r="U526" s="270" t="s">
        <v>678</v>
      </c>
      <c r="V526" s="270" t="s">
        <v>679</v>
      </c>
      <c r="W526" s="270" t="s">
        <v>145</v>
      </c>
      <c r="X526" s="270" t="s">
        <v>309</v>
      </c>
      <c r="Y526" s="273">
        <v>45078</v>
      </c>
      <c r="Z526" s="288" t="s">
        <v>1875</v>
      </c>
      <c r="AA526" s="288" t="s">
        <v>2479</v>
      </c>
      <c r="AB526" s="288" t="s">
        <v>139</v>
      </c>
      <c r="AC526" s="288" t="s">
        <v>1875</v>
      </c>
      <c r="AD526" s="288" t="s">
        <v>1805</v>
      </c>
      <c r="AE526" s="288" t="s">
        <v>1805</v>
      </c>
      <c r="AF526" s="288" t="s">
        <v>2479</v>
      </c>
      <c r="AG526" s="288" t="s">
        <v>2479</v>
      </c>
      <c r="AH526" s="288" t="s">
        <v>2479</v>
      </c>
      <c r="AI526" s="288" t="s">
        <v>2479</v>
      </c>
      <c r="AJ526" s="303" t="s">
        <v>2191</v>
      </c>
      <c r="AK526" s="288" t="s">
        <v>2479</v>
      </c>
      <c r="AL526" s="303" t="s">
        <v>2190</v>
      </c>
      <c r="AM526" s="288" t="s">
        <v>1975</v>
      </c>
      <c r="AN526" s="207" t="b">
        <v>0</v>
      </c>
      <c r="AY526" s="288" t="s">
        <v>2479</v>
      </c>
      <c r="AZ526" s="288" t="s">
        <v>2479</v>
      </c>
      <c r="BA526" s="288" t="s">
        <v>373</v>
      </c>
      <c r="BB526" s="288" t="s">
        <v>1610</v>
      </c>
      <c r="BC526" s="288" t="s">
        <v>2192</v>
      </c>
    </row>
    <row r="527" spans="1:55" ht="45" customHeight="1">
      <c r="A527" s="271">
        <f t="shared" si="8"/>
        <v>526</v>
      </c>
      <c r="B527" s="276" t="s">
        <v>2714</v>
      </c>
      <c r="C527" s="277" t="s">
        <v>2715</v>
      </c>
      <c r="D527" s="277" t="s">
        <v>8</v>
      </c>
      <c r="E527" s="277" t="s">
        <v>13</v>
      </c>
      <c r="F527" s="277" t="s">
        <v>1566</v>
      </c>
      <c r="G527" s="307">
        <v>43517</v>
      </c>
      <c r="H527" s="308"/>
      <c r="I527" s="308"/>
      <c r="J527" s="277"/>
      <c r="K527" s="279"/>
      <c r="L527" s="277" t="s">
        <v>2479</v>
      </c>
      <c r="M527" s="277" t="s">
        <v>2479</v>
      </c>
      <c r="N527" s="277" t="s">
        <v>126</v>
      </c>
      <c r="O527" s="277" t="s">
        <v>2479</v>
      </c>
      <c r="P527" s="277" t="s">
        <v>1554</v>
      </c>
      <c r="Q527" s="277" t="s">
        <v>2198</v>
      </c>
      <c r="R527" s="279">
        <v>44630.465624999997</v>
      </c>
      <c r="S527" s="286">
        <v>2019</v>
      </c>
      <c r="T527" s="277" t="s">
        <v>2001</v>
      </c>
      <c r="U527" s="277" t="s">
        <v>678</v>
      </c>
      <c r="V527" s="277" t="s">
        <v>679</v>
      </c>
      <c r="W527" s="277" t="s">
        <v>145</v>
      </c>
      <c r="X527" s="277" t="s">
        <v>309</v>
      </c>
      <c r="Y527" s="278">
        <v>45078</v>
      </c>
      <c r="Z527" s="287" t="s">
        <v>1875</v>
      </c>
      <c r="AA527" s="287" t="s">
        <v>2479</v>
      </c>
      <c r="AB527" s="287" t="s">
        <v>139</v>
      </c>
      <c r="AC527" s="287" t="s">
        <v>1875</v>
      </c>
      <c r="AD527" s="287" t="s">
        <v>1805</v>
      </c>
      <c r="AE527" s="287" t="s">
        <v>1805</v>
      </c>
      <c r="AF527" s="287" t="s">
        <v>2479</v>
      </c>
      <c r="AG527" s="287" t="s">
        <v>2479</v>
      </c>
      <c r="AH527" s="287" t="s">
        <v>2479</v>
      </c>
      <c r="AI527" s="287" t="s">
        <v>2479</v>
      </c>
      <c r="AJ527" s="304" t="s">
        <v>2191</v>
      </c>
      <c r="AK527" s="287" t="s">
        <v>2479</v>
      </c>
      <c r="AL527" s="304" t="s">
        <v>2190</v>
      </c>
      <c r="AM527" s="289" t="s">
        <v>1975</v>
      </c>
      <c r="AN527" s="281" t="b">
        <v>0</v>
      </c>
      <c r="AO527" s="305"/>
      <c r="AP527" s="291"/>
      <c r="AQ527" s="291"/>
      <c r="AR527" s="291"/>
      <c r="AS527" s="291"/>
      <c r="AT527" s="291"/>
      <c r="AU527" s="291"/>
      <c r="AV527" s="305"/>
      <c r="AW527" s="281"/>
      <c r="AX527" s="281"/>
      <c r="AY527" s="289" t="s">
        <v>2479</v>
      </c>
      <c r="AZ527" s="289" t="s">
        <v>2479</v>
      </c>
      <c r="BA527" s="289" t="s">
        <v>373</v>
      </c>
      <c r="BB527" s="289" t="s">
        <v>1610</v>
      </c>
      <c r="BC527" s="292" t="s">
        <v>2192</v>
      </c>
    </row>
    <row r="528" spans="1:55" ht="45" customHeight="1">
      <c r="A528" s="271">
        <f t="shared" si="8"/>
        <v>527</v>
      </c>
      <c r="B528" s="276" t="s">
        <v>2716</v>
      </c>
      <c r="C528" s="277" t="s">
        <v>2717</v>
      </c>
      <c r="D528" s="277" t="s">
        <v>8</v>
      </c>
      <c r="E528" s="277" t="s">
        <v>13</v>
      </c>
      <c r="F528" s="277" t="s">
        <v>1566</v>
      </c>
      <c r="G528" s="307">
        <v>43517</v>
      </c>
      <c r="H528" s="308"/>
      <c r="I528" s="308"/>
      <c r="J528" s="277"/>
      <c r="K528" s="279"/>
      <c r="L528" s="277" t="s">
        <v>2479</v>
      </c>
      <c r="M528" s="277" t="s">
        <v>2479</v>
      </c>
      <c r="N528" s="277" t="s">
        <v>98</v>
      </c>
      <c r="O528" s="277" t="s">
        <v>2479</v>
      </c>
      <c r="P528" s="277" t="s">
        <v>1554</v>
      </c>
      <c r="Q528" s="277" t="s">
        <v>2198</v>
      </c>
      <c r="R528" s="279">
        <v>44630.46603009259</v>
      </c>
      <c r="S528" s="286">
        <v>2019</v>
      </c>
      <c r="T528" s="277" t="s">
        <v>2001</v>
      </c>
      <c r="U528" s="277" t="s">
        <v>678</v>
      </c>
      <c r="V528" s="277" t="s">
        <v>679</v>
      </c>
      <c r="W528" s="277" t="s">
        <v>145</v>
      </c>
      <c r="X528" s="277" t="s">
        <v>309</v>
      </c>
      <c r="Y528" s="278">
        <v>45078</v>
      </c>
      <c r="Z528" s="287" t="s">
        <v>1875</v>
      </c>
      <c r="AA528" s="287" t="s">
        <v>2479</v>
      </c>
      <c r="AB528" s="287" t="s">
        <v>139</v>
      </c>
      <c r="AC528" s="287" t="s">
        <v>1875</v>
      </c>
      <c r="AD528" s="287" t="s">
        <v>1805</v>
      </c>
      <c r="AE528" s="287" t="s">
        <v>1805</v>
      </c>
      <c r="AF528" s="287" t="s">
        <v>2479</v>
      </c>
      <c r="AG528" s="287" t="s">
        <v>2479</v>
      </c>
      <c r="AH528" s="287" t="s">
        <v>2479</v>
      </c>
      <c r="AI528" s="287" t="s">
        <v>2479</v>
      </c>
      <c r="AJ528" s="304" t="s">
        <v>2191</v>
      </c>
      <c r="AK528" s="287" t="s">
        <v>2479</v>
      </c>
      <c r="AL528" s="304" t="s">
        <v>2190</v>
      </c>
      <c r="AM528" s="289" t="s">
        <v>1975</v>
      </c>
      <c r="AN528" s="281" t="b">
        <v>0</v>
      </c>
      <c r="AO528" s="305"/>
      <c r="AP528" s="291"/>
      <c r="AQ528" s="291"/>
      <c r="AR528" s="291"/>
      <c r="AS528" s="291"/>
      <c r="AT528" s="291"/>
      <c r="AU528" s="291"/>
      <c r="AV528" s="305"/>
      <c r="AW528" s="281"/>
      <c r="AX528" s="281"/>
      <c r="AY528" s="289" t="s">
        <v>2479</v>
      </c>
      <c r="AZ528" s="289" t="s">
        <v>2479</v>
      </c>
      <c r="BA528" s="289" t="s">
        <v>373</v>
      </c>
      <c r="BB528" s="289" t="s">
        <v>1610</v>
      </c>
      <c r="BC528" s="292" t="s">
        <v>2192</v>
      </c>
    </row>
    <row r="529" spans="1:55" ht="45" customHeight="1">
      <c r="A529" s="271">
        <f t="shared" si="8"/>
        <v>528</v>
      </c>
      <c r="B529" s="284" t="s">
        <v>3798</v>
      </c>
      <c r="C529" s="270" t="s">
        <v>3799</v>
      </c>
      <c r="D529" s="270" t="s">
        <v>8</v>
      </c>
      <c r="E529" s="270" t="s">
        <v>13</v>
      </c>
      <c r="F529" s="270" t="s">
        <v>1566</v>
      </c>
      <c r="G529" s="302">
        <v>44022</v>
      </c>
      <c r="I529" s="306">
        <v>45048</v>
      </c>
      <c r="J529" s="270" t="s">
        <v>2904</v>
      </c>
      <c r="L529" s="270" t="s">
        <v>2479</v>
      </c>
      <c r="M529" s="270" t="s">
        <v>2479</v>
      </c>
      <c r="N529" s="272" t="s">
        <v>122</v>
      </c>
      <c r="O529" s="270" t="s">
        <v>2479</v>
      </c>
      <c r="P529" s="270" t="s">
        <v>1554</v>
      </c>
      <c r="Q529" s="270" t="s">
        <v>2198</v>
      </c>
      <c r="R529" s="306">
        <v>44963.393078703702</v>
      </c>
      <c r="S529" s="285">
        <v>2020</v>
      </c>
      <c r="T529" s="270" t="s">
        <v>2001</v>
      </c>
      <c r="U529" s="270" t="s">
        <v>678</v>
      </c>
      <c r="V529" s="270" t="s">
        <v>679</v>
      </c>
      <c r="W529" s="270" t="s">
        <v>145</v>
      </c>
      <c r="X529" s="270" t="s">
        <v>309</v>
      </c>
      <c r="Y529" s="273">
        <v>45078</v>
      </c>
      <c r="Z529" s="288" t="s">
        <v>1875</v>
      </c>
      <c r="AA529" s="288" t="s">
        <v>2479</v>
      </c>
      <c r="AB529" s="288" t="s">
        <v>139</v>
      </c>
      <c r="AC529" s="288" t="s">
        <v>1875</v>
      </c>
      <c r="AD529" s="288" t="s">
        <v>1805</v>
      </c>
      <c r="AE529" s="288" t="s">
        <v>1805</v>
      </c>
      <c r="AF529" s="288" t="s">
        <v>2479</v>
      </c>
      <c r="AG529" s="288" t="s">
        <v>2479</v>
      </c>
      <c r="AH529" s="288" t="s">
        <v>2479</v>
      </c>
      <c r="AI529" s="288" t="s">
        <v>2479</v>
      </c>
      <c r="AJ529" s="303" t="s">
        <v>2191</v>
      </c>
      <c r="AK529" s="288" t="s">
        <v>2479</v>
      </c>
      <c r="AL529" s="303" t="s">
        <v>2190</v>
      </c>
      <c r="AM529" s="288" t="s">
        <v>1975</v>
      </c>
      <c r="AN529" s="207" t="b">
        <v>0</v>
      </c>
      <c r="AY529" s="288" t="s">
        <v>2479</v>
      </c>
      <c r="AZ529" s="288" t="s">
        <v>2479</v>
      </c>
      <c r="BA529" s="288" t="s">
        <v>373</v>
      </c>
      <c r="BB529" s="288" t="s">
        <v>1610</v>
      </c>
      <c r="BC529" s="288" t="s">
        <v>2192</v>
      </c>
    </row>
    <row r="530" spans="1:55" ht="45" customHeight="1">
      <c r="A530" s="271">
        <f t="shared" si="8"/>
        <v>529</v>
      </c>
      <c r="B530" s="276" t="s">
        <v>2720</v>
      </c>
      <c r="C530" s="277" t="s">
        <v>2721</v>
      </c>
      <c r="D530" s="277" t="s">
        <v>8</v>
      </c>
      <c r="E530" s="277" t="s">
        <v>13</v>
      </c>
      <c r="F530" s="277" t="s">
        <v>1566</v>
      </c>
      <c r="G530" s="307">
        <v>44595</v>
      </c>
      <c r="H530" s="308"/>
      <c r="I530" s="308"/>
      <c r="J530" s="277"/>
      <c r="K530" s="279"/>
      <c r="L530" s="277" t="s">
        <v>2479</v>
      </c>
      <c r="M530" s="277" t="s">
        <v>2479</v>
      </c>
      <c r="N530" s="277" t="s">
        <v>98</v>
      </c>
      <c r="O530" s="277" t="s">
        <v>2479</v>
      </c>
      <c r="P530" s="277" t="s">
        <v>1554</v>
      </c>
      <c r="Q530" s="277" t="s">
        <v>2198</v>
      </c>
      <c r="R530" s="279">
        <v>44630.467141203706</v>
      </c>
      <c r="S530" s="286">
        <v>2022</v>
      </c>
      <c r="T530" s="277" t="s">
        <v>2001</v>
      </c>
      <c r="U530" s="277" t="s">
        <v>678</v>
      </c>
      <c r="V530" s="277" t="s">
        <v>679</v>
      </c>
      <c r="W530" s="277" t="s">
        <v>145</v>
      </c>
      <c r="X530" s="277" t="s">
        <v>309</v>
      </c>
      <c r="Y530" s="278">
        <v>45078</v>
      </c>
      <c r="Z530" s="287" t="s">
        <v>1875</v>
      </c>
      <c r="AA530" s="287" t="s">
        <v>2479</v>
      </c>
      <c r="AB530" s="287" t="s">
        <v>139</v>
      </c>
      <c r="AC530" s="287" t="s">
        <v>1875</v>
      </c>
      <c r="AD530" s="287" t="s">
        <v>1805</v>
      </c>
      <c r="AE530" s="287" t="s">
        <v>1805</v>
      </c>
      <c r="AF530" s="287" t="s">
        <v>2479</v>
      </c>
      <c r="AG530" s="287" t="s">
        <v>2479</v>
      </c>
      <c r="AH530" s="287" t="s">
        <v>2479</v>
      </c>
      <c r="AI530" s="287" t="s">
        <v>2479</v>
      </c>
      <c r="AJ530" s="304" t="s">
        <v>2191</v>
      </c>
      <c r="AK530" s="287" t="s">
        <v>2479</v>
      </c>
      <c r="AL530" s="304" t="s">
        <v>2190</v>
      </c>
      <c r="AM530" s="289" t="s">
        <v>1975</v>
      </c>
      <c r="AN530" s="281" t="b">
        <v>0</v>
      </c>
      <c r="AO530" s="305"/>
      <c r="AP530" s="291"/>
      <c r="AQ530" s="291"/>
      <c r="AR530" s="291"/>
      <c r="AS530" s="291"/>
      <c r="AT530" s="291"/>
      <c r="AU530" s="291"/>
      <c r="AV530" s="305"/>
      <c r="AW530" s="281"/>
      <c r="AX530" s="281"/>
      <c r="AY530" s="289" t="s">
        <v>2479</v>
      </c>
      <c r="AZ530" s="289" t="s">
        <v>2479</v>
      </c>
      <c r="BA530" s="289" t="s">
        <v>373</v>
      </c>
      <c r="BB530" s="289" t="s">
        <v>1610</v>
      </c>
      <c r="BC530" s="292" t="s">
        <v>2192</v>
      </c>
    </row>
    <row r="531" spans="1:55" ht="45" customHeight="1">
      <c r="A531" s="271">
        <f t="shared" si="8"/>
        <v>530</v>
      </c>
      <c r="B531" s="276" t="s">
        <v>2381</v>
      </c>
      <c r="C531" s="277" t="s">
        <v>2899</v>
      </c>
      <c r="D531" s="277" t="s">
        <v>8</v>
      </c>
      <c r="E531" s="277" t="s">
        <v>13</v>
      </c>
      <c r="F531" s="277" t="s">
        <v>1566</v>
      </c>
      <c r="G531" s="308">
        <v>44847</v>
      </c>
      <c r="H531" s="308"/>
      <c r="I531" s="308"/>
      <c r="J531" s="277"/>
      <c r="K531" s="279"/>
      <c r="L531" s="277" t="s">
        <v>2479</v>
      </c>
      <c r="M531" s="277" t="s">
        <v>2479</v>
      </c>
      <c r="N531" s="277" t="s">
        <v>122</v>
      </c>
      <c r="O531" s="277" t="s">
        <v>2479</v>
      </c>
      <c r="P531" s="277" t="s">
        <v>1554</v>
      </c>
      <c r="Q531" s="277" t="s">
        <v>2198</v>
      </c>
      <c r="R531" s="279" t="s">
        <v>2900</v>
      </c>
      <c r="S531" s="286">
        <v>2022</v>
      </c>
      <c r="T531" s="277" t="s">
        <v>2001</v>
      </c>
      <c r="U531" s="277" t="s">
        <v>678</v>
      </c>
      <c r="V531" s="277" t="s">
        <v>679</v>
      </c>
      <c r="W531" s="277" t="s">
        <v>145</v>
      </c>
      <c r="X531" s="277" t="s">
        <v>309</v>
      </c>
      <c r="Y531" s="278">
        <v>45078</v>
      </c>
      <c r="Z531" s="287" t="s">
        <v>1875</v>
      </c>
      <c r="AA531" s="287" t="s">
        <v>2479</v>
      </c>
      <c r="AB531" s="287" t="s">
        <v>139</v>
      </c>
      <c r="AC531" s="287" t="s">
        <v>1875</v>
      </c>
      <c r="AD531" s="287" t="s">
        <v>1805</v>
      </c>
      <c r="AE531" s="287" t="s">
        <v>1805</v>
      </c>
      <c r="AF531" s="287" t="s">
        <v>2479</v>
      </c>
      <c r="AG531" s="287" t="s">
        <v>2479</v>
      </c>
      <c r="AH531" s="287" t="s">
        <v>2479</v>
      </c>
      <c r="AI531" s="287" t="s">
        <v>2901</v>
      </c>
      <c r="AJ531" s="304" t="s">
        <v>2191</v>
      </c>
      <c r="AK531" s="287" t="s">
        <v>2479</v>
      </c>
      <c r="AL531" s="304" t="s">
        <v>2190</v>
      </c>
      <c r="AM531" s="289" t="s">
        <v>1975</v>
      </c>
      <c r="AN531" s="281" t="b">
        <v>0</v>
      </c>
      <c r="AO531" s="305"/>
      <c r="AP531" s="291"/>
      <c r="AQ531" s="291"/>
      <c r="AR531" s="291"/>
      <c r="AS531" s="291"/>
      <c r="AT531" s="291"/>
      <c r="AU531" s="291"/>
      <c r="AV531" s="305"/>
      <c r="AW531" s="281"/>
      <c r="AX531" s="281"/>
      <c r="AY531" s="289" t="s">
        <v>2479</v>
      </c>
      <c r="AZ531" s="289" t="s">
        <v>2479</v>
      </c>
      <c r="BA531" s="289" t="s">
        <v>373</v>
      </c>
      <c r="BB531" s="289" t="s">
        <v>1610</v>
      </c>
      <c r="BC531" s="292" t="s">
        <v>2192</v>
      </c>
    </row>
    <row r="532" spans="1:55" ht="45" customHeight="1">
      <c r="A532" s="271">
        <f t="shared" si="8"/>
        <v>531</v>
      </c>
      <c r="B532" s="284" t="s">
        <v>2371</v>
      </c>
      <c r="C532" s="270" t="s">
        <v>3451</v>
      </c>
      <c r="D532" s="270" t="s">
        <v>8</v>
      </c>
      <c r="E532" s="270" t="s">
        <v>13</v>
      </c>
      <c r="F532" s="270" t="s">
        <v>1566</v>
      </c>
      <c r="G532" s="302">
        <v>44974</v>
      </c>
      <c r="L532" s="270" t="s">
        <v>2479</v>
      </c>
      <c r="M532" s="270" t="s">
        <v>2479</v>
      </c>
      <c r="N532" s="272" t="s">
        <v>122</v>
      </c>
      <c r="O532" s="270" t="s">
        <v>2479</v>
      </c>
      <c r="P532" s="270" t="s">
        <v>1554</v>
      </c>
      <c r="Q532" s="270" t="s">
        <v>2198</v>
      </c>
      <c r="R532" s="306" t="s">
        <v>3452</v>
      </c>
      <c r="S532" s="285">
        <v>2023</v>
      </c>
      <c r="T532" s="270" t="s">
        <v>2001</v>
      </c>
      <c r="U532" s="270" t="s">
        <v>678</v>
      </c>
      <c r="V532" s="270" t="s">
        <v>679</v>
      </c>
      <c r="W532" s="270" t="s">
        <v>145</v>
      </c>
      <c r="X532" s="270" t="s">
        <v>309</v>
      </c>
      <c r="Y532" s="273">
        <v>45078</v>
      </c>
      <c r="Z532" s="288" t="s">
        <v>1875</v>
      </c>
      <c r="AA532" s="288" t="s">
        <v>2479</v>
      </c>
      <c r="AB532" s="288" t="s">
        <v>139</v>
      </c>
      <c r="AC532" s="288" t="s">
        <v>1875</v>
      </c>
      <c r="AD532" s="288" t="s">
        <v>1805</v>
      </c>
      <c r="AE532" s="288" t="s">
        <v>1805</v>
      </c>
      <c r="AF532" s="288" t="s">
        <v>2479</v>
      </c>
      <c r="AG532" s="288" t="s">
        <v>2479</v>
      </c>
      <c r="AH532" s="288" t="s">
        <v>2479</v>
      </c>
      <c r="AI532" s="288" t="s">
        <v>3453</v>
      </c>
      <c r="AJ532" s="303" t="s">
        <v>2191</v>
      </c>
      <c r="AK532" s="288" t="s">
        <v>2479</v>
      </c>
      <c r="AL532" s="303" t="s">
        <v>2190</v>
      </c>
      <c r="AM532" s="288" t="s">
        <v>1975</v>
      </c>
      <c r="AN532" s="207" t="b">
        <v>0</v>
      </c>
      <c r="AY532" s="288" t="s">
        <v>2479</v>
      </c>
      <c r="AZ532" s="288" t="s">
        <v>2479</v>
      </c>
      <c r="BA532" s="288" t="s">
        <v>373</v>
      </c>
      <c r="BB532" s="288" t="s">
        <v>1610</v>
      </c>
      <c r="BC532" s="288" t="s">
        <v>2192</v>
      </c>
    </row>
    <row r="533" spans="1:55" ht="45" customHeight="1">
      <c r="A533" s="271">
        <f t="shared" si="8"/>
        <v>532</v>
      </c>
      <c r="B533" s="284" t="s">
        <v>3867</v>
      </c>
      <c r="C533" s="270" t="s">
        <v>3868</v>
      </c>
      <c r="D533" s="270" t="s">
        <v>8</v>
      </c>
      <c r="E533" s="270" t="s">
        <v>13</v>
      </c>
      <c r="F533" s="270" t="s">
        <v>1566</v>
      </c>
      <c r="G533" s="302">
        <v>45085</v>
      </c>
      <c r="L533" s="270" t="s">
        <v>2479</v>
      </c>
      <c r="M533" s="270" t="s">
        <v>2479</v>
      </c>
      <c r="N533" s="272" t="s">
        <v>122</v>
      </c>
      <c r="O533" s="270" t="s">
        <v>2479</v>
      </c>
      <c r="P533" s="270" t="s">
        <v>1555</v>
      </c>
      <c r="Q533" s="270" t="s">
        <v>2198</v>
      </c>
      <c r="R533" s="306">
        <v>44992.439305555556</v>
      </c>
      <c r="S533" s="285">
        <v>2023</v>
      </c>
      <c r="T533" s="270" t="s">
        <v>2001</v>
      </c>
      <c r="U533" s="270" t="s">
        <v>678</v>
      </c>
      <c r="V533" s="270" t="s">
        <v>679</v>
      </c>
      <c r="W533" s="270" t="s">
        <v>145</v>
      </c>
      <c r="X533" s="270" t="s">
        <v>309</v>
      </c>
      <c r="Y533" s="273">
        <v>45078</v>
      </c>
      <c r="Z533" s="288" t="s">
        <v>1875</v>
      </c>
      <c r="AA533" s="288" t="s">
        <v>2479</v>
      </c>
      <c r="AB533" s="288" t="s">
        <v>139</v>
      </c>
      <c r="AC533" s="288" t="s">
        <v>1875</v>
      </c>
      <c r="AD533" s="288" t="s">
        <v>1805</v>
      </c>
      <c r="AE533" s="288" t="s">
        <v>1805</v>
      </c>
      <c r="AF533" s="288" t="s">
        <v>2479</v>
      </c>
      <c r="AG533" s="288" t="s">
        <v>2479</v>
      </c>
      <c r="AH533" s="288" t="s">
        <v>2479</v>
      </c>
      <c r="AI533" s="288" t="s">
        <v>2479</v>
      </c>
      <c r="AJ533" s="303" t="s">
        <v>2191</v>
      </c>
      <c r="AK533" s="288" t="s">
        <v>2479</v>
      </c>
      <c r="AL533" s="303" t="s">
        <v>2190</v>
      </c>
      <c r="AM533" s="288" t="s">
        <v>1975</v>
      </c>
      <c r="AN533" s="207" t="b">
        <v>0</v>
      </c>
      <c r="AY533" s="288" t="s">
        <v>2479</v>
      </c>
      <c r="AZ533" s="288" t="s">
        <v>2479</v>
      </c>
      <c r="BA533" s="288" t="s">
        <v>373</v>
      </c>
      <c r="BB533" s="288" t="s">
        <v>139</v>
      </c>
      <c r="BC533" s="288" t="s">
        <v>2192</v>
      </c>
    </row>
    <row r="534" spans="1:55" ht="45" customHeight="1">
      <c r="A534" s="271">
        <f>ROW()-1</f>
        <v>533</v>
      </c>
      <c r="B534" s="276" t="s">
        <v>2651</v>
      </c>
      <c r="C534" s="277" t="s">
        <v>2726</v>
      </c>
      <c r="D534" s="277" t="s">
        <v>8</v>
      </c>
      <c r="E534" s="277" t="s">
        <v>13</v>
      </c>
      <c r="F534" s="277" t="s">
        <v>1567</v>
      </c>
      <c r="G534" s="307">
        <v>44341</v>
      </c>
      <c r="H534" s="308"/>
      <c r="I534" s="308"/>
      <c r="J534" s="277"/>
      <c r="K534" s="279"/>
      <c r="L534" s="277" t="s">
        <v>2479</v>
      </c>
      <c r="M534" s="277" t="s">
        <v>2479</v>
      </c>
      <c r="N534" s="277" t="s">
        <v>126</v>
      </c>
      <c r="O534" s="277" t="s">
        <v>2479</v>
      </c>
      <c r="P534" s="277" t="s">
        <v>1554</v>
      </c>
      <c r="Q534" s="277" t="s">
        <v>2198</v>
      </c>
      <c r="R534" s="279">
        <v>44630.469861111109</v>
      </c>
      <c r="S534" s="286">
        <v>2021</v>
      </c>
      <c r="T534" s="277" t="s">
        <v>2001</v>
      </c>
      <c r="U534" s="277" t="s">
        <v>678</v>
      </c>
      <c r="V534" s="277" t="s">
        <v>679</v>
      </c>
      <c r="W534" s="277" t="s">
        <v>145</v>
      </c>
      <c r="X534" s="277" t="s">
        <v>309</v>
      </c>
      <c r="Y534" s="278">
        <v>45078</v>
      </c>
      <c r="Z534" s="287" t="s">
        <v>1875</v>
      </c>
      <c r="AA534" s="287" t="s">
        <v>2479</v>
      </c>
      <c r="AB534" s="287" t="s">
        <v>139</v>
      </c>
      <c r="AC534" s="287" t="s">
        <v>1875</v>
      </c>
      <c r="AD534" s="287" t="s">
        <v>1805</v>
      </c>
      <c r="AE534" s="287" t="s">
        <v>1805</v>
      </c>
      <c r="AF534" s="287" t="s">
        <v>2479</v>
      </c>
      <c r="AG534" s="287" t="s">
        <v>2479</v>
      </c>
      <c r="AH534" s="287" t="s">
        <v>2479</v>
      </c>
      <c r="AI534" s="287" t="s">
        <v>2479</v>
      </c>
      <c r="AJ534" s="304" t="s">
        <v>2191</v>
      </c>
      <c r="AK534" s="287" t="s">
        <v>2479</v>
      </c>
      <c r="AL534" s="304" t="s">
        <v>2190</v>
      </c>
      <c r="AM534" s="289" t="s">
        <v>1975</v>
      </c>
      <c r="AN534" s="281" t="b">
        <v>0</v>
      </c>
      <c r="AO534" s="305"/>
      <c r="AP534" s="291"/>
      <c r="AQ534" s="291"/>
      <c r="AR534" s="291"/>
      <c r="AS534" s="291"/>
      <c r="AT534" s="291"/>
      <c r="AU534" s="291"/>
      <c r="AV534" s="305"/>
      <c r="AW534" s="281"/>
      <c r="AX534" s="281"/>
      <c r="AY534" s="289" t="s">
        <v>2479</v>
      </c>
      <c r="AZ534" s="289" t="s">
        <v>2479</v>
      </c>
      <c r="BA534" s="289" t="s">
        <v>373</v>
      </c>
      <c r="BB534" s="289" t="s">
        <v>1610</v>
      </c>
      <c r="BC534" s="292" t="s">
        <v>2192</v>
      </c>
    </row>
    <row r="535" spans="1:55" ht="45" customHeight="1">
      <c r="A535" s="271">
        <f t="shared" si="8"/>
        <v>534</v>
      </c>
      <c r="B535" s="276" t="s">
        <v>2686</v>
      </c>
      <c r="C535" s="277" t="s">
        <v>2727</v>
      </c>
      <c r="D535" s="277" t="s">
        <v>8</v>
      </c>
      <c r="E535" s="277" t="s">
        <v>13</v>
      </c>
      <c r="F535" s="277" t="s">
        <v>1567</v>
      </c>
      <c r="G535" s="307">
        <v>44341</v>
      </c>
      <c r="H535" s="308"/>
      <c r="I535" s="308"/>
      <c r="J535" s="277"/>
      <c r="K535" s="279"/>
      <c r="L535" s="277" t="s">
        <v>2479</v>
      </c>
      <c r="M535" s="277" t="s">
        <v>2479</v>
      </c>
      <c r="N535" s="277" t="s">
        <v>126</v>
      </c>
      <c r="O535" s="277" t="s">
        <v>2479</v>
      </c>
      <c r="P535" s="277" t="s">
        <v>1554</v>
      </c>
      <c r="Q535" s="277" t="s">
        <v>2198</v>
      </c>
      <c r="R535" s="279">
        <v>44630.470243055555</v>
      </c>
      <c r="S535" s="286">
        <v>2021</v>
      </c>
      <c r="T535" s="277" t="s">
        <v>2001</v>
      </c>
      <c r="U535" s="277" t="s">
        <v>678</v>
      </c>
      <c r="V535" s="277" t="s">
        <v>679</v>
      </c>
      <c r="W535" s="277" t="s">
        <v>145</v>
      </c>
      <c r="X535" s="277" t="s">
        <v>309</v>
      </c>
      <c r="Y535" s="278">
        <v>45078</v>
      </c>
      <c r="Z535" s="287" t="s">
        <v>1875</v>
      </c>
      <c r="AA535" s="287" t="s">
        <v>2479</v>
      </c>
      <c r="AB535" s="287" t="s">
        <v>139</v>
      </c>
      <c r="AC535" s="287" t="s">
        <v>1875</v>
      </c>
      <c r="AD535" s="287" t="s">
        <v>1805</v>
      </c>
      <c r="AE535" s="287" t="s">
        <v>1805</v>
      </c>
      <c r="AF535" s="287" t="s">
        <v>2479</v>
      </c>
      <c r="AG535" s="287" t="s">
        <v>2479</v>
      </c>
      <c r="AH535" s="287" t="s">
        <v>2479</v>
      </c>
      <c r="AI535" s="287" t="s">
        <v>2479</v>
      </c>
      <c r="AJ535" s="304" t="s">
        <v>2191</v>
      </c>
      <c r="AK535" s="287" t="s">
        <v>2479</v>
      </c>
      <c r="AL535" s="304" t="s">
        <v>2190</v>
      </c>
      <c r="AM535" s="289" t="s">
        <v>1975</v>
      </c>
      <c r="AN535" s="281" t="b">
        <v>0</v>
      </c>
      <c r="AO535" s="305"/>
      <c r="AP535" s="291"/>
      <c r="AQ535" s="291"/>
      <c r="AR535" s="291"/>
      <c r="AS535" s="291"/>
      <c r="AT535" s="291"/>
      <c r="AU535" s="291"/>
      <c r="AV535" s="305"/>
      <c r="AW535" s="281"/>
      <c r="AX535" s="281"/>
      <c r="AY535" s="289" t="s">
        <v>2479</v>
      </c>
      <c r="AZ535" s="289" t="s">
        <v>2479</v>
      </c>
      <c r="BA535" s="289" t="s">
        <v>373</v>
      </c>
      <c r="BB535" s="289" t="s">
        <v>1610</v>
      </c>
      <c r="BC535" s="292" t="s">
        <v>2192</v>
      </c>
    </row>
    <row r="536" spans="1:55" ht="45" customHeight="1">
      <c r="A536" s="271">
        <f t="shared" si="8"/>
        <v>535</v>
      </c>
      <c r="B536" s="276" t="s">
        <v>2645</v>
      </c>
      <c r="C536" s="277" t="s">
        <v>2730</v>
      </c>
      <c r="D536" s="277" t="s">
        <v>8</v>
      </c>
      <c r="E536" s="277" t="s">
        <v>13</v>
      </c>
      <c r="F536" s="277" t="s">
        <v>1567</v>
      </c>
      <c r="G536" s="307">
        <v>44350</v>
      </c>
      <c r="H536" s="308"/>
      <c r="I536" s="308"/>
      <c r="J536" s="277"/>
      <c r="K536" s="279"/>
      <c r="L536" s="277" t="s">
        <v>2479</v>
      </c>
      <c r="M536" s="277" t="s">
        <v>2479</v>
      </c>
      <c r="N536" s="277" t="s">
        <v>126</v>
      </c>
      <c r="O536" s="277" t="s">
        <v>2479</v>
      </c>
      <c r="P536" s="277" t="s">
        <v>1554</v>
      </c>
      <c r="Q536" s="277" t="s">
        <v>2198</v>
      </c>
      <c r="R536" s="279">
        <v>44630.479108796295</v>
      </c>
      <c r="S536" s="286">
        <v>2021</v>
      </c>
      <c r="T536" s="277" t="s">
        <v>2001</v>
      </c>
      <c r="U536" s="277" t="s">
        <v>678</v>
      </c>
      <c r="V536" s="277" t="s">
        <v>679</v>
      </c>
      <c r="W536" s="277" t="s">
        <v>145</v>
      </c>
      <c r="X536" s="277" t="s">
        <v>309</v>
      </c>
      <c r="Y536" s="278">
        <v>45078</v>
      </c>
      <c r="Z536" s="287" t="s">
        <v>1875</v>
      </c>
      <c r="AA536" s="287" t="s">
        <v>2479</v>
      </c>
      <c r="AB536" s="287" t="s">
        <v>139</v>
      </c>
      <c r="AC536" s="287" t="s">
        <v>1875</v>
      </c>
      <c r="AD536" s="287" t="s">
        <v>1805</v>
      </c>
      <c r="AE536" s="287" t="s">
        <v>1805</v>
      </c>
      <c r="AF536" s="287" t="s">
        <v>2479</v>
      </c>
      <c r="AG536" s="287" t="s">
        <v>2479</v>
      </c>
      <c r="AH536" s="287" t="s">
        <v>2479</v>
      </c>
      <c r="AI536" s="287" t="s">
        <v>2479</v>
      </c>
      <c r="AJ536" s="304" t="s">
        <v>2191</v>
      </c>
      <c r="AK536" s="287" t="s">
        <v>2479</v>
      </c>
      <c r="AL536" s="304" t="s">
        <v>2190</v>
      </c>
      <c r="AM536" s="289" t="s">
        <v>1975</v>
      </c>
      <c r="AN536" s="281" t="b">
        <v>0</v>
      </c>
      <c r="AO536" s="305"/>
      <c r="AP536" s="291"/>
      <c r="AQ536" s="291"/>
      <c r="AR536" s="291"/>
      <c r="AS536" s="291"/>
      <c r="AT536" s="291"/>
      <c r="AU536" s="291"/>
      <c r="AV536" s="305"/>
      <c r="AW536" s="281"/>
      <c r="AX536" s="281"/>
      <c r="AY536" s="289" t="s">
        <v>2479</v>
      </c>
      <c r="AZ536" s="289" t="s">
        <v>2479</v>
      </c>
      <c r="BA536" s="289" t="s">
        <v>373</v>
      </c>
      <c r="BB536" s="289" t="s">
        <v>1610</v>
      </c>
      <c r="BC536" s="292" t="s">
        <v>2192</v>
      </c>
    </row>
    <row r="537" spans="1:55" ht="45" customHeight="1">
      <c r="A537" s="271">
        <f t="shared" si="8"/>
        <v>536</v>
      </c>
      <c r="B537" s="276" t="s">
        <v>2643</v>
      </c>
      <c r="C537" s="277" t="s">
        <v>2731</v>
      </c>
      <c r="D537" s="277" t="s">
        <v>8</v>
      </c>
      <c r="E537" s="277" t="s">
        <v>13</v>
      </c>
      <c r="F537" s="277" t="s">
        <v>1567</v>
      </c>
      <c r="G537" s="307">
        <v>44362</v>
      </c>
      <c r="H537" s="308"/>
      <c r="I537" s="308"/>
      <c r="J537" s="277"/>
      <c r="K537" s="279"/>
      <c r="L537" s="277" t="s">
        <v>2479</v>
      </c>
      <c r="M537" s="277" t="s">
        <v>2479</v>
      </c>
      <c r="N537" s="277" t="s">
        <v>126</v>
      </c>
      <c r="O537" s="277" t="s">
        <v>2479</v>
      </c>
      <c r="P537" s="277" t="s">
        <v>1554</v>
      </c>
      <c r="Q537" s="277" t="s">
        <v>2198</v>
      </c>
      <c r="R537" s="279">
        <v>44630.479583333334</v>
      </c>
      <c r="S537" s="286">
        <v>2021</v>
      </c>
      <c r="T537" s="277" t="s">
        <v>2001</v>
      </c>
      <c r="U537" s="277" t="s">
        <v>678</v>
      </c>
      <c r="V537" s="277" t="s">
        <v>679</v>
      </c>
      <c r="W537" s="277" t="s">
        <v>145</v>
      </c>
      <c r="X537" s="277" t="s">
        <v>309</v>
      </c>
      <c r="Y537" s="278">
        <v>45078</v>
      </c>
      <c r="Z537" s="287" t="s">
        <v>1875</v>
      </c>
      <c r="AA537" s="287" t="s">
        <v>2479</v>
      </c>
      <c r="AB537" s="287" t="s">
        <v>139</v>
      </c>
      <c r="AC537" s="287" t="s">
        <v>1875</v>
      </c>
      <c r="AD537" s="287" t="s">
        <v>1805</v>
      </c>
      <c r="AE537" s="287" t="s">
        <v>1805</v>
      </c>
      <c r="AF537" s="287" t="s">
        <v>2479</v>
      </c>
      <c r="AG537" s="287" t="s">
        <v>2479</v>
      </c>
      <c r="AH537" s="287" t="s">
        <v>2479</v>
      </c>
      <c r="AI537" s="287" t="s">
        <v>2479</v>
      </c>
      <c r="AJ537" s="304" t="s">
        <v>2191</v>
      </c>
      <c r="AK537" s="287" t="s">
        <v>2479</v>
      </c>
      <c r="AL537" s="304" t="s">
        <v>2190</v>
      </c>
      <c r="AM537" s="289" t="s">
        <v>1975</v>
      </c>
      <c r="AN537" s="281" t="b">
        <v>0</v>
      </c>
      <c r="AO537" s="305"/>
      <c r="AP537" s="291"/>
      <c r="AQ537" s="291"/>
      <c r="AR537" s="291"/>
      <c r="AS537" s="291"/>
      <c r="AT537" s="291"/>
      <c r="AU537" s="291"/>
      <c r="AV537" s="305"/>
      <c r="AW537" s="281"/>
      <c r="AX537" s="281"/>
      <c r="AY537" s="289" t="s">
        <v>2479</v>
      </c>
      <c r="AZ537" s="289" t="s">
        <v>2479</v>
      </c>
      <c r="BA537" s="289" t="s">
        <v>373</v>
      </c>
      <c r="BB537" s="289" t="s">
        <v>1610</v>
      </c>
      <c r="BC537" s="292" t="s">
        <v>2192</v>
      </c>
    </row>
    <row r="538" spans="1:55" ht="45" customHeight="1">
      <c r="A538" s="271">
        <f t="shared" si="8"/>
        <v>537</v>
      </c>
      <c r="B538" s="276" t="s">
        <v>2732</v>
      </c>
      <c r="C538" s="277" t="s">
        <v>2733</v>
      </c>
      <c r="D538" s="277" t="s">
        <v>8</v>
      </c>
      <c r="E538" s="277" t="s">
        <v>13</v>
      </c>
      <c r="F538" s="277" t="s">
        <v>1567</v>
      </c>
      <c r="G538" s="307">
        <v>44370</v>
      </c>
      <c r="H538" s="308"/>
      <c r="I538" s="308"/>
      <c r="J538" s="277"/>
      <c r="K538" s="279"/>
      <c r="L538" s="277" t="s">
        <v>2479</v>
      </c>
      <c r="M538" s="277" t="s">
        <v>2479</v>
      </c>
      <c r="N538" s="277" t="s">
        <v>126</v>
      </c>
      <c r="O538" s="277" t="s">
        <v>2479</v>
      </c>
      <c r="P538" s="277" t="s">
        <v>1554</v>
      </c>
      <c r="Q538" s="277" t="s">
        <v>2198</v>
      </c>
      <c r="R538" s="279">
        <v>44630.47997685185</v>
      </c>
      <c r="S538" s="286">
        <v>2021</v>
      </c>
      <c r="T538" s="277" t="s">
        <v>2001</v>
      </c>
      <c r="U538" s="277" t="s">
        <v>678</v>
      </c>
      <c r="V538" s="277" t="s">
        <v>679</v>
      </c>
      <c r="W538" s="277" t="s">
        <v>145</v>
      </c>
      <c r="X538" s="277" t="s">
        <v>309</v>
      </c>
      <c r="Y538" s="278">
        <v>45078</v>
      </c>
      <c r="Z538" s="287" t="s">
        <v>1875</v>
      </c>
      <c r="AA538" s="287" t="s">
        <v>2479</v>
      </c>
      <c r="AB538" s="287" t="s">
        <v>139</v>
      </c>
      <c r="AC538" s="287" t="s">
        <v>1875</v>
      </c>
      <c r="AD538" s="287" t="s">
        <v>1805</v>
      </c>
      <c r="AE538" s="287" t="s">
        <v>1805</v>
      </c>
      <c r="AF538" s="287" t="s">
        <v>2479</v>
      </c>
      <c r="AG538" s="287" t="s">
        <v>2479</v>
      </c>
      <c r="AH538" s="287" t="s">
        <v>2479</v>
      </c>
      <c r="AI538" s="287" t="s">
        <v>2479</v>
      </c>
      <c r="AJ538" s="304" t="s">
        <v>2191</v>
      </c>
      <c r="AK538" s="287" t="s">
        <v>2479</v>
      </c>
      <c r="AL538" s="304" t="s">
        <v>2190</v>
      </c>
      <c r="AM538" s="289" t="s">
        <v>1975</v>
      </c>
      <c r="AN538" s="281" t="b">
        <v>0</v>
      </c>
      <c r="AO538" s="305"/>
      <c r="AP538" s="291"/>
      <c r="AQ538" s="291"/>
      <c r="AR538" s="291"/>
      <c r="AS538" s="291"/>
      <c r="AT538" s="291"/>
      <c r="AU538" s="291"/>
      <c r="AV538" s="305"/>
      <c r="AW538" s="281"/>
      <c r="AX538" s="281"/>
      <c r="AY538" s="289" t="s">
        <v>2479</v>
      </c>
      <c r="AZ538" s="289" t="s">
        <v>2479</v>
      </c>
      <c r="BA538" s="289" t="s">
        <v>373</v>
      </c>
      <c r="BB538" s="289" t="s">
        <v>1610</v>
      </c>
      <c r="BC538" s="292" t="s">
        <v>2192</v>
      </c>
    </row>
    <row r="539" spans="1:55" ht="45" customHeight="1">
      <c r="A539" s="271">
        <f t="shared" si="8"/>
        <v>538</v>
      </c>
      <c r="B539" s="276" t="s">
        <v>2734</v>
      </c>
      <c r="C539" s="277" t="s">
        <v>2735</v>
      </c>
      <c r="D539" s="277" t="s">
        <v>8</v>
      </c>
      <c r="E539" s="277" t="s">
        <v>13</v>
      </c>
      <c r="F539" s="277" t="s">
        <v>1567</v>
      </c>
      <c r="G539" s="307">
        <v>44371</v>
      </c>
      <c r="H539" s="308"/>
      <c r="I539" s="308"/>
      <c r="J539" s="277"/>
      <c r="K539" s="279"/>
      <c r="L539" s="277" t="s">
        <v>2479</v>
      </c>
      <c r="M539" s="277" t="s">
        <v>2479</v>
      </c>
      <c r="N539" s="277" t="s">
        <v>126</v>
      </c>
      <c r="O539" s="277" t="s">
        <v>2479</v>
      </c>
      <c r="P539" s="277" t="s">
        <v>1554</v>
      </c>
      <c r="Q539" s="277" t="s">
        <v>2198</v>
      </c>
      <c r="R539" s="279">
        <v>44630.480416666665</v>
      </c>
      <c r="S539" s="286">
        <v>2021</v>
      </c>
      <c r="T539" s="277" t="s">
        <v>2001</v>
      </c>
      <c r="U539" s="277" t="s">
        <v>678</v>
      </c>
      <c r="V539" s="277" t="s">
        <v>679</v>
      </c>
      <c r="W539" s="277" t="s">
        <v>145</v>
      </c>
      <c r="X539" s="277" t="s">
        <v>309</v>
      </c>
      <c r="Y539" s="278">
        <v>45078</v>
      </c>
      <c r="Z539" s="287" t="s">
        <v>1875</v>
      </c>
      <c r="AA539" s="287" t="s">
        <v>2479</v>
      </c>
      <c r="AB539" s="287" t="s">
        <v>139</v>
      </c>
      <c r="AC539" s="287" t="s">
        <v>1875</v>
      </c>
      <c r="AD539" s="287" t="s">
        <v>1805</v>
      </c>
      <c r="AE539" s="287" t="s">
        <v>1805</v>
      </c>
      <c r="AF539" s="287" t="s">
        <v>2479</v>
      </c>
      <c r="AG539" s="287" t="s">
        <v>2479</v>
      </c>
      <c r="AH539" s="287" t="s">
        <v>2479</v>
      </c>
      <c r="AI539" s="287" t="s">
        <v>2479</v>
      </c>
      <c r="AJ539" s="304" t="s">
        <v>2191</v>
      </c>
      <c r="AK539" s="287" t="s">
        <v>2479</v>
      </c>
      <c r="AL539" s="304" t="s">
        <v>2190</v>
      </c>
      <c r="AM539" s="289" t="s">
        <v>1975</v>
      </c>
      <c r="AN539" s="281" t="b">
        <v>0</v>
      </c>
      <c r="AO539" s="305"/>
      <c r="AP539" s="291"/>
      <c r="AQ539" s="291"/>
      <c r="AR539" s="291"/>
      <c r="AS539" s="291"/>
      <c r="AT539" s="291"/>
      <c r="AU539" s="291"/>
      <c r="AV539" s="305"/>
      <c r="AW539" s="281"/>
      <c r="AX539" s="281"/>
      <c r="AY539" s="289" t="s">
        <v>2479</v>
      </c>
      <c r="AZ539" s="289" t="s">
        <v>2479</v>
      </c>
      <c r="BA539" s="289" t="s">
        <v>373</v>
      </c>
      <c r="BB539" s="289" t="s">
        <v>1610</v>
      </c>
      <c r="BC539" s="292" t="s">
        <v>2192</v>
      </c>
    </row>
    <row r="540" spans="1:55" ht="45" customHeight="1">
      <c r="A540" s="271">
        <f>ROW()-1</f>
        <v>539</v>
      </c>
      <c r="B540" s="276" t="s">
        <v>2737</v>
      </c>
      <c r="C540" s="277" t="s">
        <v>2738</v>
      </c>
      <c r="D540" s="277" t="s">
        <v>8</v>
      </c>
      <c r="E540" s="277" t="s">
        <v>13</v>
      </c>
      <c r="F540" s="277" t="s">
        <v>1567</v>
      </c>
      <c r="G540" s="307">
        <v>44378</v>
      </c>
      <c r="H540" s="308"/>
      <c r="I540" s="308"/>
      <c r="J540" s="277"/>
      <c r="K540" s="279"/>
      <c r="L540" s="277" t="s">
        <v>2479</v>
      </c>
      <c r="M540" s="277" t="s">
        <v>2479</v>
      </c>
      <c r="N540" s="277" t="s">
        <v>126</v>
      </c>
      <c r="O540" s="277" t="s">
        <v>2479</v>
      </c>
      <c r="P540" s="277" t="s">
        <v>1554</v>
      </c>
      <c r="Q540" s="277" t="s">
        <v>2198</v>
      </c>
      <c r="R540" s="279">
        <v>44630.481122685182</v>
      </c>
      <c r="S540" s="286">
        <v>2021</v>
      </c>
      <c r="T540" s="277" t="s">
        <v>2001</v>
      </c>
      <c r="U540" s="277" t="s">
        <v>678</v>
      </c>
      <c r="V540" s="277" t="s">
        <v>679</v>
      </c>
      <c r="W540" s="277" t="s">
        <v>145</v>
      </c>
      <c r="X540" s="277" t="s">
        <v>309</v>
      </c>
      <c r="Y540" s="278">
        <v>45078</v>
      </c>
      <c r="Z540" s="287" t="s">
        <v>1875</v>
      </c>
      <c r="AA540" s="287" t="s">
        <v>2479</v>
      </c>
      <c r="AB540" s="287" t="s">
        <v>139</v>
      </c>
      <c r="AC540" s="287" t="s">
        <v>1875</v>
      </c>
      <c r="AD540" s="287" t="s">
        <v>1805</v>
      </c>
      <c r="AE540" s="287" t="s">
        <v>1805</v>
      </c>
      <c r="AF540" s="287" t="s">
        <v>2479</v>
      </c>
      <c r="AG540" s="287" t="s">
        <v>2479</v>
      </c>
      <c r="AH540" s="287" t="s">
        <v>2479</v>
      </c>
      <c r="AI540" s="287" t="s">
        <v>2479</v>
      </c>
      <c r="AJ540" s="304" t="s">
        <v>2191</v>
      </c>
      <c r="AK540" s="287" t="s">
        <v>2479</v>
      </c>
      <c r="AL540" s="304" t="s">
        <v>2190</v>
      </c>
      <c r="AM540" s="289" t="s">
        <v>1975</v>
      </c>
      <c r="AN540" s="281" t="b">
        <v>0</v>
      </c>
      <c r="AO540" s="305"/>
      <c r="AP540" s="291"/>
      <c r="AQ540" s="291"/>
      <c r="AR540" s="291"/>
      <c r="AS540" s="291"/>
      <c r="AT540" s="291"/>
      <c r="AU540" s="291"/>
      <c r="AV540" s="305"/>
      <c r="AW540" s="281"/>
      <c r="AX540" s="281"/>
      <c r="AY540" s="289" t="s">
        <v>2479</v>
      </c>
      <c r="AZ540" s="289" t="s">
        <v>2479</v>
      </c>
      <c r="BA540" s="289" t="s">
        <v>373</v>
      </c>
      <c r="BB540" s="289" t="s">
        <v>1610</v>
      </c>
      <c r="BC540" s="292" t="s">
        <v>2192</v>
      </c>
    </row>
    <row r="541" spans="1:55" ht="45" customHeight="1">
      <c r="A541" s="271">
        <f t="shared" si="8"/>
        <v>540</v>
      </c>
      <c r="B541" s="276" t="s">
        <v>2739</v>
      </c>
      <c r="C541" s="277" t="s">
        <v>2740</v>
      </c>
      <c r="D541" s="277" t="s">
        <v>8</v>
      </c>
      <c r="E541" s="277" t="s">
        <v>13</v>
      </c>
      <c r="F541" s="277" t="s">
        <v>1567</v>
      </c>
      <c r="G541" s="307">
        <v>44385</v>
      </c>
      <c r="H541" s="308"/>
      <c r="I541" s="308"/>
      <c r="J541" s="277"/>
      <c r="K541" s="279"/>
      <c r="L541" s="277" t="s">
        <v>2479</v>
      </c>
      <c r="M541" s="277" t="s">
        <v>2479</v>
      </c>
      <c r="N541" s="277" t="s">
        <v>126</v>
      </c>
      <c r="O541" s="277" t="s">
        <v>2479</v>
      </c>
      <c r="P541" s="277" t="s">
        <v>1554</v>
      </c>
      <c r="Q541" s="277" t="s">
        <v>2198</v>
      </c>
      <c r="R541" s="279">
        <v>44630.481469907405</v>
      </c>
      <c r="S541" s="286">
        <v>2021</v>
      </c>
      <c r="T541" s="277" t="s">
        <v>2001</v>
      </c>
      <c r="U541" s="277" t="s">
        <v>678</v>
      </c>
      <c r="V541" s="277" t="s">
        <v>679</v>
      </c>
      <c r="W541" s="277" t="s">
        <v>145</v>
      </c>
      <c r="X541" s="277" t="s">
        <v>309</v>
      </c>
      <c r="Y541" s="278">
        <v>45078</v>
      </c>
      <c r="Z541" s="287" t="s">
        <v>1875</v>
      </c>
      <c r="AA541" s="287" t="s">
        <v>2479</v>
      </c>
      <c r="AB541" s="287" t="s">
        <v>139</v>
      </c>
      <c r="AC541" s="287" t="s">
        <v>1875</v>
      </c>
      <c r="AD541" s="287" t="s">
        <v>1805</v>
      </c>
      <c r="AE541" s="287" t="s">
        <v>1805</v>
      </c>
      <c r="AF541" s="287" t="s">
        <v>2479</v>
      </c>
      <c r="AG541" s="287" t="s">
        <v>2479</v>
      </c>
      <c r="AH541" s="287" t="s">
        <v>2479</v>
      </c>
      <c r="AI541" s="287" t="s">
        <v>2479</v>
      </c>
      <c r="AJ541" s="304" t="s">
        <v>2191</v>
      </c>
      <c r="AK541" s="287" t="s">
        <v>2479</v>
      </c>
      <c r="AL541" s="304" t="s">
        <v>2190</v>
      </c>
      <c r="AM541" s="289" t="s">
        <v>1975</v>
      </c>
      <c r="AN541" s="281" t="b">
        <v>0</v>
      </c>
      <c r="AO541" s="305"/>
      <c r="AP541" s="291"/>
      <c r="AQ541" s="291"/>
      <c r="AR541" s="291"/>
      <c r="AS541" s="291"/>
      <c r="AT541" s="291"/>
      <c r="AU541" s="291"/>
      <c r="AV541" s="305"/>
      <c r="AW541" s="281"/>
      <c r="AX541" s="281"/>
      <c r="AY541" s="289" t="s">
        <v>2479</v>
      </c>
      <c r="AZ541" s="289" t="s">
        <v>2479</v>
      </c>
      <c r="BA541" s="289" t="s">
        <v>373</v>
      </c>
      <c r="BB541" s="289" t="s">
        <v>1610</v>
      </c>
      <c r="BC541" s="292" t="s">
        <v>2192</v>
      </c>
    </row>
    <row r="542" spans="1:55" ht="45" customHeight="1">
      <c r="A542" s="271">
        <f t="shared" si="8"/>
        <v>541</v>
      </c>
      <c r="B542" s="276" t="s">
        <v>2741</v>
      </c>
      <c r="C542" s="277" t="s">
        <v>2742</v>
      </c>
      <c r="D542" s="277" t="s">
        <v>8</v>
      </c>
      <c r="E542" s="277" t="s">
        <v>13</v>
      </c>
      <c r="F542" s="277" t="s">
        <v>1567</v>
      </c>
      <c r="G542" s="307">
        <v>44385</v>
      </c>
      <c r="H542" s="308"/>
      <c r="I542" s="308"/>
      <c r="J542" s="277"/>
      <c r="K542" s="279"/>
      <c r="L542" s="277" t="s">
        <v>2479</v>
      </c>
      <c r="M542" s="277" t="s">
        <v>2479</v>
      </c>
      <c r="N542" s="277" t="s">
        <v>126</v>
      </c>
      <c r="O542" s="277" t="s">
        <v>2479</v>
      </c>
      <c r="P542" s="277" t="s">
        <v>1554</v>
      </c>
      <c r="Q542" s="277" t="s">
        <v>2198</v>
      </c>
      <c r="R542" s="279">
        <v>44630.481805555559</v>
      </c>
      <c r="S542" s="286">
        <v>2021</v>
      </c>
      <c r="T542" s="277" t="s">
        <v>2001</v>
      </c>
      <c r="U542" s="277" t="s">
        <v>678</v>
      </c>
      <c r="V542" s="277" t="s">
        <v>679</v>
      </c>
      <c r="W542" s="277" t="s">
        <v>145</v>
      </c>
      <c r="X542" s="277" t="s">
        <v>309</v>
      </c>
      <c r="Y542" s="278">
        <v>45078</v>
      </c>
      <c r="Z542" s="287" t="s">
        <v>1875</v>
      </c>
      <c r="AA542" s="287" t="s">
        <v>2479</v>
      </c>
      <c r="AB542" s="287" t="s">
        <v>139</v>
      </c>
      <c r="AC542" s="287" t="s">
        <v>1875</v>
      </c>
      <c r="AD542" s="287" t="s">
        <v>1805</v>
      </c>
      <c r="AE542" s="287" t="s">
        <v>1805</v>
      </c>
      <c r="AF542" s="287" t="s">
        <v>2479</v>
      </c>
      <c r="AG542" s="287" t="s">
        <v>2479</v>
      </c>
      <c r="AH542" s="287" t="s">
        <v>2479</v>
      </c>
      <c r="AI542" s="287" t="s">
        <v>2479</v>
      </c>
      <c r="AJ542" s="304" t="s">
        <v>2191</v>
      </c>
      <c r="AK542" s="287" t="s">
        <v>2479</v>
      </c>
      <c r="AL542" s="304" t="s">
        <v>2190</v>
      </c>
      <c r="AM542" s="289" t="s">
        <v>1975</v>
      </c>
      <c r="AN542" s="281" t="b">
        <v>0</v>
      </c>
      <c r="AO542" s="305"/>
      <c r="AP542" s="291"/>
      <c r="AQ542" s="291"/>
      <c r="AR542" s="291"/>
      <c r="AS542" s="291"/>
      <c r="AT542" s="291"/>
      <c r="AU542" s="291"/>
      <c r="AV542" s="305"/>
      <c r="AW542" s="281"/>
      <c r="AX542" s="281"/>
      <c r="AY542" s="289" t="s">
        <v>2479</v>
      </c>
      <c r="AZ542" s="289" t="s">
        <v>2479</v>
      </c>
      <c r="BA542" s="289" t="s">
        <v>373</v>
      </c>
      <c r="BB542" s="289" t="s">
        <v>1610</v>
      </c>
      <c r="BC542" s="292" t="s">
        <v>2192</v>
      </c>
    </row>
    <row r="543" spans="1:55" ht="45" customHeight="1">
      <c r="A543" s="271">
        <f t="shared" si="8"/>
        <v>542</v>
      </c>
      <c r="B543" s="276" t="s">
        <v>2743</v>
      </c>
      <c r="C543" s="277" t="s">
        <v>2744</v>
      </c>
      <c r="D543" s="277" t="s">
        <v>8</v>
      </c>
      <c r="E543" s="277" t="s">
        <v>13</v>
      </c>
      <c r="F543" s="277" t="s">
        <v>1567</v>
      </c>
      <c r="G543" s="307">
        <v>44385</v>
      </c>
      <c r="H543" s="308"/>
      <c r="I543" s="308"/>
      <c r="J543" s="277"/>
      <c r="K543" s="279"/>
      <c r="L543" s="277" t="s">
        <v>2479</v>
      </c>
      <c r="M543" s="277" t="s">
        <v>2479</v>
      </c>
      <c r="N543" s="277" t="s">
        <v>126</v>
      </c>
      <c r="O543" s="277" t="s">
        <v>2479</v>
      </c>
      <c r="P543" s="277" t="s">
        <v>1554</v>
      </c>
      <c r="Q543" s="277" t="s">
        <v>2198</v>
      </c>
      <c r="R543" s="279">
        <v>44630.482187499998</v>
      </c>
      <c r="S543" s="286">
        <v>2021</v>
      </c>
      <c r="T543" s="277" t="s">
        <v>2001</v>
      </c>
      <c r="U543" s="277" t="s">
        <v>678</v>
      </c>
      <c r="V543" s="277" t="s">
        <v>679</v>
      </c>
      <c r="W543" s="277" t="s">
        <v>145</v>
      </c>
      <c r="X543" s="277" t="s">
        <v>309</v>
      </c>
      <c r="Y543" s="278">
        <v>45078</v>
      </c>
      <c r="Z543" s="287" t="s">
        <v>1875</v>
      </c>
      <c r="AA543" s="287" t="s">
        <v>2479</v>
      </c>
      <c r="AB543" s="287" t="s">
        <v>139</v>
      </c>
      <c r="AC543" s="287" t="s">
        <v>1875</v>
      </c>
      <c r="AD543" s="287" t="s">
        <v>1805</v>
      </c>
      <c r="AE543" s="287" t="s">
        <v>1805</v>
      </c>
      <c r="AF543" s="287" t="s">
        <v>2479</v>
      </c>
      <c r="AG543" s="287" t="s">
        <v>2479</v>
      </c>
      <c r="AH543" s="287" t="s">
        <v>2479</v>
      </c>
      <c r="AI543" s="287" t="s">
        <v>2479</v>
      </c>
      <c r="AJ543" s="304" t="s">
        <v>2191</v>
      </c>
      <c r="AK543" s="287" t="s">
        <v>2479</v>
      </c>
      <c r="AL543" s="304" t="s">
        <v>2190</v>
      </c>
      <c r="AM543" s="289" t="s">
        <v>1975</v>
      </c>
      <c r="AN543" s="281" t="b">
        <v>0</v>
      </c>
      <c r="AO543" s="305"/>
      <c r="AP543" s="291"/>
      <c r="AQ543" s="291"/>
      <c r="AR543" s="291"/>
      <c r="AS543" s="291"/>
      <c r="AT543" s="291"/>
      <c r="AU543" s="291"/>
      <c r="AV543" s="305"/>
      <c r="AW543" s="281"/>
      <c r="AX543" s="281"/>
      <c r="AY543" s="289" t="s">
        <v>2479</v>
      </c>
      <c r="AZ543" s="289" t="s">
        <v>2479</v>
      </c>
      <c r="BA543" s="289" t="s">
        <v>373</v>
      </c>
      <c r="BB543" s="289" t="s">
        <v>1610</v>
      </c>
      <c r="BC543" s="292" t="s">
        <v>2192</v>
      </c>
    </row>
    <row r="544" spans="1:55" ht="45" customHeight="1">
      <c r="A544" s="271">
        <f t="shared" si="8"/>
        <v>543</v>
      </c>
      <c r="B544" s="276" t="s">
        <v>2745</v>
      </c>
      <c r="C544" s="277" t="s">
        <v>2746</v>
      </c>
      <c r="D544" s="277" t="s">
        <v>8</v>
      </c>
      <c r="E544" s="277" t="s">
        <v>13</v>
      </c>
      <c r="F544" s="277" t="s">
        <v>1567</v>
      </c>
      <c r="G544" s="307">
        <v>44385</v>
      </c>
      <c r="H544" s="308"/>
      <c r="I544" s="308"/>
      <c r="J544" s="277"/>
      <c r="K544" s="279"/>
      <c r="L544" s="277" t="s">
        <v>2479</v>
      </c>
      <c r="M544" s="277" t="s">
        <v>2479</v>
      </c>
      <c r="N544" s="277" t="s">
        <v>126</v>
      </c>
      <c r="O544" s="277" t="s">
        <v>2479</v>
      </c>
      <c r="P544" s="277" t="s">
        <v>1554</v>
      </c>
      <c r="Q544" s="277" t="s">
        <v>2198</v>
      </c>
      <c r="R544" s="279">
        <v>44630.482534722221</v>
      </c>
      <c r="S544" s="286">
        <v>2021</v>
      </c>
      <c r="T544" s="277" t="s">
        <v>2001</v>
      </c>
      <c r="U544" s="277" t="s">
        <v>678</v>
      </c>
      <c r="V544" s="277" t="s">
        <v>679</v>
      </c>
      <c r="W544" s="277" t="s">
        <v>145</v>
      </c>
      <c r="X544" s="277" t="s">
        <v>309</v>
      </c>
      <c r="Y544" s="278">
        <v>45078</v>
      </c>
      <c r="Z544" s="287" t="s">
        <v>1875</v>
      </c>
      <c r="AA544" s="287" t="s">
        <v>2479</v>
      </c>
      <c r="AB544" s="287" t="s">
        <v>139</v>
      </c>
      <c r="AC544" s="287" t="s">
        <v>1875</v>
      </c>
      <c r="AD544" s="287" t="s">
        <v>1805</v>
      </c>
      <c r="AE544" s="287" t="s">
        <v>1805</v>
      </c>
      <c r="AF544" s="287" t="s">
        <v>2479</v>
      </c>
      <c r="AG544" s="287" t="s">
        <v>2479</v>
      </c>
      <c r="AH544" s="287" t="s">
        <v>2479</v>
      </c>
      <c r="AI544" s="287" t="s">
        <v>2479</v>
      </c>
      <c r="AJ544" s="304" t="s">
        <v>2191</v>
      </c>
      <c r="AK544" s="287" t="s">
        <v>2479</v>
      </c>
      <c r="AL544" s="304" t="s">
        <v>2190</v>
      </c>
      <c r="AM544" s="289" t="s">
        <v>1975</v>
      </c>
      <c r="AN544" s="281" t="b">
        <v>0</v>
      </c>
      <c r="AO544" s="305"/>
      <c r="AP544" s="291"/>
      <c r="AQ544" s="291"/>
      <c r="AR544" s="291"/>
      <c r="AS544" s="291"/>
      <c r="AT544" s="291"/>
      <c r="AU544" s="291"/>
      <c r="AV544" s="305"/>
      <c r="AW544" s="281"/>
      <c r="AX544" s="281"/>
      <c r="AY544" s="289" t="s">
        <v>2479</v>
      </c>
      <c r="AZ544" s="289" t="s">
        <v>2479</v>
      </c>
      <c r="BA544" s="289" t="s">
        <v>373</v>
      </c>
      <c r="BB544" s="289" t="s">
        <v>1610</v>
      </c>
      <c r="BC544" s="292" t="s">
        <v>2192</v>
      </c>
    </row>
    <row r="545" spans="1:55" ht="45" customHeight="1">
      <c r="A545" s="271">
        <f>ROW()-1</f>
        <v>544</v>
      </c>
      <c r="B545" s="276" t="s">
        <v>2747</v>
      </c>
      <c r="C545" s="277" t="s">
        <v>2748</v>
      </c>
      <c r="D545" s="277" t="s">
        <v>8</v>
      </c>
      <c r="E545" s="277" t="s">
        <v>13</v>
      </c>
      <c r="F545" s="277" t="s">
        <v>1567</v>
      </c>
      <c r="G545" s="307">
        <v>44389</v>
      </c>
      <c r="H545" s="308"/>
      <c r="I545" s="308"/>
      <c r="J545" s="277"/>
      <c r="K545" s="279"/>
      <c r="L545" s="277" t="s">
        <v>2479</v>
      </c>
      <c r="M545" s="277" t="s">
        <v>2479</v>
      </c>
      <c r="N545" s="277" t="s">
        <v>126</v>
      </c>
      <c r="O545" s="277" t="s">
        <v>2479</v>
      </c>
      <c r="P545" s="277" t="s">
        <v>1554</v>
      </c>
      <c r="Q545" s="277" t="s">
        <v>2198</v>
      </c>
      <c r="R545" s="279">
        <v>44630.484363425923</v>
      </c>
      <c r="S545" s="286">
        <v>2021</v>
      </c>
      <c r="T545" s="277" t="s">
        <v>2001</v>
      </c>
      <c r="U545" s="277" t="s">
        <v>678</v>
      </c>
      <c r="V545" s="277" t="s">
        <v>679</v>
      </c>
      <c r="W545" s="277" t="s">
        <v>145</v>
      </c>
      <c r="X545" s="277" t="s">
        <v>309</v>
      </c>
      <c r="Y545" s="278">
        <v>45078</v>
      </c>
      <c r="Z545" s="287" t="s">
        <v>1875</v>
      </c>
      <c r="AA545" s="287" t="s">
        <v>2479</v>
      </c>
      <c r="AB545" s="287" t="s">
        <v>139</v>
      </c>
      <c r="AC545" s="287" t="s">
        <v>1875</v>
      </c>
      <c r="AD545" s="287" t="s">
        <v>1805</v>
      </c>
      <c r="AE545" s="287" t="s">
        <v>1805</v>
      </c>
      <c r="AF545" s="287" t="s">
        <v>2479</v>
      </c>
      <c r="AG545" s="287" t="s">
        <v>2479</v>
      </c>
      <c r="AH545" s="287" t="s">
        <v>2479</v>
      </c>
      <c r="AI545" s="287" t="s">
        <v>2479</v>
      </c>
      <c r="AJ545" s="304" t="s">
        <v>2191</v>
      </c>
      <c r="AK545" s="287" t="s">
        <v>2479</v>
      </c>
      <c r="AL545" s="304" t="s">
        <v>2190</v>
      </c>
      <c r="AM545" s="289" t="s">
        <v>1975</v>
      </c>
      <c r="AN545" s="281" t="b">
        <v>0</v>
      </c>
      <c r="AO545" s="305"/>
      <c r="AP545" s="291"/>
      <c r="AQ545" s="291"/>
      <c r="AR545" s="291"/>
      <c r="AS545" s="291"/>
      <c r="AT545" s="291"/>
      <c r="AU545" s="291"/>
      <c r="AV545" s="305"/>
      <c r="AW545" s="281"/>
      <c r="AX545" s="281"/>
      <c r="AY545" s="289" t="s">
        <v>2479</v>
      </c>
      <c r="AZ545" s="289" t="s">
        <v>2479</v>
      </c>
      <c r="BA545" s="289" t="s">
        <v>373</v>
      </c>
      <c r="BB545" s="289" t="s">
        <v>1610</v>
      </c>
      <c r="BC545" s="292" t="s">
        <v>2192</v>
      </c>
    </row>
    <row r="546" spans="1:55" ht="45" customHeight="1">
      <c r="A546" s="271">
        <f t="shared" si="8"/>
        <v>545</v>
      </c>
      <c r="B546" s="276" t="s">
        <v>2749</v>
      </c>
      <c r="C546" s="277" t="s">
        <v>2750</v>
      </c>
      <c r="D546" s="277" t="s">
        <v>8</v>
      </c>
      <c r="E546" s="277" t="s">
        <v>13</v>
      </c>
      <c r="F546" s="277" t="s">
        <v>1567</v>
      </c>
      <c r="G546" s="307">
        <v>44394</v>
      </c>
      <c r="H546" s="308"/>
      <c r="I546" s="308"/>
      <c r="J546" s="277"/>
      <c r="K546" s="279"/>
      <c r="L546" s="277" t="s">
        <v>2479</v>
      </c>
      <c r="M546" s="277" t="s">
        <v>2479</v>
      </c>
      <c r="N546" s="277" t="s">
        <v>126</v>
      </c>
      <c r="O546" s="277" t="s">
        <v>2479</v>
      </c>
      <c r="P546" s="277" t="s">
        <v>1554</v>
      </c>
      <c r="Q546" s="277" t="s">
        <v>2198</v>
      </c>
      <c r="R546" s="279">
        <v>44630.484756944446</v>
      </c>
      <c r="S546" s="286">
        <v>2021</v>
      </c>
      <c r="T546" s="277" t="s">
        <v>2001</v>
      </c>
      <c r="U546" s="277" t="s">
        <v>678</v>
      </c>
      <c r="V546" s="277" t="s">
        <v>679</v>
      </c>
      <c r="W546" s="277" t="s">
        <v>145</v>
      </c>
      <c r="X546" s="277" t="s">
        <v>309</v>
      </c>
      <c r="Y546" s="278">
        <v>45078</v>
      </c>
      <c r="Z546" s="287" t="s">
        <v>1875</v>
      </c>
      <c r="AA546" s="287" t="s">
        <v>2479</v>
      </c>
      <c r="AB546" s="287" t="s">
        <v>139</v>
      </c>
      <c r="AC546" s="287" t="s">
        <v>1875</v>
      </c>
      <c r="AD546" s="287" t="s">
        <v>1805</v>
      </c>
      <c r="AE546" s="287" t="s">
        <v>1805</v>
      </c>
      <c r="AF546" s="287" t="s">
        <v>2479</v>
      </c>
      <c r="AG546" s="287" t="s">
        <v>2479</v>
      </c>
      <c r="AH546" s="287" t="s">
        <v>2479</v>
      </c>
      <c r="AI546" s="287" t="s">
        <v>2479</v>
      </c>
      <c r="AJ546" s="304" t="s">
        <v>2191</v>
      </c>
      <c r="AK546" s="287" t="s">
        <v>2479</v>
      </c>
      <c r="AL546" s="304" t="s">
        <v>2190</v>
      </c>
      <c r="AM546" s="289" t="s">
        <v>1975</v>
      </c>
      <c r="AN546" s="281" t="b">
        <v>0</v>
      </c>
      <c r="AO546" s="305"/>
      <c r="AP546" s="291"/>
      <c r="AQ546" s="291"/>
      <c r="AR546" s="291"/>
      <c r="AS546" s="291"/>
      <c r="AT546" s="291"/>
      <c r="AU546" s="291"/>
      <c r="AV546" s="305"/>
      <c r="AW546" s="281"/>
      <c r="AX546" s="281"/>
      <c r="AY546" s="289" t="s">
        <v>2479</v>
      </c>
      <c r="AZ546" s="289" t="s">
        <v>2479</v>
      </c>
      <c r="BA546" s="289" t="s">
        <v>373</v>
      </c>
      <c r="BB546" s="289" t="s">
        <v>1610</v>
      </c>
      <c r="BC546" s="292" t="s">
        <v>2192</v>
      </c>
    </row>
    <row r="547" spans="1:55" ht="45" customHeight="1">
      <c r="A547" s="271">
        <f t="shared" si="8"/>
        <v>546</v>
      </c>
      <c r="B547" s="276" t="s">
        <v>2692</v>
      </c>
      <c r="C547" s="277" t="s">
        <v>2751</v>
      </c>
      <c r="D547" s="277" t="s">
        <v>8</v>
      </c>
      <c r="E547" s="277" t="s">
        <v>13</v>
      </c>
      <c r="F547" s="277" t="s">
        <v>1567</v>
      </c>
      <c r="G547" s="307">
        <v>44394</v>
      </c>
      <c r="H547" s="308"/>
      <c r="I547" s="308"/>
      <c r="J547" s="277"/>
      <c r="K547" s="279"/>
      <c r="L547" s="277" t="s">
        <v>2479</v>
      </c>
      <c r="M547" s="277" t="s">
        <v>2479</v>
      </c>
      <c r="N547" s="277" t="s">
        <v>126</v>
      </c>
      <c r="O547" s="277" t="s">
        <v>2479</v>
      </c>
      <c r="P547" s="277" t="s">
        <v>1554</v>
      </c>
      <c r="Q547" s="277" t="s">
        <v>2198</v>
      </c>
      <c r="R547" s="279">
        <v>44959.449305555558</v>
      </c>
      <c r="S547" s="286">
        <v>2021</v>
      </c>
      <c r="T547" s="277" t="s">
        <v>2001</v>
      </c>
      <c r="U547" s="277" t="s">
        <v>678</v>
      </c>
      <c r="V547" s="277" t="s">
        <v>679</v>
      </c>
      <c r="W547" s="277" t="s">
        <v>145</v>
      </c>
      <c r="X547" s="277" t="s">
        <v>309</v>
      </c>
      <c r="Y547" s="278">
        <v>45078</v>
      </c>
      <c r="Z547" s="287" t="s">
        <v>1875</v>
      </c>
      <c r="AA547" s="287" t="s">
        <v>2868</v>
      </c>
      <c r="AB547" s="287" t="s">
        <v>139</v>
      </c>
      <c r="AC547" s="287" t="s">
        <v>1875</v>
      </c>
      <c r="AD547" s="287" t="s">
        <v>1805</v>
      </c>
      <c r="AE547" s="287" t="s">
        <v>1805</v>
      </c>
      <c r="AF547" s="287" t="s">
        <v>3013</v>
      </c>
      <c r="AG547" s="287" t="s">
        <v>3034</v>
      </c>
      <c r="AH547" s="287" t="s">
        <v>2479</v>
      </c>
      <c r="AI547" s="287" t="s">
        <v>3261</v>
      </c>
      <c r="AJ547" s="304">
        <v>44965</v>
      </c>
      <c r="AK547" s="287" t="s">
        <v>3389</v>
      </c>
      <c r="AL547" s="304">
        <v>44364</v>
      </c>
      <c r="AM547" s="289" t="s">
        <v>1975</v>
      </c>
      <c r="AN547" s="281" t="b">
        <v>1</v>
      </c>
      <c r="AO547" s="305">
        <v>44353</v>
      </c>
      <c r="AP547" s="291">
        <v>1</v>
      </c>
      <c r="AQ547" s="291">
        <v>0</v>
      </c>
      <c r="AR547" s="291">
        <v>0</v>
      </c>
      <c r="AS547" s="291">
        <v>1</v>
      </c>
      <c r="AT547" s="291">
        <v>0</v>
      </c>
      <c r="AU547" s="291">
        <v>5</v>
      </c>
      <c r="AV547" s="305">
        <v>44945</v>
      </c>
      <c r="AW547" s="281">
        <v>18</v>
      </c>
      <c r="AX547" s="281">
        <v>10</v>
      </c>
      <c r="AY547" s="289" t="s">
        <v>1989</v>
      </c>
      <c r="AZ547" s="289" t="s">
        <v>2479</v>
      </c>
      <c r="BA547" s="289" t="s">
        <v>373</v>
      </c>
      <c r="BB547" s="289" t="s">
        <v>1610</v>
      </c>
      <c r="BC547" s="292" t="s">
        <v>2192</v>
      </c>
    </row>
    <row r="548" spans="1:55" ht="45" customHeight="1">
      <c r="A548" s="271">
        <f t="shared" si="8"/>
        <v>547</v>
      </c>
      <c r="B548" s="276" t="s">
        <v>2752</v>
      </c>
      <c r="C548" s="277" t="s">
        <v>2753</v>
      </c>
      <c r="D548" s="277" t="s">
        <v>8</v>
      </c>
      <c r="E548" s="277" t="s">
        <v>13</v>
      </c>
      <c r="F548" s="277" t="s">
        <v>1567</v>
      </c>
      <c r="G548" s="308">
        <v>44445</v>
      </c>
      <c r="H548" s="308"/>
      <c r="I548" s="308"/>
      <c r="J548" s="277"/>
      <c r="K548" s="279"/>
      <c r="L548" s="277" t="s">
        <v>2479</v>
      </c>
      <c r="M548" s="277" t="s">
        <v>2479</v>
      </c>
      <c r="N548" s="277" t="s">
        <v>126</v>
      </c>
      <c r="O548" s="277" t="s">
        <v>2479</v>
      </c>
      <c r="P548" s="277" t="s">
        <v>1554</v>
      </c>
      <c r="Q548" s="277" t="s">
        <v>2198</v>
      </c>
      <c r="R548" s="279">
        <v>44630.485601851855</v>
      </c>
      <c r="S548" s="286">
        <v>2021</v>
      </c>
      <c r="T548" s="277" t="s">
        <v>2001</v>
      </c>
      <c r="U548" s="277" t="s">
        <v>678</v>
      </c>
      <c r="V548" s="277" t="s">
        <v>679</v>
      </c>
      <c r="W548" s="277" t="s">
        <v>145</v>
      </c>
      <c r="X548" s="277" t="s">
        <v>309</v>
      </c>
      <c r="Y548" s="278">
        <v>45078</v>
      </c>
      <c r="Z548" s="287" t="s">
        <v>1875</v>
      </c>
      <c r="AA548" s="287" t="s">
        <v>2479</v>
      </c>
      <c r="AB548" s="287" t="s">
        <v>139</v>
      </c>
      <c r="AC548" s="287" t="s">
        <v>1875</v>
      </c>
      <c r="AD548" s="287" t="s">
        <v>1805</v>
      </c>
      <c r="AE548" s="287" t="s">
        <v>1805</v>
      </c>
      <c r="AF548" s="287" t="s">
        <v>2479</v>
      </c>
      <c r="AG548" s="287" t="s">
        <v>2479</v>
      </c>
      <c r="AH548" s="287" t="s">
        <v>2479</v>
      </c>
      <c r="AI548" s="287" t="s">
        <v>2479</v>
      </c>
      <c r="AJ548" s="304" t="s">
        <v>2191</v>
      </c>
      <c r="AK548" s="287" t="s">
        <v>2479</v>
      </c>
      <c r="AL548" s="304" t="s">
        <v>2190</v>
      </c>
      <c r="AM548" s="289" t="s">
        <v>1975</v>
      </c>
      <c r="AN548" s="281" t="b">
        <v>0</v>
      </c>
      <c r="AO548" s="305"/>
      <c r="AP548" s="291"/>
      <c r="AQ548" s="291"/>
      <c r="AR548" s="291"/>
      <c r="AS548" s="291"/>
      <c r="AT548" s="291"/>
      <c r="AU548" s="291"/>
      <c r="AV548" s="305"/>
      <c r="AW548" s="281"/>
      <c r="AX548" s="281"/>
      <c r="AY548" s="289" t="s">
        <v>2479</v>
      </c>
      <c r="AZ548" s="289" t="s">
        <v>2479</v>
      </c>
      <c r="BA548" s="289" t="s">
        <v>373</v>
      </c>
      <c r="BB548" s="289" t="s">
        <v>1610</v>
      </c>
      <c r="BC548" s="292" t="s">
        <v>2192</v>
      </c>
    </row>
    <row r="549" spans="1:55" ht="45" customHeight="1">
      <c r="A549" s="271">
        <f>ROW()-1</f>
        <v>548</v>
      </c>
      <c r="B549" s="276" t="s">
        <v>2690</v>
      </c>
      <c r="C549" s="277" t="s">
        <v>2755</v>
      </c>
      <c r="D549" s="277" t="s">
        <v>8</v>
      </c>
      <c r="E549" s="277" t="s">
        <v>13</v>
      </c>
      <c r="F549" s="277" t="s">
        <v>1567</v>
      </c>
      <c r="G549" s="307">
        <v>44445</v>
      </c>
      <c r="H549" s="308"/>
      <c r="I549" s="308"/>
      <c r="J549" s="277"/>
      <c r="K549" s="279"/>
      <c r="L549" s="277" t="s">
        <v>2479</v>
      </c>
      <c r="M549" s="277" t="s">
        <v>2479</v>
      </c>
      <c r="N549" s="277" t="s">
        <v>126</v>
      </c>
      <c r="O549" s="277" t="s">
        <v>2479</v>
      </c>
      <c r="P549" s="277" t="s">
        <v>1554</v>
      </c>
      <c r="Q549" s="277" t="s">
        <v>2198</v>
      </c>
      <c r="R549" s="279">
        <v>44630.486273148148</v>
      </c>
      <c r="S549" s="286">
        <v>2021</v>
      </c>
      <c r="T549" s="277" t="s">
        <v>2001</v>
      </c>
      <c r="U549" s="277" t="s">
        <v>678</v>
      </c>
      <c r="V549" s="277" t="s">
        <v>679</v>
      </c>
      <c r="W549" s="277" t="s">
        <v>145</v>
      </c>
      <c r="X549" s="277" t="s">
        <v>309</v>
      </c>
      <c r="Y549" s="278">
        <v>45078</v>
      </c>
      <c r="Z549" s="287" t="s">
        <v>1875</v>
      </c>
      <c r="AA549" s="287" t="s">
        <v>2479</v>
      </c>
      <c r="AB549" s="287" t="s">
        <v>139</v>
      </c>
      <c r="AC549" s="287" t="s">
        <v>1875</v>
      </c>
      <c r="AD549" s="287" t="s">
        <v>1805</v>
      </c>
      <c r="AE549" s="287" t="s">
        <v>1805</v>
      </c>
      <c r="AF549" s="287" t="s">
        <v>2479</v>
      </c>
      <c r="AG549" s="287" t="s">
        <v>2479</v>
      </c>
      <c r="AH549" s="287" t="s">
        <v>2479</v>
      </c>
      <c r="AI549" s="287" t="s">
        <v>2479</v>
      </c>
      <c r="AJ549" s="304" t="s">
        <v>2191</v>
      </c>
      <c r="AK549" s="287" t="s">
        <v>2479</v>
      </c>
      <c r="AL549" s="304" t="s">
        <v>2190</v>
      </c>
      <c r="AM549" s="289" t="s">
        <v>1975</v>
      </c>
      <c r="AN549" s="281" t="b">
        <v>0</v>
      </c>
      <c r="AO549" s="305"/>
      <c r="AP549" s="291"/>
      <c r="AQ549" s="291"/>
      <c r="AR549" s="291"/>
      <c r="AS549" s="291"/>
      <c r="AT549" s="291"/>
      <c r="AU549" s="291"/>
      <c r="AV549" s="305"/>
      <c r="AW549" s="281"/>
      <c r="AX549" s="281"/>
      <c r="AY549" s="289" t="s">
        <v>2479</v>
      </c>
      <c r="AZ549" s="289" t="s">
        <v>2479</v>
      </c>
      <c r="BA549" s="289" t="s">
        <v>373</v>
      </c>
      <c r="BB549" s="289" t="s">
        <v>1610</v>
      </c>
      <c r="BC549" s="292" t="s">
        <v>2192</v>
      </c>
    </row>
    <row r="550" spans="1:55" ht="45" customHeight="1">
      <c r="A550" s="271">
        <f t="shared" si="8"/>
        <v>549</v>
      </c>
      <c r="B550" s="276" t="s">
        <v>2756</v>
      </c>
      <c r="C550" s="277" t="s">
        <v>2757</v>
      </c>
      <c r="D550" s="277" t="s">
        <v>8</v>
      </c>
      <c r="E550" s="277" t="s">
        <v>13</v>
      </c>
      <c r="F550" s="277" t="s">
        <v>1567</v>
      </c>
      <c r="G550" s="307">
        <v>44445</v>
      </c>
      <c r="H550" s="308"/>
      <c r="I550" s="308"/>
      <c r="J550" s="277"/>
      <c r="K550" s="279"/>
      <c r="L550" s="277" t="s">
        <v>2479</v>
      </c>
      <c r="M550" s="277" t="s">
        <v>2479</v>
      </c>
      <c r="N550" s="277" t="s">
        <v>126</v>
      </c>
      <c r="O550" s="277" t="s">
        <v>2479</v>
      </c>
      <c r="P550" s="277" t="s">
        <v>1554</v>
      </c>
      <c r="Q550" s="277" t="s">
        <v>2198</v>
      </c>
      <c r="R550" s="279">
        <v>44630.486597222225</v>
      </c>
      <c r="S550" s="286">
        <v>2021</v>
      </c>
      <c r="T550" s="277" t="s">
        <v>2001</v>
      </c>
      <c r="U550" s="277" t="s">
        <v>678</v>
      </c>
      <c r="V550" s="277" t="s">
        <v>679</v>
      </c>
      <c r="W550" s="277" t="s">
        <v>145</v>
      </c>
      <c r="X550" s="277" t="s">
        <v>309</v>
      </c>
      <c r="Y550" s="278">
        <v>45078</v>
      </c>
      <c r="Z550" s="287" t="s">
        <v>1875</v>
      </c>
      <c r="AA550" s="287" t="s">
        <v>2479</v>
      </c>
      <c r="AB550" s="287" t="s">
        <v>139</v>
      </c>
      <c r="AC550" s="287" t="s">
        <v>1875</v>
      </c>
      <c r="AD550" s="287" t="s">
        <v>1805</v>
      </c>
      <c r="AE550" s="287" t="s">
        <v>1805</v>
      </c>
      <c r="AF550" s="287" t="s">
        <v>2479</v>
      </c>
      <c r="AG550" s="287" t="s">
        <v>2479</v>
      </c>
      <c r="AH550" s="287" t="s">
        <v>2479</v>
      </c>
      <c r="AI550" s="287" t="s">
        <v>2479</v>
      </c>
      <c r="AJ550" s="304" t="s">
        <v>2191</v>
      </c>
      <c r="AK550" s="287" t="s">
        <v>2479</v>
      </c>
      <c r="AL550" s="304" t="s">
        <v>2190</v>
      </c>
      <c r="AM550" s="289" t="s">
        <v>1975</v>
      </c>
      <c r="AN550" s="281" t="b">
        <v>0</v>
      </c>
      <c r="AO550" s="305"/>
      <c r="AP550" s="291"/>
      <c r="AQ550" s="291"/>
      <c r="AR550" s="291"/>
      <c r="AS550" s="291"/>
      <c r="AT550" s="291"/>
      <c r="AU550" s="291"/>
      <c r="AV550" s="305"/>
      <c r="AW550" s="281"/>
      <c r="AX550" s="281"/>
      <c r="AY550" s="289" t="s">
        <v>2479</v>
      </c>
      <c r="AZ550" s="289" t="s">
        <v>2479</v>
      </c>
      <c r="BA550" s="289" t="s">
        <v>373</v>
      </c>
      <c r="BB550" s="289" t="s">
        <v>1610</v>
      </c>
      <c r="BC550" s="292" t="s">
        <v>2192</v>
      </c>
    </row>
    <row r="551" spans="1:55" ht="45" customHeight="1">
      <c r="A551" s="271">
        <f t="shared" si="8"/>
        <v>550</v>
      </c>
      <c r="B551" s="276" t="s">
        <v>2680</v>
      </c>
      <c r="C551" s="277" t="s">
        <v>2761</v>
      </c>
      <c r="D551" s="277" t="s">
        <v>8</v>
      </c>
      <c r="E551" s="277" t="s">
        <v>13</v>
      </c>
      <c r="F551" s="277" t="s">
        <v>1567</v>
      </c>
      <c r="G551" s="307">
        <v>44477</v>
      </c>
      <c r="H551" s="308"/>
      <c r="I551" s="308"/>
      <c r="J551" s="277"/>
      <c r="K551" s="279"/>
      <c r="L551" s="277" t="s">
        <v>2479</v>
      </c>
      <c r="M551" s="277" t="s">
        <v>2479</v>
      </c>
      <c r="N551" s="277" t="s">
        <v>126</v>
      </c>
      <c r="O551" s="277" t="s">
        <v>2479</v>
      </c>
      <c r="P551" s="277" t="s">
        <v>1554</v>
      </c>
      <c r="Q551" s="277" t="s">
        <v>2198</v>
      </c>
      <c r="R551" s="279">
        <v>44630.487650462965</v>
      </c>
      <c r="S551" s="286">
        <v>2021</v>
      </c>
      <c r="T551" s="277" t="s">
        <v>2001</v>
      </c>
      <c r="U551" s="277" t="s">
        <v>678</v>
      </c>
      <c r="V551" s="277" t="s">
        <v>679</v>
      </c>
      <c r="W551" s="277" t="s">
        <v>145</v>
      </c>
      <c r="X551" s="277" t="s">
        <v>309</v>
      </c>
      <c r="Y551" s="278">
        <v>45078</v>
      </c>
      <c r="Z551" s="287" t="s">
        <v>1875</v>
      </c>
      <c r="AA551" s="287" t="s">
        <v>2479</v>
      </c>
      <c r="AB551" s="287" t="s">
        <v>139</v>
      </c>
      <c r="AC551" s="287" t="s">
        <v>1875</v>
      </c>
      <c r="AD551" s="287" t="s">
        <v>1805</v>
      </c>
      <c r="AE551" s="287" t="s">
        <v>1805</v>
      </c>
      <c r="AF551" s="287" t="s">
        <v>2479</v>
      </c>
      <c r="AG551" s="287" t="s">
        <v>2479</v>
      </c>
      <c r="AH551" s="287" t="s">
        <v>2479</v>
      </c>
      <c r="AI551" s="287" t="s">
        <v>2479</v>
      </c>
      <c r="AJ551" s="304" t="s">
        <v>2191</v>
      </c>
      <c r="AK551" s="287" t="s">
        <v>2479</v>
      </c>
      <c r="AL551" s="304" t="s">
        <v>2190</v>
      </c>
      <c r="AM551" s="289" t="s">
        <v>1975</v>
      </c>
      <c r="AN551" s="281" t="b">
        <v>0</v>
      </c>
      <c r="AO551" s="305"/>
      <c r="AP551" s="291"/>
      <c r="AQ551" s="291"/>
      <c r="AR551" s="291"/>
      <c r="AS551" s="291"/>
      <c r="AT551" s="291"/>
      <c r="AU551" s="291"/>
      <c r="AV551" s="305"/>
      <c r="AW551" s="281"/>
      <c r="AX551" s="281"/>
      <c r="AY551" s="289" t="s">
        <v>2479</v>
      </c>
      <c r="AZ551" s="289" t="s">
        <v>2479</v>
      </c>
      <c r="BA551" s="289" t="s">
        <v>373</v>
      </c>
      <c r="BB551" s="289" t="s">
        <v>1610</v>
      </c>
      <c r="BC551" s="292" t="s">
        <v>2192</v>
      </c>
    </row>
    <row r="552" spans="1:55" ht="45" customHeight="1">
      <c r="A552" s="271">
        <f t="shared" si="8"/>
        <v>551</v>
      </c>
      <c r="B552" s="276" t="s">
        <v>2636</v>
      </c>
      <c r="C552" s="277" t="s">
        <v>2758</v>
      </c>
      <c r="D552" s="277" t="s">
        <v>8</v>
      </c>
      <c r="E552" s="277" t="s">
        <v>13</v>
      </c>
      <c r="F552" s="277" t="s">
        <v>1567</v>
      </c>
      <c r="G552" s="307">
        <v>44480</v>
      </c>
      <c r="H552" s="308"/>
      <c r="I552" s="308"/>
      <c r="J552" s="277"/>
      <c r="K552" s="279"/>
      <c r="L552" s="277" t="s">
        <v>2479</v>
      </c>
      <c r="M552" s="277" t="s">
        <v>2479</v>
      </c>
      <c r="N552" s="277" t="s">
        <v>126</v>
      </c>
      <c r="O552" s="277" t="s">
        <v>2479</v>
      </c>
      <c r="P552" s="277" t="s">
        <v>1554</v>
      </c>
      <c r="Q552" s="277" t="s">
        <v>2198</v>
      </c>
      <c r="R552" s="279">
        <v>44630.486956018518</v>
      </c>
      <c r="S552" s="286">
        <v>2021</v>
      </c>
      <c r="T552" s="277" t="s">
        <v>2001</v>
      </c>
      <c r="U552" s="277" t="s">
        <v>678</v>
      </c>
      <c r="V552" s="277" t="s">
        <v>679</v>
      </c>
      <c r="W552" s="277" t="s">
        <v>145</v>
      </c>
      <c r="X552" s="277" t="s">
        <v>309</v>
      </c>
      <c r="Y552" s="278">
        <v>45078</v>
      </c>
      <c r="Z552" s="287" t="s">
        <v>1875</v>
      </c>
      <c r="AA552" s="287" t="s">
        <v>2479</v>
      </c>
      <c r="AB552" s="287" t="s">
        <v>139</v>
      </c>
      <c r="AC552" s="287" t="s">
        <v>1875</v>
      </c>
      <c r="AD552" s="287" t="s">
        <v>1805</v>
      </c>
      <c r="AE552" s="287" t="s">
        <v>1805</v>
      </c>
      <c r="AF552" s="287" t="s">
        <v>2479</v>
      </c>
      <c r="AG552" s="287" t="s">
        <v>2479</v>
      </c>
      <c r="AH552" s="287" t="s">
        <v>2479</v>
      </c>
      <c r="AI552" s="287" t="s">
        <v>2479</v>
      </c>
      <c r="AJ552" s="304" t="s">
        <v>2191</v>
      </c>
      <c r="AK552" s="287" t="s">
        <v>2479</v>
      </c>
      <c r="AL552" s="304" t="s">
        <v>2190</v>
      </c>
      <c r="AM552" s="289" t="s">
        <v>1975</v>
      </c>
      <c r="AN552" s="281" t="b">
        <v>0</v>
      </c>
      <c r="AO552" s="305"/>
      <c r="AP552" s="291"/>
      <c r="AQ552" s="291"/>
      <c r="AR552" s="291"/>
      <c r="AS552" s="291"/>
      <c r="AT552" s="291"/>
      <c r="AU552" s="291"/>
      <c r="AV552" s="305"/>
      <c r="AW552" s="281"/>
      <c r="AX552" s="281"/>
      <c r="AY552" s="289" t="s">
        <v>2479</v>
      </c>
      <c r="AZ552" s="289" t="s">
        <v>2479</v>
      </c>
      <c r="BA552" s="289" t="s">
        <v>373</v>
      </c>
      <c r="BB552" s="289" t="s">
        <v>1610</v>
      </c>
      <c r="BC552" s="292" t="s">
        <v>2192</v>
      </c>
    </row>
    <row r="553" spans="1:55" ht="45" customHeight="1">
      <c r="A553" s="271">
        <f t="shared" si="8"/>
        <v>552</v>
      </c>
      <c r="B553" s="276" t="s">
        <v>2759</v>
      </c>
      <c r="C553" s="277" t="s">
        <v>2760</v>
      </c>
      <c r="D553" s="277" t="s">
        <v>8</v>
      </c>
      <c r="E553" s="277" t="s">
        <v>13</v>
      </c>
      <c r="F553" s="277" t="s">
        <v>1567</v>
      </c>
      <c r="G553" s="307">
        <v>44494</v>
      </c>
      <c r="H553" s="308"/>
      <c r="I553" s="308"/>
      <c r="J553" s="277"/>
      <c r="K553" s="279"/>
      <c r="L553" s="277" t="s">
        <v>2479</v>
      </c>
      <c r="M553" s="277" t="s">
        <v>2479</v>
      </c>
      <c r="N553" s="277" t="s">
        <v>126</v>
      </c>
      <c r="O553" s="277" t="s">
        <v>2479</v>
      </c>
      <c r="P553" s="277" t="s">
        <v>1554</v>
      </c>
      <c r="Q553" s="277" t="s">
        <v>2198</v>
      </c>
      <c r="R553" s="279">
        <v>44630.487326388888</v>
      </c>
      <c r="S553" s="286">
        <v>2021</v>
      </c>
      <c r="T553" s="277" t="s">
        <v>2001</v>
      </c>
      <c r="U553" s="277" t="s">
        <v>678</v>
      </c>
      <c r="V553" s="277" t="s">
        <v>679</v>
      </c>
      <c r="W553" s="277" t="s">
        <v>145</v>
      </c>
      <c r="X553" s="277" t="s">
        <v>309</v>
      </c>
      <c r="Y553" s="278">
        <v>45078</v>
      </c>
      <c r="Z553" s="287" t="s">
        <v>1875</v>
      </c>
      <c r="AA553" s="287" t="s">
        <v>2479</v>
      </c>
      <c r="AB553" s="287" t="s">
        <v>139</v>
      </c>
      <c r="AC553" s="287" t="s">
        <v>1875</v>
      </c>
      <c r="AD553" s="287" t="s">
        <v>1805</v>
      </c>
      <c r="AE553" s="287" t="s">
        <v>1805</v>
      </c>
      <c r="AF553" s="287" t="s">
        <v>2479</v>
      </c>
      <c r="AG553" s="287" t="s">
        <v>2479</v>
      </c>
      <c r="AH553" s="287" t="s">
        <v>2479</v>
      </c>
      <c r="AI553" s="287" t="s">
        <v>2479</v>
      </c>
      <c r="AJ553" s="304" t="s">
        <v>2191</v>
      </c>
      <c r="AK553" s="287" t="s">
        <v>2479</v>
      </c>
      <c r="AL553" s="304" t="s">
        <v>2190</v>
      </c>
      <c r="AM553" s="289" t="s">
        <v>1975</v>
      </c>
      <c r="AN553" s="281" t="b">
        <v>0</v>
      </c>
      <c r="AO553" s="305"/>
      <c r="AP553" s="291"/>
      <c r="AQ553" s="291"/>
      <c r="AR553" s="291"/>
      <c r="AS553" s="291"/>
      <c r="AT553" s="291"/>
      <c r="AU553" s="291"/>
      <c r="AV553" s="305"/>
      <c r="AW553" s="281"/>
      <c r="AX553" s="281"/>
      <c r="AY553" s="289" t="s">
        <v>2479</v>
      </c>
      <c r="AZ553" s="289" t="s">
        <v>2479</v>
      </c>
      <c r="BA553" s="289" t="s">
        <v>373</v>
      </c>
      <c r="BB553" s="289" t="s">
        <v>1610</v>
      </c>
      <c r="BC553" s="292" t="s">
        <v>2192</v>
      </c>
    </row>
    <row r="554" spans="1:55" ht="45" customHeight="1">
      <c r="A554" s="271">
        <f t="shared" si="8"/>
        <v>553</v>
      </c>
      <c r="B554" s="276" t="s">
        <v>2687</v>
      </c>
      <c r="C554" s="277" t="s">
        <v>2762</v>
      </c>
      <c r="D554" s="277" t="s">
        <v>8</v>
      </c>
      <c r="E554" s="277" t="s">
        <v>13</v>
      </c>
      <c r="F554" s="277" t="s">
        <v>1567</v>
      </c>
      <c r="G554" s="307">
        <v>44559</v>
      </c>
      <c r="H554" s="308"/>
      <c r="I554" s="308"/>
      <c r="J554" s="277"/>
      <c r="K554" s="279"/>
      <c r="L554" s="277" t="s">
        <v>2479</v>
      </c>
      <c r="M554" s="277" t="s">
        <v>2479</v>
      </c>
      <c r="N554" s="277" t="s">
        <v>126</v>
      </c>
      <c r="O554" s="277" t="s">
        <v>2479</v>
      </c>
      <c r="P554" s="277" t="s">
        <v>1554</v>
      </c>
      <c r="Q554" s="277" t="s">
        <v>2198</v>
      </c>
      <c r="R554" s="279">
        <v>44630.488078703704</v>
      </c>
      <c r="S554" s="286">
        <v>2021</v>
      </c>
      <c r="T554" s="277" t="s">
        <v>2001</v>
      </c>
      <c r="U554" s="277" t="s">
        <v>678</v>
      </c>
      <c r="V554" s="277" t="s">
        <v>679</v>
      </c>
      <c r="W554" s="277" t="s">
        <v>145</v>
      </c>
      <c r="X554" s="277" t="s">
        <v>309</v>
      </c>
      <c r="Y554" s="278">
        <v>45078</v>
      </c>
      <c r="Z554" s="287" t="s">
        <v>1875</v>
      </c>
      <c r="AA554" s="287" t="s">
        <v>2479</v>
      </c>
      <c r="AB554" s="287" t="s">
        <v>139</v>
      </c>
      <c r="AC554" s="287" t="s">
        <v>1875</v>
      </c>
      <c r="AD554" s="287" t="s">
        <v>1805</v>
      </c>
      <c r="AE554" s="287" t="s">
        <v>1805</v>
      </c>
      <c r="AF554" s="287" t="s">
        <v>2479</v>
      </c>
      <c r="AG554" s="287" t="s">
        <v>2479</v>
      </c>
      <c r="AH554" s="287" t="s">
        <v>2479</v>
      </c>
      <c r="AI554" s="287" t="s">
        <v>2479</v>
      </c>
      <c r="AJ554" s="304" t="s">
        <v>2191</v>
      </c>
      <c r="AK554" s="287" t="s">
        <v>2479</v>
      </c>
      <c r="AL554" s="304" t="s">
        <v>2190</v>
      </c>
      <c r="AM554" s="289" t="s">
        <v>1975</v>
      </c>
      <c r="AN554" s="281" t="b">
        <v>0</v>
      </c>
      <c r="AO554" s="305"/>
      <c r="AP554" s="291"/>
      <c r="AQ554" s="291"/>
      <c r="AR554" s="291"/>
      <c r="AS554" s="291"/>
      <c r="AT554" s="291"/>
      <c r="AU554" s="291"/>
      <c r="AV554" s="305"/>
      <c r="AW554" s="281"/>
      <c r="AX554" s="281"/>
      <c r="AY554" s="289" t="s">
        <v>2479</v>
      </c>
      <c r="AZ554" s="289" t="s">
        <v>2479</v>
      </c>
      <c r="BA554" s="289" t="s">
        <v>373</v>
      </c>
      <c r="BB554" s="289" t="s">
        <v>1610</v>
      </c>
      <c r="BC554" s="292" t="s">
        <v>2192</v>
      </c>
    </row>
    <row r="555" spans="1:55" ht="45" customHeight="1">
      <c r="A555" s="271">
        <f t="shared" si="8"/>
        <v>554</v>
      </c>
      <c r="B555" s="276" t="s">
        <v>2763</v>
      </c>
      <c r="C555" s="277" t="s">
        <v>2764</v>
      </c>
      <c r="D555" s="277" t="s">
        <v>8</v>
      </c>
      <c r="E555" s="277" t="s">
        <v>13</v>
      </c>
      <c r="F555" s="277" t="s">
        <v>1567</v>
      </c>
      <c r="G555" s="307">
        <v>44586</v>
      </c>
      <c r="H555" s="308"/>
      <c r="I555" s="308"/>
      <c r="J555" s="277"/>
      <c r="K555" s="279"/>
      <c r="L555" s="277" t="s">
        <v>2479</v>
      </c>
      <c r="M555" s="277" t="s">
        <v>2479</v>
      </c>
      <c r="N555" s="277" t="s">
        <v>126</v>
      </c>
      <c r="O555" s="277" t="s">
        <v>2479</v>
      </c>
      <c r="P555" s="277" t="s">
        <v>1554</v>
      </c>
      <c r="Q555" s="277" t="s">
        <v>2198</v>
      </c>
      <c r="R555" s="279">
        <v>44630.488842592589</v>
      </c>
      <c r="S555" s="286">
        <v>2022</v>
      </c>
      <c r="T555" s="277" t="s">
        <v>2001</v>
      </c>
      <c r="U555" s="277" t="s">
        <v>678</v>
      </c>
      <c r="V555" s="277" t="s">
        <v>679</v>
      </c>
      <c r="W555" s="277" t="s">
        <v>145</v>
      </c>
      <c r="X555" s="277" t="s">
        <v>309</v>
      </c>
      <c r="Y555" s="278">
        <v>45078</v>
      </c>
      <c r="Z555" s="287" t="s">
        <v>1875</v>
      </c>
      <c r="AA555" s="287" t="s">
        <v>2479</v>
      </c>
      <c r="AB555" s="287" t="s">
        <v>139</v>
      </c>
      <c r="AC555" s="287" t="s">
        <v>1875</v>
      </c>
      <c r="AD555" s="287" t="s">
        <v>1805</v>
      </c>
      <c r="AE555" s="287" t="s">
        <v>1805</v>
      </c>
      <c r="AF555" s="287" t="s">
        <v>2479</v>
      </c>
      <c r="AG555" s="287" t="s">
        <v>2479</v>
      </c>
      <c r="AH555" s="287" t="s">
        <v>2479</v>
      </c>
      <c r="AI555" s="287" t="s">
        <v>2479</v>
      </c>
      <c r="AJ555" s="304" t="s">
        <v>2191</v>
      </c>
      <c r="AK555" s="287" t="s">
        <v>2479</v>
      </c>
      <c r="AL555" s="304" t="s">
        <v>2190</v>
      </c>
      <c r="AM555" s="289" t="s">
        <v>1975</v>
      </c>
      <c r="AN555" s="281" t="b">
        <v>0</v>
      </c>
      <c r="AO555" s="305"/>
      <c r="AP555" s="291"/>
      <c r="AQ555" s="291"/>
      <c r="AR555" s="291"/>
      <c r="AS555" s="291"/>
      <c r="AT555" s="291"/>
      <c r="AU555" s="291"/>
      <c r="AV555" s="305"/>
      <c r="AW555" s="281"/>
      <c r="AX555" s="281"/>
      <c r="AY555" s="289" t="s">
        <v>2479</v>
      </c>
      <c r="AZ555" s="289" t="s">
        <v>2479</v>
      </c>
      <c r="BA555" s="289" t="s">
        <v>373</v>
      </c>
      <c r="BB555" s="289" t="s">
        <v>1610</v>
      </c>
      <c r="BC555" s="292" t="s">
        <v>2192</v>
      </c>
    </row>
    <row r="556" spans="1:55" ht="45" customHeight="1">
      <c r="A556" s="271">
        <f t="shared" si="8"/>
        <v>555</v>
      </c>
      <c r="B556" s="276" t="s">
        <v>2723</v>
      </c>
      <c r="C556" s="277" t="s">
        <v>2765</v>
      </c>
      <c r="D556" s="277" t="s">
        <v>8</v>
      </c>
      <c r="E556" s="277" t="s">
        <v>13</v>
      </c>
      <c r="F556" s="277" t="s">
        <v>1567</v>
      </c>
      <c r="G556" s="307">
        <v>44587</v>
      </c>
      <c r="H556" s="308"/>
      <c r="I556" s="308"/>
      <c r="J556" s="277"/>
      <c r="K556" s="279"/>
      <c r="L556" s="277" t="s">
        <v>2479</v>
      </c>
      <c r="M556" s="277" t="s">
        <v>2479</v>
      </c>
      <c r="N556" s="277" t="s">
        <v>126</v>
      </c>
      <c r="O556" s="277" t="s">
        <v>2479</v>
      </c>
      <c r="P556" s="277" t="s">
        <v>1554</v>
      </c>
      <c r="Q556" s="277" t="s">
        <v>2198</v>
      </c>
      <c r="R556" s="279">
        <v>44630.489212962966</v>
      </c>
      <c r="S556" s="286">
        <v>2022</v>
      </c>
      <c r="T556" s="277" t="s">
        <v>2001</v>
      </c>
      <c r="U556" s="277" t="s">
        <v>678</v>
      </c>
      <c r="V556" s="277" t="s">
        <v>679</v>
      </c>
      <c r="W556" s="277" t="s">
        <v>145</v>
      </c>
      <c r="X556" s="277" t="s">
        <v>309</v>
      </c>
      <c r="Y556" s="278">
        <v>45078</v>
      </c>
      <c r="Z556" s="287" t="s">
        <v>1875</v>
      </c>
      <c r="AA556" s="287" t="s">
        <v>2479</v>
      </c>
      <c r="AB556" s="287" t="s">
        <v>139</v>
      </c>
      <c r="AC556" s="287" t="s">
        <v>1875</v>
      </c>
      <c r="AD556" s="287" t="s">
        <v>1805</v>
      </c>
      <c r="AE556" s="287" t="s">
        <v>1805</v>
      </c>
      <c r="AF556" s="287" t="s">
        <v>2479</v>
      </c>
      <c r="AG556" s="287" t="s">
        <v>2479</v>
      </c>
      <c r="AH556" s="287" t="s">
        <v>2479</v>
      </c>
      <c r="AI556" s="287" t="s">
        <v>2479</v>
      </c>
      <c r="AJ556" s="304" t="s">
        <v>2191</v>
      </c>
      <c r="AK556" s="287" t="s">
        <v>2479</v>
      </c>
      <c r="AL556" s="304" t="s">
        <v>2190</v>
      </c>
      <c r="AM556" s="289" t="s">
        <v>1975</v>
      </c>
      <c r="AN556" s="281" t="b">
        <v>0</v>
      </c>
      <c r="AO556" s="305"/>
      <c r="AP556" s="291"/>
      <c r="AQ556" s="291"/>
      <c r="AR556" s="291"/>
      <c r="AS556" s="291"/>
      <c r="AT556" s="291"/>
      <c r="AU556" s="291"/>
      <c r="AV556" s="305"/>
      <c r="AW556" s="281"/>
      <c r="AX556" s="281"/>
      <c r="AY556" s="289" t="s">
        <v>2479</v>
      </c>
      <c r="AZ556" s="289" t="s">
        <v>2479</v>
      </c>
      <c r="BA556" s="289" t="s">
        <v>373</v>
      </c>
      <c r="BB556" s="289" t="s">
        <v>1610</v>
      </c>
      <c r="BC556" s="292" t="s">
        <v>2192</v>
      </c>
    </row>
    <row r="557" spans="1:55" ht="45" customHeight="1">
      <c r="A557" s="271">
        <f t="shared" si="8"/>
        <v>556</v>
      </c>
      <c r="B557" s="276" t="s">
        <v>2693</v>
      </c>
      <c r="C557" s="277" t="s">
        <v>2724</v>
      </c>
      <c r="D557" s="277" t="s">
        <v>8</v>
      </c>
      <c r="E557" s="277" t="s">
        <v>13</v>
      </c>
      <c r="F557" s="277" t="s">
        <v>1567</v>
      </c>
      <c r="G557" s="307">
        <v>44587</v>
      </c>
      <c r="H557" s="308"/>
      <c r="I557" s="308"/>
      <c r="J557" s="277"/>
      <c r="K557" s="279"/>
      <c r="L557" s="277" t="s">
        <v>2479</v>
      </c>
      <c r="M557" s="277" t="s">
        <v>2479</v>
      </c>
      <c r="N557" s="277" t="s">
        <v>126</v>
      </c>
      <c r="O557" s="277" t="s">
        <v>2479</v>
      </c>
      <c r="P557" s="277" t="s">
        <v>1554</v>
      </c>
      <c r="Q557" s="277" t="s">
        <v>2198</v>
      </c>
      <c r="R557" s="279">
        <v>44630.489571759259</v>
      </c>
      <c r="S557" s="286">
        <v>2022</v>
      </c>
      <c r="T557" s="277" t="s">
        <v>2001</v>
      </c>
      <c r="U557" s="277" t="s">
        <v>678</v>
      </c>
      <c r="V557" s="277" t="s">
        <v>679</v>
      </c>
      <c r="W557" s="277" t="s">
        <v>145</v>
      </c>
      <c r="X557" s="277" t="s">
        <v>309</v>
      </c>
      <c r="Y557" s="278">
        <v>45078</v>
      </c>
      <c r="Z557" s="287" t="s">
        <v>1875</v>
      </c>
      <c r="AA557" s="287" t="s">
        <v>2479</v>
      </c>
      <c r="AB557" s="287" t="s">
        <v>139</v>
      </c>
      <c r="AC557" s="287" t="s">
        <v>1875</v>
      </c>
      <c r="AD557" s="287" t="s">
        <v>1805</v>
      </c>
      <c r="AE557" s="287" t="s">
        <v>1805</v>
      </c>
      <c r="AF557" s="287" t="s">
        <v>2479</v>
      </c>
      <c r="AG557" s="287" t="s">
        <v>2479</v>
      </c>
      <c r="AH557" s="287" t="s">
        <v>2479</v>
      </c>
      <c r="AI557" s="287" t="s">
        <v>2479</v>
      </c>
      <c r="AJ557" s="304" t="s">
        <v>2191</v>
      </c>
      <c r="AK557" s="287" t="s">
        <v>2479</v>
      </c>
      <c r="AL557" s="304" t="s">
        <v>2190</v>
      </c>
      <c r="AM557" s="289" t="s">
        <v>1975</v>
      </c>
      <c r="AN557" s="281" t="b">
        <v>0</v>
      </c>
      <c r="AO557" s="305"/>
      <c r="AP557" s="291"/>
      <c r="AQ557" s="291"/>
      <c r="AR557" s="291"/>
      <c r="AS557" s="291"/>
      <c r="AT557" s="291"/>
      <c r="AU557" s="291"/>
      <c r="AV557" s="305"/>
      <c r="AW557" s="281"/>
      <c r="AX557" s="281"/>
      <c r="AY557" s="289" t="s">
        <v>2479</v>
      </c>
      <c r="AZ557" s="289" t="s">
        <v>2479</v>
      </c>
      <c r="BA557" s="289" t="s">
        <v>373</v>
      </c>
      <c r="BB557" s="289" t="s">
        <v>1610</v>
      </c>
      <c r="BC557" s="292" t="s">
        <v>2192</v>
      </c>
    </row>
    <row r="558" spans="1:55" ht="45" customHeight="1">
      <c r="A558" s="271">
        <f t="shared" si="8"/>
        <v>557</v>
      </c>
      <c r="B558" s="276" t="s">
        <v>2651</v>
      </c>
      <c r="C558" s="277" t="s">
        <v>2766</v>
      </c>
      <c r="D558" s="277" t="s">
        <v>8</v>
      </c>
      <c r="E558" s="277" t="s">
        <v>13</v>
      </c>
      <c r="F558" s="277" t="s">
        <v>1567</v>
      </c>
      <c r="G558" s="307">
        <v>44608</v>
      </c>
      <c r="H558" s="308"/>
      <c r="I558" s="308"/>
      <c r="J558" s="277"/>
      <c r="K558" s="279"/>
      <c r="L558" s="277" t="s">
        <v>2479</v>
      </c>
      <c r="M558" s="277" t="s">
        <v>2479</v>
      </c>
      <c r="N558" s="277" t="s">
        <v>126</v>
      </c>
      <c r="O558" s="277" t="s">
        <v>2479</v>
      </c>
      <c r="P558" s="277" t="s">
        <v>1554</v>
      </c>
      <c r="Q558" s="277" t="s">
        <v>2198</v>
      </c>
      <c r="R558" s="279">
        <v>44630.489907407406</v>
      </c>
      <c r="S558" s="286">
        <v>2022</v>
      </c>
      <c r="T558" s="277" t="s">
        <v>2001</v>
      </c>
      <c r="U558" s="277" t="s">
        <v>678</v>
      </c>
      <c r="V558" s="277" t="s">
        <v>679</v>
      </c>
      <c r="W558" s="277" t="s">
        <v>145</v>
      </c>
      <c r="X558" s="277" t="s">
        <v>309</v>
      </c>
      <c r="Y558" s="278">
        <v>45078</v>
      </c>
      <c r="Z558" s="287" t="s">
        <v>1875</v>
      </c>
      <c r="AA558" s="287" t="s">
        <v>2479</v>
      </c>
      <c r="AB558" s="287" t="s">
        <v>139</v>
      </c>
      <c r="AC558" s="287" t="s">
        <v>1875</v>
      </c>
      <c r="AD558" s="287" t="s">
        <v>1805</v>
      </c>
      <c r="AE558" s="287" t="s">
        <v>1805</v>
      </c>
      <c r="AF558" s="287" t="s">
        <v>2479</v>
      </c>
      <c r="AG558" s="287" t="s">
        <v>2479</v>
      </c>
      <c r="AH558" s="287" t="s">
        <v>2479</v>
      </c>
      <c r="AI558" s="287" t="s">
        <v>2479</v>
      </c>
      <c r="AJ558" s="304" t="s">
        <v>2191</v>
      </c>
      <c r="AK558" s="287" t="s">
        <v>2479</v>
      </c>
      <c r="AL558" s="304" t="s">
        <v>2190</v>
      </c>
      <c r="AM558" s="289" t="s">
        <v>1975</v>
      </c>
      <c r="AN558" s="281" t="b">
        <v>0</v>
      </c>
      <c r="AO558" s="305"/>
      <c r="AP558" s="291"/>
      <c r="AQ558" s="291"/>
      <c r="AR558" s="291"/>
      <c r="AS558" s="291"/>
      <c r="AT558" s="291"/>
      <c r="AU558" s="291"/>
      <c r="AV558" s="305"/>
      <c r="AW558" s="281"/>
      <c r="AX558" s="281"/>
      <c r="AY558" s="289" t="s">
        <v>2479</v>
      </c>
      <c r="AZ558" s="289" t="s">
        <v>2479</v>
      </c>
      <c r="BA558" s="289" t="s">
        <v>373</v>
      </c>
      <c r="BB558" s="289" t="s">
        <v>1610</v>
      </c>
      <c r="BC558" s="292" t="s">
        <v>2192</v>
      </c>
    </row>
    <row r="559" spans="1:55" ht="45" customHeight="1">
      <c r="A559" s="271">
        <f t="shared" si="8"/>
        <v>558</v>
      </c>
      <c r="B559" s="276" t="s">
        <v>2686</v>
      </c>
      <c r="C559" s="277" t="s">
        <v>2767</v>
      </c>
      <c r="D559" s="277" t="s">
        <v>8</v>
      </c>
      <c r="E559" s="277" t="s">
        <v>13</v>
      </c>
      <c r="F559" s="277" t="s">
        <v>1567</v>
      </c>
      <c r="G559" s="307">
        <v>44608</v>
      </c>
      <c r="H559" s="308"/>
      <c r="I559" s="308"/>
      <c r="J559" s="277"/>
      <c r="K559" s="279"/>
      <c r="L559" s="277" t="s">
        <v>2479</v>
      </c>
      <c r="M559" s="277" t="s">
        <v>2479</v>
      </c>
      <c r="N559" s="277" t="s">
        <v>126</v>
      </c>
      <c r="O559" s="277" t="s">
        <v>2479</v>
      </c>
      <c r="P559" s="277" t="s">
        <v>1554</v>
      </c>
      <c r="Q559" s="277" t="s">
        <v>2198</v>
      </c>
      <c r="R559" s="279">
        <v>44630.490266203706</v>
      </c>
      <c r="S559" s="286">
        <v>2022</v>
      </c>
      <c r="T559" s="277" t="s">
        <v>2001</v>
      </c>
      <c r="U559" s="277" t="s">
        <v>678</v>
      </c>
      <c r="V559" s="277" t="s">
        <v>679</v>
      </c>
      <c r="W559" s="277" t="s">
        <v>145</v>
      </c>
      <c r="X559" s="277" t="s">
        <v>309</v>
      </c>
      <c r="Y559" s="278">
        <v>45078</v>
      </c>
      <c r="Z559" s="287" t="s">
        <v>1875</v>
      </c>
      <c r="AA559" s="287" t="s">
        <v>2479</v>
      </c>
      <c r="AB559" s="287" t="s">
        <v>139</v>
      </c>
      <c r="AC559" s="287" t="s">
        <v>1875</v>
      </c>
      <c r="AD559" s="287" t="s">
        <v>1805</v>
      </c>
      <c r="AE559" s="287" t="s">
        <v>1805</v>
      </c>
      <c r="AF559" s="287" t="s">
        <v>2479</v>
      </c>
      <c r="AG559" s="287" t="s">
        <v>2479</v>
      </c>
      <c r="AH559" s="287" t="s">
        <v>2479</v>
      </c>
      <c r="AI559" s="287" t="s">
        <v>2479</v>
      </c>
      <c r="AJ559" s="304" t="s">
        <v>2191</v>
      </c>
      <c r="AK559" s="287" t="s">
        <v>2479</v>
      </c>
      <c r="AL559" s="304" t="s">
        <v>2190</v>
      </c>
      <c r="AM559" s="289" t="s">
        <v>1975</v>
      </c>
      <c r="AN559" s="281" t="b">
        <v>0</v>
      </c>
      <c r="AO559" s="305"/>
      <c r="AP559" s="291"/>
      <c r="AQ559" s="291"/>
      <c r="AR559" s="291"/>
      <c r="AS559" s="291"/>
      <c r="AT559" s="291"/>
      <c r="AU559" s="291"/>
      <c r="AV559" s="305"/>
      <c r="AW559" s="281"/>
      <c r="AX559" s="281"/>
      <c r="AY559" s="289" t="s">
        <v>2479</v>
      </c>
      <c r="AZ559" s="289" t="s">
        <v>2479</v>
      </c>
      <c r="BA559" s="289" t="s">
        <v>373</v>
      </c>
      <c r="BB559" s="289" t="s">
        <v>1610</v>
      </c>
      <c r="BC559" s="292" t="s">
        <v>2192</v>
      </c>
    </row>
    <row r="560" spans="1:55" ht="45" customHeight="1">
      <c r="A560" s="271">
        <f t="shared" si="8"/>
        <v>559</v>
      </c>
      <c r="B560" s="276" t="s">
        <v>2645</v>
      </c>
      <c r="C560" s="277" t="s">
        <v>2769</v>
      </c>
      <c r="D560" s="277" t="s">
        <v>8</v>
      </c>
      <c r="E560" s="277" t="s">
        <v>13</v>
      </c>
      <c r="F560" s="277" t="s">
        <v>1567</v>
      </c>
      <c r="G560" s="307">
        <v>44609</v>
      </c>
      <c r="H560" s="308"/>
      <c r="I560" s="308"/>
      <c r="J560" s="277"/>
      <c r="K560" s="279"/>
      <c r="L560" s="277" t="s">
        <v>2479</v>
      </c>
      <c r="M560" s="277" t="s">
        <v>2479</v>
      </c>
      <c r="N560" s="277" t="s">
        <v>126</v>
      </c>
      <c r="O560" s="277" t="s">
        <v>2479</v>
      </c>
      <c r="P560" s="277" t="s">
        <v>1554</v>
      </c>
      <c r="Q560" s="277" t="s">
        <v>2198</v>
      </c>
      <c r="R560" s="279">
        <v>44630.490949074076</v>
      </c>
      <c r="S560" s="286">
        <v>2022</v>
      </c>
      <c r="T560" s="277" t="s">
        <v>2001</v>
      </c>
      <c r="U560" s="277" t="s">
        <v>678</v>
      </c>
      <c r="V560" s="277" t="s">
        <v>679</v>
      </c>
      <c r="W560" s="277" t="s">
        <v>145</v>
      </c>
      <c r="X560" s="277" t="s">
        <v>309</v>
      </c>
      <c r="Y560" s="278">
        <v>45078</v>
      </c>
      <c r="Z560" s="287" t="s">
        <v>1875</v>
      </c>
      <c r="AA560" s="287" t="s">
        <v>2479</v>
      </c>
      <c r="AB560" s="287" t="s">
        <v>139</v>
      </c>
      <c r="AC560" s="287" t="s">
        <v>1875</v>
      </c>
      <c r="AD560" s="287" t="s">
        <v>1805</v>
      </c>
      <c r="AE560" s="287" t="s">
        <v>1805</v>
      </c>
      <c r="AF560" s="287" t="s">
        <v>2479</v>
      </c>
      <c r="AG560" s="287" t="s">
        <v>2479</v>
      </c>
      <c r="AH560" s="287" t="s">
        <v>2479</v>
      </c>
      <c r="AI560" s="287" t="s">
        <v>2479</v>
      </c>
      <c r="AJ560" s="304" t="s">
        <v>2191</v>
      </c>
      <c r="AK560" s="287" t="s">
        <v>2479</v>
      </c>
      <c r="AL560" s="304" t="s">
        <v>2190</v>
      </c>
      <c r="AM560" s="289" t="s">
        <v>1975</v>
      </c>
      <c r="AN560" s="281" t="b">
        <v>0</v>
      </c>
      <c r="AO560" s="305"/>
      <c r="AP560" s="291"/>
      <c r="AQ560" s="291"/>
      <c r="AR560" s="291"/>
      <c r="AS560" s="291"/>
      <c r="AT560" s="291"/>
      <c r="AU560" s="291"/>
      <c r="AV560" s="305"/>
      <c r="AW560" s="281"/>
      <c r="AX560" s="281"/>
      <c r="AY560" s="289" t="s">
        <v>2479</v>
      </c>
      <c r="AZ560" s="289" t="s">
        <v>2479</v>
      </c>
      <c r="BA560" s="289" t="s">
        <v>373</v>
      </c>
      <c r="BB560" s="289" t="s">
        <v>1610</v>
      </c>
      <c r="BC560" s="292" t="s">
        <v>2192</v>
      </c>
    </row>
    <row r="561" spans="1:55" ht="45" customHeight="1">
      <c r="A561" s="271">
        <f t="shared" si="8"/>
        <v>560</v>
      </c>
      <c r="B561" s="276" t="s">
        <v>2643</v>
      </c>
      <c r="C561" s="277" t="s">
        <v>2770</v>
      </c>
      <c r="D561" s="277" t="s">
        <v>8</v>
      </c>
      <c r="E561" s="277" t="s">
        <v>13</v>
      </c>
      <c r="F561" s="277" t="s">
        <v>1567</v>
      </c>
      <c r="G561" s="307">
        <v>44621</v>
      </c>
      <c r="H561" s="308"/>
      <c r="I561" s="308"/>
      <c r="J561" s="277"/>
      <c r="K561" s="279"/>
      <c r="L561" s="277" t="s">
        <v>2479</v>
      </c>
      <c r="M561" s="277" t="s">
        <v>2479</v>
      </c>
      <c r="N561" s="277" t="s">
        <v>126</v>
      </c>
      <c r="O561" s="277" t="s">
        <v>2479</v>
      </c>
      <c r="P561" s="277" t="s">
        <v>1554</v>
      </c>
      <c r="Q561" s="277" t="s">
        <v>2198</v>
      </c>
      <c r="R561" s="279">
        <v>44630.491319444445</v>
      </c>
      <c r="S561" s="286">
        <v>2022</v>
      </c>
      <c r="T561" s="277" t="s">
        <v>2001</v>
      </c>
      <c r="U561" s="277" t="s">
        <v>678</v>
      </c>
      <c r="V561" s="277" t="s">
        <v>679</v>
      </c>
      <c r="W561" s="277" t="s">
        <v>145</v>
      </c>
      <c r="X561" s="277" t="s">
        <v>309</v>
      </c>
      <c r="Y561" s="278">
        <v>45078</v>
      </c>
      <c r="Z561" s="287" t="s">
        <v>1875</v>
      </c>
      <c r="AA561" s="287" t="s">
        <v>2479</v>
      </c>
      <c r="AB561" s="287" t="s">
        <v>139</v>
      </c>
      <c r="AC561" s="287" t="s">
        <v>1875</v>
      </c>
      <c r="AD561" s="287" t="s">
        <v>1805</v>
      </c>
      <c r="AE561" s="287" t="s">
        <v>1805</v>
      </c>
      <c r="AF561" s="287" t="s">
        <v>2479</v>
      </c>
      <c r="AG561" s="287" t="s">
        <v>2479</v>
      </c>
      <c r="AH561" s="287" t="s">
        <v>2479</v>
      </c>
      <c r="AI561" s="287" t="s">
        <v>2479</v>
      </c>
      <c r="AJ561" s="304" t="s">
        <v>2191</v>
      </c>
      <c r="AK561" s="287" t="s">
        <v>2479</v>
      </c>
      <c r="AL561" s="304" t="s">
        <v>2190</v>
      </c>
      <c r="AM561" s="289" t="s">
        <v>1975</v>
      </c>
      <c r="AN561" s="281" t="b">
        <v>0</v>
      </c>
      <c r="AO561" s="305"/>
      <c r="AP561" s="291"/>
      <c r="AQ561" s="291"/>
      <c r="AR561" s="291"/>
      <c r="AS561" s="291"/>
      <c r="AT561" s="291"/>
      <c r="AU561" s="291"/>
      <c r="AV561" s="305"/>
      <c r="AW561" s="281"/>
      <c r="AX561" s="281"/>
      <c r="AY561" s="289" t="s">
        <v>2479</v>
      </c>
      <c r="AZ561" s="289" t="s">
        <v>2479</v>
      </c>
      <c r="BA561" s="289" t="s">
        <v>373</v>
      </c>
      <c r="BB561" s="289" t="s">
        <v>1610</v>
      </c>
      <c r="BC561" s="292" t="s">
        <v>2192</v>
      </c>
    </row>
    <row r="562" spans="1:55" ht="45" customHeight="1">
      <c r="A562" s="271">
        <f t="shared" si="8"/>
        <v>561</v>
      </c>
      <c r="B562" s="276" t="s">
        <v>2732</v>
      </c>
      <c r="C562" s="277" t="s">
        <v>2771</v>
      </c>
      <c r="D562" s="277" t="s">
        <v>8</v>
      </c>
      <c r="E562" s="277" t="s">
        <v>13</v>
      </c>
      <c r="F562" s="277" t="s">
        <v>1567</v>
      </c>
      <c r="G562" s="308">
        <v>44621</v>
      </c>
      <c r="H562" s="308"/>
      <c r="I562" s="308"/>
      <c r="J562" s="277"/>
      <c r="K562" s="279"/>
      <c r="L562" s="277" t="s">
        <v>2479</v>
      </c>
      <c r="M562" s="277" t="s">
        <v>2479</v>
      </c>
      <c r="N562" s="277" t="s">
        <v>126</v>
      </c>
      <c r="O562" s="277" t="s">
        <v>2479</v>
      </c>
      <c r="P562" s="277" t="s">
        <v>1554</v>
      </c>
      <c r="Q562" s="277" t="s">
        <v>2198</v>
      </c>
      <c r="R562" s="279">
        <v>44630.491666666669</v>
      </c>
      <c r="S562" s="286">
        <v>2022</v>
      </c>
      <c r="T562" s="277" t="s">
        <v>2001</v>
      </c>
      <c r="U562" s="277" t="s">
        <v>678</v>
      </c>
      <c r="V562" s="277" t="s">
        <v>679</v>
      </c>
      <c r="W562" s="277" t="s">
        <v>145</v>
      </c>
      <c r="X562" s="277" t="s">
        <v>309</v>
      </c>
      <c r="Y562" s="278">
        <v>45078</v>
      </c>
      <c r="Z562" s="287" t="s">
        <v>1875</v>
      </c>
      <c r="AA562" s="287" t="s">
        <v>2479</v>
      </c>
      <c r="AB562" s="287" t="s">
        <v>139</v>
      </c>
      <c r="AC562" s="287" t="s">
        <v>1875</v>
      </c>
      <c r="AD562" s="287" t="s">
        <v>1805</v>
      </c>
      <c r="AE562" s="287" t="s">
        <v>1805</v>
      </c>
      <c r="AF562" s="287" t="s">
        <v>2479</v>
      </c>
      <c r="AG562" s="287" t="s">
        <v>2479</v>
      </c>
      <c r="AH562" s="287" t="s">
        <v>2479</v>
      </c>
      <c r="AI562" s="287" t="s">
        <v>2479</v>
      </c>
      <c r="AJ562" s="304" t="s">
        <v>2191</v>
      </c>
      <c r="AK562" s="287" t="s">
        <v>2479</v>
      </c>
      <c r="AL562" s="304" t="s">
        <v>2190</v>
      </c>
      <c r="AM562" s="289" t="s">
        <v>1975</v>
      </c>
      <c r="AN562" s="281" t="b">
        <v>0</v>
      </c>
      <c r="AO562" s="305"/>
      <c r="AP562" s="291"/>
      <c r="AQ562" s="291"/>
      <c r="AR562" s="291"/>
      <c r="AS562" s="291"/>
      <c r="AT562" s="291"/>
      <c r="AU562" s="291"/>
      <c r="AV562" s="305"/>
      <c r="AW562" s="281"/>
      <c r="AX562" s="281"/>
      <c r="AY562" s="289" t="s">
        <v>2479</v>
      </c>
      <c r="AZ562" s="289" t="s">
        <v>2479</v>
      </c>
      <c r="BA562" s="289" t="s">
        <v>373</v>
      </c>
      <c r="BB562" s="289" t="s">
        <v>1610</v>
      </c>
      <c r="BC562" s="292" t="s">
        <v>2192</v>
      </c>
    </row>
    <row r="563" spans="1:55" ht="45" customHeight="1">
      <c r="A563" s="271">
        <f>ROW()-1</f>
        <v>562</v>
      </c>
      <c r="B563" s="276" t="s">
        <v>2734</v>
      </c>
      <c r="C563" s="277" t="s">
        <v>2772</v>
      </c>
      <c r="D563" s="277" t="s">
        <v>8</v>
      </c>
      <c r="E563" s="277" t="s">
        <v>13</v>
      </c>
      <c r="F563" s="277" t="s">
        <v>1567</v>
      </c>
      <c r="G563" s="307">
        <v>44621</v>
      </c>
      <c r="H563" s="308"/>
      <c r="I563" s="308"/>
      <c r="J563" s="277"/>
      <c r="K563" s="279"/>
      <c r="L563" s="277" t="s">
        <v>2479</v>
      </c>
      <c r="M563" s="277" t="s">
        <v>2479</v>
      </c>
      <c r="N563" s="277" t="s">
        <v>126</v>
      </c>
      <c r="O563" s="277" t="s">
        <v>2479</v>
      </c>
      <c r="P563" s="277" t="s">
        <v>1554</v>
      </c>
      <c r="Q563" s="277" t="s">
        <v>2198</v>
      </c>
      <c r="R563" s="279">
        <v>44630.492071759261</v>
      </c>
      <c r="S563" s="286">
        <v>2022</v>
      </c>
      <c r="T563" s="277" t="s">
        <v>2001</v>
      </c>
      <c r="U563" s="277" t="s">
        <v>678</v>
      </c>
      <c r="V563" s="277" t="s">
        <v>679</v>
      </c>
      <c r="W563" s="277" t="s">
        <v>145</v>
      </c>
      <c r="X563" s="277" t="s">
        <v>309</v>
      </c>
      <c r="Y563" s="278">
        <v>45078</v>
      </c>
      <c r="Z563" s="287" t="s">
        <v>1875</v>
      </c>
      <c r="AA563" s="287" t="s">
        <v>2479</v>
      </c>
      <c r="AB563" s="287" t="s">
        <v>139</v>
      </c>
      <c r="AC563" s="287" t="s">
        <v>1875</v>
      </c>
      <c r="AD563" s="287" t="s">
        <v>1805</v>
      </c>
      <c r="AE563" s="287" t="s">
        <v>1805</v>
      </c>
      <c r="AF563" s="287" t="s">
        <v>2479</v>
      </c>
      <c r="AG563" s="287" t="s">
        <v>2479</v>
      </c>
      <c r="AH563" s="287" t="s">
        <v>2479</v>
      </c>
      <c r="AI563" s="287" t="s">
        <v>2479</v>
      </c>
      <c r="AJ563" s="304" t="s">
        <v>2191</v>
      </c>
      <c r="AK563" s="287" t="s">
        <v>2479</v>
      </c>
      <c r="AL563" s="304" t="s">
        <v>2190</v>
      </c>
      <c r="AM563" s="289" t="s">
        <v>1975</v>
      </c>
      <c r="AN563" s="281" t="b">
        <v>0</v>
      </c>
      <c r="AO563" s="305"/>
      <c r="AP563" s="291"/>
      <c r="AQ563" s="291"/>
      <c r="AR563" s="291"/>
      <c r="AS563" s="291"/>
      <c r="AT563" s="291"/>
      <c r="AU563" s="291"/>
      <c r="AV563" s="305"/>
      <c r="AW563" s="281"/>
      <c r="AX563" s="281"/>
      <c r="AY563" s="289" t="s">
        <v>2479</v>
      </c>
      <c r="AZ563" s="289" t="s">
        <v>2479</v>
      </c>
      <c r="BA563" s="289" t="s">
        <v>373</v>
      </c>
      <c r="BB563" s="289" t="s">
        <v>1610</v>
      </c>
      <c r="BC563" s="292" t="s">
        <v>2192</v>
      </c>
    </row>
    <row r="564" spans="1:55" ht="45" customHeight="1">
      <c r="A564" s="271">
        <f t="shared" si="8"/>
        <v>563</v>
      </c>
      <c r="B564" s="276" t="s">
        <v>2637</v>
      </c>
      <c r="C564" s="277" t="s">
        <v>2771</v>
      </c>
      <c r="D564" s="277" t="s">
        <v>8</v>
      </c>
      <c r="E564" s="277" t="s">
        <v>13</v>
      </c>
      <c r="F564" s="277" t="s">
        <v>1567</v>
      </c>
      <c r="G564" s="308">
        <v>44632</v>
      </c>
      <c r="H564" s="308"/>
      <c r="I564" s="308"/>
      <c r="J564" s="277"/>
      <c r="K564" s="279"/>
      <c r="L564" s="277" t="s">
        <v>2479</v>
      </c>
      <c r="M564" s="277" t="s">
        <v>2479</v>
      </c>
      <c r="N564" s="277" t="s">
        <v>126</v>
      </c>
      <c r="O564" s="277" t="s">
        <v>2479</v>
      </c>
      <c r="P564" s="277" t="s">
        <v>1554</v>
      </c>
      <c r="Q564" s="277" t="s">
        <v>2198</v>
      </c>
      <c r="R564" s="279">
        <v>44630.492835648147</v>
      </c>
      <c r="S564" s="286">
        <v>2022</v>
      </c>
      <c r="T564" s="277" t="s">
        <v>2001</v>
      </c>
      <c r="U564" s="277" t="s">
        <v>678</v>
      </c>
      <c r="V564" s="277" t="s">
        <v>679</v>
      </c>
      <c r="W564" s="277" t="s">
        <v>145</v>
      </c>
      <c r="X564" s="277" t="s">
        <v>309</v>
      </c>
      <c r="Y564" s="278">
        <v>45078</v>
      </c>
      <c r="Z564" s="287" t="s">
        <v>1875</v>
      </c>
      <c r="AA564" s="287" t="s">
        <v>2479</v>
      </c>
      <c r="AB564" s="287" t="s">
        <v>139</v>
      </c>
      <c r="AC564" s="287" t="s">
        <v>1875</v>
      </c>
      <c r="AD564" s="287" t="s">
        <v>1805</v>
      </c>
      <c r="AE564" s="287" t="s">
        <v>1805</v>
      </c>
      <c r="AF564" s="287" t="s">
        <v>2479</v>
      </c>
      <c r="AG564" s="287" t="s">
        <v>2479</v>
      </c>
      <c r="AH564" s="287" t="s">
        <v>2479</v>
      </c>
      <c r="AI564" s="287" t="s">
        <v>2479</v>
      </c>
      <c r="AJ564" s="304" t="s">
        <v>2191</v>
      </c>
      <c r="AK564" s="287" t="s">
        <v>2479</v>
      </c>
      <c r="AL564" s="304" t="s">
        <v>2190</v>
      </c>
      <c r="AM564" s="289" t="s">
        <v>1975</v>
      </c>
      <c r="AN564" s="281" t="b">
        <v>0</v>
      </c>
      <c r="AO564" s="305"/>
      <c r="AP564" s="291"/>
      <c r="AQ564" s="291"/>
      <c r="AR564" s="291"/>
      <c r="AS564" s="291"/>
      <c r="AT564" s="291"/>
      <c r="AU564" s="291"/>
      <c r="AV564" s="305"/>
      <c r="AW564" s="281"/>
      <c r="AX564" s="281"/>
      <c r="AY564" s="289" t="s">
        <v>2479</v>
      </c>
      <c r="AZ564" s="289" t="s">
        <v>2479</v>
      </c>
      <c r="BA564" s="289" t="s">
        <v>373</v>
      </c>
      <c r="BB564" s="289" t="s">
        <v>1610</v>
      </c>
      <c r="BC564" s="292" t="s">
        <v>2192</v>
      </c>
    </row>
    <row r="565" spans="1:55" ht="45" customHeight="1">
      <c r="A565" s="271">
        <f t="shared" si="8"/>
        <v>564</v>
      </c>
      <c r="B565" s="276" t="s">
        <v>2737</v>
      </c>
      <c r="C565" s="277" t="s">
        <v>2774</v>
      </c>
      <c r="D565" s="277" t="s">
        <v>8</v>
      </c>
      <c r="E565" s="277" t="s">
        <v>13</v>
      </c>
      <c r="F565" s="277" t="s">
        <v>1567</v>
      </c>
      <c r="G565" s="307">
        <v>44635</v>
      </c>
      <c r="H565" s="308"/>
      <c r="I565" s="308"/>
      <c r="J565" s="277"/>
      <c r="K565" s="279"/>
      <c r="L565" s="277" t="s">
        <v>2479</v>
      </c>
      <c r="M565" s="277" t="s">
        <v>2479</v>
      </c>
      <c r="N565" s="277" t="s">
        <v>126</v>
      </c>
      <c r="O565" s="277" t="s">
        <v>2479</v>
      </c>
      <c r="P565" s="277" t="s">
        <v>1554</v>
      </c>
      <c r="Q565" s="277" t="s">
        <v>2198</v>
      </c>
      <c r="R565" s="279">
        <v>44630.493136574078</v>
      </c>
      <c r="S565" s="286">
        <v>2022</v>
      </c>
      <c r="T565" s="277" t="s">
        <v>2001</v>
      </c>
      <c r="U565" s="277" t="s">
        <v>678</v>
      </c>
      <c r="V565" s="277" t="s">
        <v>679</v>
      </c>
      <c r="W565" s="277" t="s">
        <v>145</v>
      </c>
      <c r="X565" s="277" t="s">
        <v>309</v>
      </c>
      <c r="Y565" s="278">
        <v>45078</v>
      </c>
      <c r="Z565" s="287" t="s">
        <v>1875</v>
      </c>
      <c r="AA565" s="287" t="s">
        <v>2479</v>
      </c>
      <c r="AB565" s="287" t="s">
        <v>139</v>
      </c>
      <c r="AC565" s="287" t="s">
        <v>1875</v>
      </c>
      <c r="AD565" s="287" t="s">
        <v>1805</v>
      </c>
      <c r="AE565" s="287" t="s">
        <v>1805</v>
      </c>
      <c r="AF565" s="287" t="s">
        <v>2479</v>
      </c>
      <c r="AG565" s="287" t="s">
        <v>2479</v>
      </c>
      <c r="AH565" s="287" t="s">
        <v>2479</v>
      </c>
      <c r="AI565" s="287" t="s">
        <v>2479</v>
      </c>
      <c r="AJ565" s="304" t="s">
        <v>2191</v>
      </c>
      <c r="AK565" s="287" t="s">
        <v>2479</v>
      </c>
      <c r="AL565" s="304" t="s">
        <v>2190</v>
      </c>
      <c r="AM565" s="289" t="s">
        <v>1975</v>
      </c>
      <c r="AN565" s="281" t="b">
        <v>0</v>
      </c>
      <c r="AO565" s="305"/>
      <c r="AP565" s="291"/>
      <c r="AQ565" s="291"/>
      <c r="AR565" s="291"/>
      <c r="AS565" s="291"/>
      <c r="AT565" s="291"/>
      <c r="AU565" s="291"/>
      <c r="AV565" s="305"/>
      <c r="AW565" s="281"/>
      <c r="AX565" s="281"/>
      <c r="AY565" s="289" t="s">
        <v>2479</v>
      </c>
      <c r="AZ565" s="289" t="s">
        <v>2479</v>
      </c>
      <c r="BA565" s="289" t="s">
        <v>373</v>
      </c>
      <c r="BB565" s="289" t="s">
        <v>1610</v>
      </c>
      <c r="BC565" s="292" t="s">
        <v>2192</v>
      </c>
    </row>
    <row r="566" spans="1:55" ht="45" customHeight="1">
      <c r="A566" s="271">
        <f t="shared" si="8"/>
        <v>565</v>
      </c>
      <c r="B566" s="276" t="s">
        <v>2651</v>
      </c>
      <c r="C566" s="277" t="s">
        <v>2775</v>
      </c>
      <c r="D566" s="277" t="s">
        <v>8</v>
      </c>
      <c r="E566" s="277" t="s">
        <v>13</v>
      </c>
      <c r="F566" s="277" t="s">
        <v>1567</v>
      </c>
      <c r="G566" s="307">
        <v>44635</v>
      </c>
      <c r="H566" s="308"/>
      <c r="I566" s="308"/>
      <c r="J566" s="277"/>
      <c r="K566" s="279"/>
      <c r="L566" s="277" t="s">
        <v>2479</v>
      </c>
      <c r="M566" s="277" t="s">
        <v>2479</v>
      </c>
      <c r="N566" s="277" t="s">
        <v>126</v>
      </c>
      <c r="O566" s="277" t="s">
        <v>2479</v>
      </c>
      <c r="P566" s="277" t="s">
        <v>1554</v>
      </c>
      <c r="Q566" s="277" t="s">
        <v>2198</v>
      </c>
      <c r="R566" s="279">
        <v>44630.493449074071</v>
      </c>
      <c r="S566" s="286">
        <v>2022</v>
      </c>
      <c r="T566" s="277" t="s">
        <v>2001</v>
      </c>
      <c r="U566" s="277" t="s">
        <v>678</v>
      </c>
      <c r="V566" s="277" t="s">
        <v>679</v>
      </c>
      <c r="W566" s="277" t="s">
        <v>145</v>
      </c>
      <c r="X566" s="277" t="s">
        <v>309</v>
      </c>
      <c r="Y566" s="278">
        <v>45078</v>
      </c>
      <c r="Z566" s="287" t="s">
        <v>1875</v>
      </c>
      <c r="AA566" s="287" t="s">
        <v>2479</v>
      </c>
      <c r="AB566" s="287" t="s">
        <v>139</v>
      </c>
      <c r="AC566" s="287" t="s">
        <v>1875</v>
      </c>
      <c r="AD566" s="287" t="s">
        <v>1805</v>
      </c>
      <c r="AE566" s="287" t="s">
        <v>1805</v>
      </c>
      <c r="AF566" s="287" t="s">
        <v>2479</v>
      </c>
      <c r="AG566" s="287" t="s">
        <v>2479</v>
      </c>
      <c r="AH566" s="287" t="s">
        <v>2479</v>
      </c>
      <c r="AI566" s="287" t="s">
        <v>2479</v>
      </c>
      <c r="AJ566" s="304" t="s">
        <v>2191</v>
      </c>
      <c r="AK566" s="287" t="s">
        <v>2479</v>
      </c>
      <c r="AL566" s="304" t="s">
        <v>2190</v>
      </c>
      <c r="AM566" s="289" t="s">
        <v>1975</v>
      </c>
      <c r="AN566" s="281" t="b">
        <v>0</v>
      </c>
      <c r="AO566" s="305"/>
      <c r="AP566" s="291"/>
      <c r="AQ566" s="291"/>
      <c r="AR566" s="291"/>
      <c r="AS566" s="291"/>
      <c r="AT566" s="291"/>
      <c r="AU566" s="291"/>
      <c r="AV566" s="305"/>
      <c r="AW566" s="281"/>
      <c r="AX566" s="281"/>
      <c r="AY566" s="289" t="s">
        <v>2479</v>
      </c>
      <c r="AZ566" s="289" t="s">
        <v>2479</v>
      </c>
      <c r="BA566" s="289" t="s">
        <v>373</v>
      </c>
      <c r="BB566" s="289" t="s">
        <v>1610</v>
      </c>
      <c r="BC566" s="292" t="s">
        <v>2192</v>
      </c>
    </row>
    <row r="567" spans="1:55" ht="45" customHeight="1">
      <c r="A567" s="271">
        <f>ROW()-1</f>
        <v>566</v>
      </c>
      <c r="B567" s="276" t="s">
        <v>2739</v>
      </c>
      <c r="C567" s="277" t="s">
        <v>2776</v>
      </c>
      <c r="D567" s="277" t="s">
        <v>8</v>
      </c>
      <c r="E567" s="277" t="s">
        <v>13</v>
      </c>
      <c r="F567" s="277" t="s">
        <v>1567</v>
      </c>
      <c r="G567" s="307">
        <v>44667</v>
      </c>
      <c r="H567" s="308"/>
      <c r="I567" s="308"/>
      <c r="J567" s="277"/>
      <c r="K567" s="279"/>
      <c r="L567" s="277" t="s">
        <v>2479</v>
      </c>
      <c r="M567" s="277" t="s">
        <v>2479</v>
      </c>
      <c r="N567" s="277" t="s">
        <v>126</v>
      </c>
      <c r="O567" s="277" t="s">
        <v>2479</v>
      </c>
      <c r="P567" s="277" t="s">
        <v>1554</v>
      </c>
      <c r="Q567" s="277" t="s">
        <v>2198</v>
      </c>
      <c r="R567" s="279">
        <v>44630.493807870371</v>
      </c>
      <c r="S567" s="286">
        <v>2022</v>
      </c>
      <c r="T567" s="277" t="s">
        <v>2001</v>
      </c>
      <c r="U567" s="277" t="s">
        <v>678</v>
      </c>
      <c r="V567" s="277" t="s">
        <v>679</v>
      </c>
      <c r="W567" s="277" t="s">
        <v>145</v>
      </c>
      <c r="X567" s="277" t="s">
        <v>309</v>
      </c>
      <c r="Y567" s="278">
        <v>45078</v>
      </c>
      <c r="Z567" s="287" t="s">
        <v>1875</v>
      </c>
      <c r="AA567" s="287" t="s">
        <v>2479</v>
      </c>
      <c r="AB567" s="287" t="s">
        <v>139</v>
      </c>
      <c r="AC567" s="287" t="s">
        <v>1875</v>
      </c>
      <c r="AD567" s="287" t="s">
        <v>1805</v>
      </c>
      <c r="AE567" s="287" t="s">
        <v>1805</v>
      </c>
      <c r="AF567" s="287" t="s">
        <v>2479</v>
      </c>
      <c r="AG567" s="287" t="s">
        <v>2479</v>
      </c>
      <c r="AH567" s="287" t="s">
        <v>2479</v>
      </c>
      <c r="AI567" s="287" t="s">
        <v>2479</v>
      </c>
      <c r="AJ567" s="304" t="s">
        <v>2191</v>
      </c>
      <c r="AK567" s="287" t="s">
        <v>2479</v>
      </c>
      <c r="AL567" s="304" t="s">
        <v>2190</v>
      </c>
      <c r="AM567" s="289" t="s">
        <v>1975</v>
      </c>
      <c r="AN567" s="281" t="b">
        <v>0</v>
      </c>
      <c r="AO567" s="305"/>
      <c r="AP567" s="291"/>
      <c r="AQ567" s="291"/>
      <c r="AR567" s="291"/>
      <c r="AS567" s="291"/>
      <c r="AT567" s="291"/>
      <c r="AU567" s="291"/>
      <c r="AV567" s="305"/>
      <c r="AW567" s="281"/>
      <c r="AX567" s="281"/>
      <c r="AY567" s="289" t="s">
        <v>2479</v>
      </c>
      <c r="AZ567" s="289" t="s">
        <v>2479</v>
      </c>
      <c r="BA567" s="289" t="s">
        <v>373</v>
      </c>
      <c r="BB567" s="289" t="s">
        <v>1610</v>
      </c>
      <c r="BC567" s="292" t="s">
        <v>2192</v>
      </c>
    </row>
    <row r="568" spans="1:55" ht="45" customHeight="1">
      <c r="A568" s="271">
        <f t="shared" si="8"/>
        <v>567</v>
      </c>
      <c r="B568" s="276" t="s">
        <v>2723</v>
      </c>
      <c r="C568" s="277" t="s">
        <v>2724</v>
      </c>
      <c r="D568" s="277" t="s">
        <v>8</v>
      </c>
      <c r="E568" s="277" t="s">
        <v>13</v>
      </c>
      <c r="F568" s="277" t="s">
        <v>1567</v>
      </c>
      <c r="G568" s="307">
        <v>44703</v>
      </c>
      <c r="H568" s="308"/>
      <c r="I568" s="308"/>
      <c r="J568" s="277"/>
      <c r="K568" s="279"/>
      <c r="L568" s="277" t="s">
        <v>2479</v>
      </c>
      <c r="M568" s="277" t="s">
        <v>2479</v>
      </c>
      <c r="N568" s="277" t="s">
        <v>126</v>
      </c>
      <c r="O568" s="277" t="s">
        <v>2479</v>
      </c>
      <c r="P568" s="277" t="s">
        <v>1554</v>
      </c>
      <c r="Q568" s="277" t="s">
        <v>2198</v>
      </c>
      <c r="R568" s="279">
        <v>44630.469155092593</v>
      </c>
      <c r="S568" s="286">
        <v>2022</v>
      </c>
      <c r="T568" s="277" t="s">
        <v>2001</v>
      </c>
      <c r="U568" s="277" t="s">
        <v>678</v>
      </c>
      <c r="V568" s="277" t="s">
        <v>679</v>
      </c>
      <c r="W568" s="277" t="s">
        <v>145</v>
      </c>
      <c r="X568" s="277" t="s">
        <v>309</v>
      </c>
      <c r="Y568" s="278">
        <v>45078</v>
      </c>
      <c r="Z568" s="287" t="s">
        <v>1875</v>
      </c>
      <c r="AA568" s="287" t="s">
        <v>2479</v>
      </c>
      <c r="AB568" s="287" t="s">
        <v>139</v>
      </c>
      <c r="AC568" s="287" t="s">
        <v>1875</v>
      </c>
      <c r="AD568" s="287" t="s">
        <v>1805</v>
      </c>
      <c r="AE568" s="287" t="s">
        <v>1805</v>
      </c>
      <c r="AF568" s="287" t="s">
        <v>2479</v>
      </c>
      <c r="AG568" s="287" t="s">
        <v>2479</v>
      </c>
      <c r="AH568" s="287" t="s">
        <v>2479</v>
      </c>
      <c r="AI568" s="287" t="s">
        <v>2479</v>
      </c>
      <c r="AJ568" s="304" t="s">
        <v>2191</v>
      </c>
      <c r="AK568" s="287" t="s">
        <v>2479</v>
      </c>
      <c r="AL568" s="304" t="s">
        <v>2190</v>
      </c>
      <c r="AM568" s="289" t="s">
        <v>1975</v>
      </c>
      <c r="AN568" s="281" t="b">
        <v>0</v>
      </c>
      <c r="AO568" s="305"/>
      <c r="AP568" s="291"/>
      <c r="AQ568" s="291"/>
      <c r="AR568" s="291"/>
      <c r="AS568" s="291"/>
      <c r="AT568" s="291"/>
      <c r="AU568" s="291"/>
      <c r="AV568" s="305"/>
      <c r="AW568" s="281"/>
      <c r="AX568" s="281"/>
      <c r="AY568" s="289" t="s">
        <v>2479</v>
      </c>
      <c r="AZ568" s="289" t="s">
        <v>2479</v>
      </c>
      <c r="BA568" s="289" t="s">
        <v>373</v>
      </c>
      <c r="BB568" s="289" t="s">
        <v>1610</v>
      </c>
      <c r="BC568" s="292" t="s">
        <v>2192</v>
      </c>
    </row>
    <row r="569" spans="1:55" ht="45" customHeight="1">
      <c r="A569" s="271">
        <f t="shared" si="8"/>
        <v>568</v>
      </c>
      <c r="B569" s="276" t="s">
        <v>2745</v>
      </c>
      <c r="C569" s="277" t="s">
        <v>2777</v>
      </c>
      <c r="D569" s="277" t="s">
        <v>8</v>
      </c>
      <c r="E569" s="277" t="s">
        <v>13</v>
      </c>
      <c r="F569" s="277" t="s">
        <v>1567</v>
      </c>
      <c r="G569" s="307">
        <v>44712</v>
      </c>
      <c r="H569" s="308"/>
      <c r="I569" s="308"/>
      <c r="J569" s="277"/>
      <c r="K569" s="279"/>
      <c r="L569" s="277" t="s">
        <v>2479</v>
      </c>
      <c r="M569" s="277" t="s">
        <v>2479</v>
      </c>
      <c r="N569" s="277" t="s">
        <v>126</v>
      </c>
      <c r="O569" s="277" t="s">
        <v>2479</v>
      </c>
      <c r="P569" s="277" t="s">
        <v>1554</v>
      </c>
      <c r="Q569" s="277" t="s">
        <v>2198</v>
      </c>
      <c r="R569" s="279">
        <v>44630.494583333333</v>
      </c>
      <c r="S569" s="286">
        <v>2022</v>
      </c>
      <c r="T569" s="277" t="s">
        <v>2001</v>
      </c>
      <c r="U569" s="277" t="s">
        <v>678</v>
      </c>
      <c r="V569" s="277" t="s">
        <v>679</v>
      </c>
      <c r="W569" s="277" t="s">
        <v>145</v>
      </c>
      <c r="X569" s="277" t="s">
        <v>309</v>
      </c>
      <c r="Y569" s="278">
        <v>45078</v>
      </c>
      <c r="Z569" s="287" t="s">
        <v>1875</v>
      </c>
      <c r="AA569" s="287" t="s">
        <v>2479</v>
      </c>
      <c r="AB569" s="287" t="s">
        <v>139</v>
      </c>
      <c r="AC569" s="287" t="s">
        <v>1875</v>
      </c>
      <c r="AD569" s="287" t="s">
        <v>1805</v>
      </c>
      <c r="AE569" s="287" t="s">
        <v>1805</v>
      </c>
      <c r="AF569" s="287" t="s">
        <v>2479</v>
      </c>
      <c r="AG569" s="287" t="s">
        <v>2479</v>
      </c>
      <c r="AH569" s="287" t="s">
        <v>2479</v>
      </c>
      <c r="AI569" s="287" t="s">
        <v>2479</v>
      </c>
      <c r="AJ569" s="304" t="s">
        <v>2191</v>
      </c>
      <c r="AK569" s="287" t="s">
        <v>2479</v>
      </c>
      <c r="AL569" s="304" t="s">
        <v>2190</v>
      </c>
      <c r="AM569" s="289" t="s">
        <v>1975</v>
      </c>
      <c r="AN569" s="281" t="b">
        <v>0</v>
      </c>
      <c r="AO569" s="305"/>
      <c r="AP569" s="291"/>
      <c r="AQ569" s="291"/>
      <c r="AR569" s="291"/>
      <c r="AS569" s="291"/>
      <c r="AT569" s="291"/>
      <c r="AU569" s="291"/>
      <c r="AV569" s="305"/>
      <c r="AW569" s="281"/>
      <c r="AX569" s="281"/>
      <c r="AY569" s="289" t="s">
        <v>2479</v>
      </c>
      <c r="AZ569" s="289" t="s">
        <v>2479</v>
      </c>
      <c r="BA569" s="289" t="s">
        <v>373</v>
      </c>
      <c r="BB569" s="289" t="s">
        <v>1610</v>
      </c>
      <c r="BC569" s="292" t="s">
        <v>2192</v>
      </c>
    </row>
    <row r="570" spans="1:55" ht="45" customHeight="1">
      <c r="A570" s="271">
        <f t="shared" si="8"/>
        <v>569</v>
      </c>
      <c r="B570" s="276" t="s">
        <v>2778</v>
      </c>
      <c r="C570" s="277" t="s">
        <v>2779</v>
      </c>
      <c r="D570" s="277" t="s">
        <v>8</v>
      </c>
      <c r="E570" s="277" t="s">
        <v>13</v>
      </c>
      <c r="F570" s="277" t="s">
        <v>1567</v>
      </c>
      <c r="G570" s="307">
        <v>44776</v>
      </c>
      <c r="H570" s="308"/>
      <c r="I570" s="308"/>
      <c r="J570" s="277"/>
      <c r="K570" s="279"/>
      <c r="L570" s="277" t="s">
        <v>2479</v>
      </c>
      <c r="M570" s="277" t="s">
        <v>2479</v>
      </c>
      <c r="N570" s="277" t="s">
        <v>126</v>
      </c>
      <c r="O570" s="277" t="s">
        <v>2479</v>
      </c>
      <c r="P570" s="277" t="s">
        <v>1554</v>
      </c>
      <c r="Q570" s="277" t="s">
        <v>2198</v>
      </c>
      <c r="R570" s="279">
        <v>44630.494953703703</v>
      </c>
      <c r="S570" s="286">
        <v>2022</v>
      </c>
      <c r="T570" s="277" t="s">
        <v>2001</v>
      </c>
      <c r="U570" s="277" t="s">
        <v>678</v>
      </c>
      <c r="V570" s="277" t="s">
        <v>679</v>
      </c>
      <c r="W570" s="277" t="s">
        <v>145</v>
      </c>
      <c r="X570" s="277" t="s">
        <v>309</v>
      </c>
      <c r="Y570" s="278">
        <v>45078</v>
      </c>
      <c r="Z570" s="287" t="s">
        <v>1875</v>
      </c>
      <c r="AA570" s="287" t="s">
        <v>2479</v>
      </c>
      <c r="AB570" s="287" t="s">
        <v>139</v>
      </c>
      <c r="AC570" s="287" t="s">
        <v>1875</v>
      </c>
      <c r="AD570" s="287" t="s">
        <v>1805</v>
      </c>
      <c r="AE570" s="287" t="s">
        <v>1805</v>
      </c>
      <c r="AF570" s="287" t="s">
        <v>2479</v>
      </c>
      <c r="AG570" s="287" t="s">
        <v>2479</v>
      </c>
      <c r="AH570" s="287" t="s">
        <v>2479</v>
      </c>
      <c r="AI570" s="287" t="s">
        <v>2479</v>
      </c>
      <c r="AJ570" s="304" t="s">
        <v>2191</v>
      </c>
      <c r="AK570" s="287" t="s">
        <v>2479</v>
      </c>
      <c r="AL570" s="304" t="s">
        <v>2190</v>
      </c>
      <c r="AM570" s="289" t="s">
        <v>1975</v>
      </c>
      <c r="AN570" s="281" t="b">
        <v>0</v>
      </c>
      <c r="AO570" s="305"/>
      <c r="AP570" s="291"/>
      <c r="AQ570" s="291"/>
      <c r="AR570" s="291"/>
      <c r="AS570" s="291"/>
      <c r="AT570" s="291"/>
      <c r="AU570" s="291"/>
      <c r="AV570" s="305"/>
      <c r="AW570" s="281"/>
      <c r="AX570" s="281"/>
      <c r="AY570" s="289" t="s">
        <v>2479</v>
      </c>
      <c r="AZ570" s="289" t="s">
        <v>2479</v>
      </c>
      <c r="BA570" s="289" t="s">
        <v>373</v>
      </c>
      <c r="BB570" s="289" t="s">
        <v>1610</v>
      </c>
      <c r="BC570" s="292" t="s">
        <v>2192</v>
      </c>
    </row>
    <row r="571" spans="1:55" ht="45" customHeight="1">
      <c r="A571" s="271">
        <f t="shared" si="8"/>
        <v>570</v>
      </c>
      <c r="B571" s="276" t="s">
        <v>2747</v>
      </c>
      <c r="C571" s="277" t="s">
        <v>2845</v>
      </c>
      <c r="D571" s="277" t="s">
        <v>8</v>
      </c>
      <c r="E571" s="277" t="s">
        <v>13</v>
      </c>
      <c r="F571" s="277" t="s">
        <v>1567</v>
      </c>
      <c r="G571" s="307">
        <v>44821</v>
      </c>
      <c r="H571" s="308"/>
      <c r="I571" s="308"/>
      <c r="J571" s="277"/>
      <c r="K571" s="279"/>
      <c r="L571" s="277" t="s">
        <v>2479</v>
      </c>
      <c r="M571" s="277" t="s">
        <v>2479</v>
      </c>
      <c r="N571" s="277" t="s">
        <v>122</v>
      </c>
      <c r="O571" s="277" t="s">
        <v>2479</v>
      </c>
      <c r="P571" s="277" t="s">
        <v>1554</v>
      </c>
      <c r="Q571" s="277" t="s">
        <v>2198</v>
      </c>
      <c r="R571" s="279">
        <v>44630.558969907404</v>
      </c>
      <c r="S571" s="286">
        <v>2022</v>
      </c>
      <c r="T571" s="277" t="s">
        <v>2001</v>
      </c>
      <c r="U571" s="277" t="s">
        <v>678</v>
      </c>
      <c r="V571" s="277" t="s">
        <v>679</v>
      </c>
      <c r="W571" s="277" t="s">
        <v>145</v>
      </c>
      <c r="X571" s="277" t="s">
        <v>309</v>
      </c>
      <c r="Y571" s="278">
        <v>45078</v>
      </c>
      <c r="Z571" s="287" t="s">
        <v>1875</v>
      </c>
      <c r="AA571" s="287" t="s">
        <v>2479</v>
      </c>
      <c r="AB571" s="287" t="s">
        <v>139</v>
      </c>
      <c r="AC571" s="287" t="s">
        <v>1875</v>
      </c>
      <c r="AD571" s="287" t="s">
        <v>1805</v>
      </c>
      <c r="AE571" s="287" t="s">
        <v>1805</v>
      </c>
      <c r="AF571" s="287" t="s">
        <v>2479</v>
      </c>
      <c r="AG571" s="287" t="s">
        <v>2479</v>
      </c>
      <c r="AH571" s="287" t="s">
        <v>2479</v>
      </c>
      <c r="AI571" s="287" t="s">
        <v>2479</v>
      </c>
      <c r="AJ571" s="304" t="s">
        <v>2191</v>
      </c>
      <c r="AK571" s="287" t="s">
        <v>2479</v>
      </c>
      <c r="AL571" s="304" t="s">
        <v>2190</v>
      </c>
      <c r="AM571" s="289" t="s">
        <v>1975</v>
      </c>
      <c r="AN571" s="281" t="b">
        <v>0</v>
      </c>
      <c r="AO571" s="305"/>
      <c r="AP571" s="291"/>
      <c r="AQ571" s="291"/>
      <c r="AR571" s="291"/>
      <c r="AS571" s="291"/>
      <c r="AT571" s="291"/>
      <c r="AU571" s="291"/>
      <c r="AV571" s="305"/>
      <c r="AW571" s="281"/>
      <c r="AX571" s="281"/>
      <c r="AY571" s="289" t="s">
        <v>2479</v>
      </c>
      <c r="AZ571" s="289" t="s">
        <v>2479</v>
      </c>
      <c r="BA571" s="289" t="s">
        <v>373</v>
      </c>
      <c r="BB571" s="289" t="s">
        <v>1610</v>
      </c>
      <c r="BC571" s="292" t="s">
        <v>2192</v>
      </c>
    </row>
    <row r="572" spans="1:55" ht="45" customHeight="1">
      <c r="A572" s="271">
        <f>ROW()-1</f>
        <v>571</v>
      </c>
      <c r="B572" s="276" t="s">
        <v>2749</v>
      </c>
      <c r="C572" s="277" t="s">
        <v>2846</v>
      </c>
      <c r="D572" s="277" t="s">
        <v>8</v>
      </c>
      <c r="E572" s="277" t="s">
        <v>13</v>
      </c>
      <c r="F572" s="277" t="s">
        <v>1567</v>
      </c>
      <c r="G572" s="307">
        <v>44821</v>
      </c>
      <c r="H572" s="308"/>
      <c r="I572" s="308"/>
      <c r="J572" s="277"/>
      <c r="K572" s="279"/>
      <c r="L572" s="277" t="s">
        <v>2479</v>
      </c>
      <c r="M572" s="277" t="s">
        <v>2479</v>
      </c>
      <c r="N572" s="277" t="s">
        <v>122</v>
      </c>
      <c r="O572" s="277" t="s">
        <v>2479</v>
      </c>
      <c r="P572" s="277" t="s">
        <v>1554</v>
      </c>
      <c r="Q572" s="277" t="s">
        <v>2198</v>
      </c>
      <c r="R572" s="279">
        <v>44630.559259259258</v>
      </c>
      <c r="S572" s="286">
        <v>2022</v>
      </c>
      <c r="T572" s="277" t="s">
        <v>2001</v>
      </c>
      <c r="U572" s="277" t="s">
        <v>678</v>
      </c>
      <c r="V572" s="277" t="s">
        <v>679</v>
      </c>
      <c r="W572" s="277" t="s">
        <v>145</v>
      </c>
      <c r="X572" s="277" t="s">
        <v>309</v>
      </c>
      <c r="Y572" s="278">
        <v>45078</v>
      </c>
      <c r="Z572" s="287" t="s">
        <v>1875</v>
      </c>
      <c r="AA572" s="287" t="s">
        <v>2479</v>
      </c>
      <c r="AB572" s="287" t="s">
        <v>139</v>
      </c>
      <c r="AC572" s="287" t="s">
        <v>1875</v>
      </c>
      <c r="AD572" s="287" t="s">
        <v>1805</v>
      </c>
      <c r="AE572" s="287" t="s">
        <v>1805</v>
      </c>
      <c r="AF572" s="287" t="s">
        <v>2479</v>
      </c>
      <c r="AG572" s="287" t="s">
        <v>2479</v>
      </c>
      <c r="AH572" s="287" t="s">
        <v>2479</v>
      </c>
      <c r="AI572" s="287" t="s">
        <v>2479</v>
      </c>
      <c r="AJ572" s="304" t="s">
        <v>2191</v>
      </c>
      <c r="AK572" s="287" t="s">
        <v>2479</v>
      </c>
      <c r="AL572" s="304" t="s">
        <v>2190</v>
      </c>
      <c r="AM572" s="289" t="s">
        <v>1975</v>
      </c>
      <c r="AN572" s="281" t="b">
        <v>0</v>
      </c>
      <c r="AO572" s="305"/>
      <c r="AP572" s="291"/>
      <c r="AQ572" s="291"/>
      <c r="AR572" s="291"/>
      <c r="AS572" s="291"/>
      <c r="AT572" s="291"/>
      <c r="AU572" s="291"/>
      <c r="AV572" s="305"/>
      <c r="AW572" s="281"/>
      <c r="AX572" s="281"/>
      <c r="AY572" s="289" t="s">
        <v>2479</v>
      </c>
      <c r="AZ572" s="289" t="s">
        <v>2479</v>
      </c>
      <c r="BA572" s="289" t="s">
        <v>373</v>
      </c>
      <c r="BB572" s="289" t="s">
        <v>1610</v>
      </c>
      <c r="BC572" s="292" t="s">
        <v>2192</v>
      </c>
    </row>
    <row r="573" spans="1:55" ht="45" customHeight="1">
      <c r="A573" s="271">
        <f>ROW()-1</f>
        <v>572</v>
      </c>
      <c r="B573" s="276" t="s">
        <v>2752</v>
      </c>
      <c r="C573" s="277" t="s">
        <v>2863</v>
      </c>
      <c r="D573" s="277" t="s">
        <v>8</v>
      </c>
      <c r="E573" s="277" t="s">
        <v>13</v>
      </c>
      <c r="F573" s="277" t="s">
        <v>1567</v>
      </c>
      <c r="G573" s="307">
        <v>44839</v>
      </c>
      <c r="H573" s="308"/>
      <c r="I573" s="308"/>
      <c r="J573" s="277"/>
      <c r="K573" s="279"/>
      <c r="L573" s="277" t="s">
        <v>2479</v>
      </c>
      <c r="M573" s="277" t="s">
        <v>2479</v>
      </c>
      <c r="N573" s="277" t="s">
        <v>126</v>
      </c>
      <c r="O573" s="277" t="s">
        <v>2479</v>
      </c>
      <c r="P573" s="277" t="s">
        <v>1554</v>
      </c>
      <c r="Q573" s="277" t="s">
        <v>2198</v>
      </c>
      <c r="R573" s="279">
        <v>44572.445752314816</v>
      </c>
      <c r="S573" s="286">
        <v>2022</v>
      </c>
      <c r="T573" s="277" t="s">
        <v>2001</v>
      </c>
      <c r="U573" s="277" t="s">
        <v>678</v>
      </c>
      <c r="V573" s="277" t="s">
        <v>679</v>
      </c>
      <c r="W573" s="277" t="s">
        <v>145</v>
      </c>
      <c r="X573" s="277" t="s">
        <v>309</v>
      </c>
      <c r="Y573" s="278">
        <v>45078</v>
      </c>
      <c r="Z573" s="287" t="s">
        <v>1875</v>
      </c>
      <c r="AA573" s="287" t="s">
        <v>2868</v>
      </c>
      <c r="AB573" s="287" t="s">
        <v>139</v>
      </c>
      <c r="AC573" s="287" t="s">
        <v>1875</v>
      </c>
      <c r="AD573" s="287" t="s">
        <v>1805</v>
      </c>
      <c r="AE573" s="287" t="s">
        <v>1805</v>
      </c>
      <c r="AF573" s="287" t="s">
        <v>2970</v>
      </c>
      <c r="AG573" s="287" t="s">
        <v>2479</v>
      </c>
      <c r="AH573" s="287" t="s">
        <v>2479</v>
      </c>
      <c r="AI573" s="287" t="s">
        <v>2864</v>
      </c>
      <c r="AJ573" s="304">
        <v>44873</v>
      </c>
      <c r="AK573" s="287" t="s">
        <v>2865</v>
      </c>
      <c r="AL573" s="304">
        <v>44811</v>
      </c>
      <c r="AM573" s="289" t="s">
        <v>1975</v>
      </c>
      <c r="AN573" s="281" t="b">
        <v>1</v>
      </c>
      <c r="AO573" s="305">
        <v>44834</v>
      </c>
      <c r="AP573" s="291">
        <v>1</v>
      </c>
      <c r="AQ573" s="291">
        <v>0</v>
      </c>
      <c r="AR573" s="291">
        <v>0</v>
      </c>
      <c r="AS573" s="291">
        <v>1</v>
      </c>
      <c r="AT573" s="291">
        <v>0</v>
      </c>
      <c r="AU573" s="291">
        <v>14</v>
      </c>
      <c r="AV573" s="305">
        <v>44846</v>
      </c>
      <c r="AW573" s="281">
        <v>3</v>
      </c>
      <c r="AX573" s="281">
        <v>1</v>
      </c>
      <c r="AY573" s="289" t="s">
        <v>1989</v>
      </c>
      <c r="AZ573" s="289" t="s">
        <v>2479</v>
      </c>
      <c r="BA573" s="289" t="s">
        <v>373</v>
      </c>
      <c r="BB573" s="289" t="s">
        <v>1610</v>
      </c>
      <c r="BC573" s="292" t="s">
        <v>2192</v>
      </c>
    </row>
    <row r="574" spans="1:55" ht="45" customHeight="1">
      <c r="A574" s="271">
        <f t="shared" si="8"/>
        <v>573</v>
      </c>
      <c r="B574" s="276" t="s">
        <v>2677</v>
      </c>
      <c r="C574" s="277" t="s">
        <v>2866</v>
      </c>
      <c r="D574" s="277" t="s">
        <v>8</v>
      </c>
      <c r="E574" s="277" t="s">
        <v>13</v>
      </c>
      <c r="F574" s="277" t="s">
        <v>1567</v>
      </c>
      <c r="G574" s="307">
        <v>44852</v>
      </c>
      <c r="H574" s="308"/>
      <c r="I574" s="308"/>
      <c r="J574" s="277"/>
      <c r="K574" s="279"/>
      <c r="L574" s="277" t="s">
        <v>2479</v>
      </c>
      <c r="M574" s="277" t="s">
        <v>2479</v>
      </c>
      <c r="N574" s="277" t="s">
        <v>122</v>
      </c>
      <c r="O574" s="277" t="s">
        <v>2479</v>
      </c>
      <c r="P574" s="277" t="s">
        <v>1554</v>
      </c>
      <c r="Q574" s="277" t="s">
        <v>2198</v>
      </c>
      <c r="R574" s="279" t="s">
        <v>2867</v>
      </c>
      <c r="S574" s="286">
        <v>2022</v>
      </c>
      <c r="T574" s="277" t="s">
        <v>2001</v>
      </c>
      <c r="U574" s="277" t="s">
        <v>678</v>
      </c>
      <c r="V574" s="277" t="s">
        <v>679</v>
      </c>
      <c r="W574" s="277" t="s">
        <v>145</v>
      </c>
      <c r="X574" s="277" t="s">
        <v>309</v>
      </c>
      <c r="Y574" s="278">
        <v>45078</v>
      </c>
      <c r="Z574" s="287" t="s">
        <v>1875</v>
      </c>
      <c r="AA574" s="287" t="s">
        <v>2868</v>
      </c>
      <c r="AB574" s="287" t="s">
        <v>139</v>
      </c>
      <c r="AC574" s="287" t="s">
        <v>1875</v>
      </c>
      <c r="AD574" s="287" t="s">
        <v>1805</v>
      </c>
      <c r="AE574" s="287" t="s">
        <v>1805</v>
      </c>
      <c r="AF574" s="287" t="s">
        <v>2479</v>
      </c>
      <c r="AG574" s="287" t="s">
        <v>2479</v>
      </c>
      <c r="AH574" s="287" t="s">
        <v>2479</v>
      </c>
      <c r="AI574" s="287" t="s">
        <v>2869</v>
      </c>
      <c r="AJ574" s="304" t="s">
        <v>2191</v>
      </c>
      <c r="AK574" s="287" t="s">
        <v>2870</v>
      </c>
      <c r="AL574" s="304">
        <v>44819</v>
      </c>
      <c r="AM574" s="289" t="s">
        <v>1975</v>
      </c>
      <c r="AN574" s="281" t="b">
        <v>0</v>
      </c>
      <c r="AO574" s="305"/>
      <c r="AP574" s="291"/>
      <c r="AQ574" s="291"/>
      <c r="AR574" s="291"/>
      <c r="AS574" s="291"/>
      <c r="AT574" s="291"/>
      <c r="AU574" s="291"/>
      <c r="AV574" s="305"/>
      <c r="AW574" s="281"/>
      <c r="AX574" s="281"/>
      <c r="AY574" s="289" t="s">
        <v>2479</v>
      </c>
      <c r="AZ574" s="289" t="s">
        <v>2479</v>
      </c>
      <c r="BA574" s="289" t="s">
        <v>373</v>
      </c>
      <c r="BB574" s="289" t="s">
        <v>1610</v>
      </c>
      <c r="BC574" s="292" t="s">
        <v>2192</v>
      </c>
    </row>
    <row r="575" spans="1:55" ht="45" customHeight="1">
      <c r="A575" s="271">
        <f t="shared" si="8"/>
        <v>574</v>
      </c>
      <c r="B575" s="276" t="s">
        <v>2690</v>
      </c>
      <c r="C575" s="277" t="s">
        <v>2871</v>
      </c>
      <c r="D575" s="277" t="s">
        <v>8</v>
      </c>
      <c r="E575" s="277" t="s">
        <v>13</v>
      </c>
      <c r="F575" s="277" t="s">
        <v>1567</v>
      </c>
      <c r="G575" s="307">
        <v>44852</v>
      </c>
      <c r="H575" s="308"/>
      <c r="I575" s="308"/>
      <c r="J575" s="277"/>
      <c r="K575" s="279"/>
      <c r="L575" s="277" t="s">
        <v>2479</v>
      </c>
      <c r="M575" s="277" t="s">
        <v>2479</v>
      </c>
      <c r="N575" s="277" t="s">
        <v>122</v>
      </c>
      <c r="O575" s="277" t="s">
        <v>2479</v>
      </c>
      <c r="P575" s="277" t="s">
        <v>1554</v>
      </c>
      <c r="Q575" s="277" t="s">
        <v>2198</v>
      </c>
      <c r="R575" s="279" t="s">
        <v>2872</v>
      </c>
      <c r="S575" s="286">
        <v>2022</v>
      </c>
      <c r="T575" s="277" t="s">
        <v>2001</v>
      </c>
      <c r="U575" s="277" t="s">
        <v>678</v>
      </c>
      <c r="V575" s="277" t="s">
        <v>679</v>
      </c>
      <c r="W575" s="277" t="s">
        <v>145</v>
      </c>
      <c r="X575" s="277" t="s">
        <v>309</v>
      </c>
      <c r="Y575" s="278">
        <v>45078</v>
      </c>
      <c r="Z575" s="287" t="s">
        <v>1875</v>
      </c>
      <c r="AA575" s="287" t="s">
        <v>2873</v>
      </c>
      <c r="AB575" s="287" t="s">
        <v>139</v>
      </c>
      <c r="AC575" s="287" t="s">
        <v>1875</v>
      </c>
      <c r="AD575" s="287" t="s">
        <v>1805</v>
      </c>
      <c r="AE575" s="287" t="s">
        <v>1805</v>
      </c>
      <c r="AF575" s="287" t="s">
        <v>2479</v>
      </c>
      <c r="AG575" s="287" t="s">
        <v>2479</v>
      </c>
      <c r="AH575" s="287" t="s">
        <v>2479</v>
      </c>
      <c r="AI575" s="287" t="s">
        <v>2874</v>
      </c>
      <c r="AJ575" s="304" t="s">
        <v>2191</v>
      </c>
      <c r="AK575" s="287" t="s">
        <v>2875</v>
      </c>
      <c r="AL575" s="304">
        <v>44741</v>
      </c>
      <c r="AM575" s="289" t="s">
        <v>1975</v>
      </c>
      <c r="AN575" s="281" t="b">
        <v>0</v>
      </c>
      <c r="AO575" s="305"/>
      <c r="AP575" s="291"/>
      <c r="AQ575" s="291"/>
      <c r="AR575" s="291"/>
      <c r="AS575" s="291"/>
      <c r="AT575" s="291"/>
      <c r="AU575" s="291"/>
      <c r="AV575" s="305"/>
      <c r="AW575" s="281"/>
      <c r="AX575" s="281"/>
      <c r="AY575" s="289" t="s">
        <v>2479</v>
      </c>
      <c r="AZ575" s="289" t="s">
        <v>2479</v>
      </c>
      <c r="BA575" s="289" t="s">
        <v>373</v>
      </c>
      <c r="BB575" s="289" t="s">
        <v>1610</v>
      </c>
      <c r="BC575" s="292" t="s">
        <v>2192</v>
      </c>
    </row>
    <row r="576" spans="1:55" ht="45" customHeight="1">
      <c r="A576" s="271">
        <f t="shared" si="8"/>
        <v>575</v>
      </c>
      <c r="B576" s="276" t="s">
        <v>2695</v>
      </c>
      <c r="C576" s="277" t="s">
        <v>2877</v>
      </c>
      <c r="D576" s="277" t="s">
        <v>8</v>
      </c>
      <c r="E576" s="277" t="s">
        <v>13</v>
      </c>
      <c r="F576" s="277" t="s">
        <v>1567</v>
      </c>
      <c r="G576" s="307">
        <v>44852</v>
      </c>
      <c r="H576" s="308"/>
      <c r="I576" s="308"/>
      <c r="J576" s="277"/>
      <c r="K576" s="279"/>
      <c r="L576" s="277" t="s">
        <v>2479</v>
      </c>
      <c r="M576" s="277" t="s">
        <v>2479</v>
      </c>
      <c r="N576" s="277" t="s">
        <v>122</v>
      </c>
      <c r="O576" s="277" t="s">
        <v>2479</v>
      </c>
      <c r="P576" s="277" t="s">
        <v>1554</v>
      </c>
      <c r="Q576" s="277" t="s">
        <v>2198</v>
      </c>
      <c r="R576" s="279" t="s">
        <v>2878</v>
      </c>
      <c r="S576" s="286">
        <v>2022</v>
      </c>
      <c r="T576" s="277" t="s">
        <v>2001</v>
      </c>
      <c r="U576" s="277" t="s">
        <v>678</v>
      </c>
      <c r="V576" s="277" t="s">
        <v>679</v>
      </c>
      <c r="W576" s="277" t="s">
        <v>145</v>
      </c>
      <c r="X576" s="277" t="s">
        <v>309</v>
      </c>
      <c r="Y576" s="278">
        <v>45078</v>
      </c>
      <c r="Z576" s="287" t="s">
        <v>1875</v>
      </c>
      <c r="AA576" s="287" t="s">
        <v>2876</v>
      </c>
      <c r="AB576" s="287" t="s">
        <v>139</v>
      </c>
      <c r="AC576" s="287" t="s">
        <v>1875</v>
      </c>
      <c r="AD576" s="287" t="s">
        <v>1805</v>
      </c>
      <c r="AE576" s="287" t="s">
        <v>1805</v>
      </c>
      <c r="AF576" s="287" t="s">
        <v>2479</v>
      </c>
      <c r="AG576" s="287" t="s">
        <v>2479</v>
      </c>
      <c r="AH576" s="287" t="s">
        <v>2479</v>
      </c>
      <c r="AI576" s="287" t="s">
        <v>2869</v>
      </c>
      <c r="AJ576" s="304" t="s">
        <v>2191</v>
      </c>
      <c r="AK576" s="287" t="s">
        <v>2879</v>
      </c>
      <c r="AL576" s="304">
        <v>44768</v>
      </c>
      <c r="AM576" s="289" t="s">
        <v>1975</v>
      </c>
      <c r="AN576" s="281" t="b">
        <v>0</v>
      </c>
      <c r="AO576" s="305"/>
      <c r="AP576" s="291"/>
      <c r="AQ576" s="291"/>
      <c r="AR576" s="291"/>
      <c r="AS576" s="291"/>
      <c r="AT576" s="291"/>
      <c r="AU576" s="291"/>
      <c r="AV576" s="305"/>
      <c r="AW576" s="281"/>
      <c r="AX576" s="281"/>
      <c r="AY576" s="289" t="s">
        <v>2479</v>
      </c>
      <c r="AZ576" s="289" t="s">
        <v>2479</v>
      </c>
      <c r="BA576" s="289" t="s">
        <v>373</v>
      </c>
      <c r="BB576" s="289" t="s">
        <v>1610</v>
      </c>
      <c r="BC576" s="292" t="s">
        <v>2192</v>
      </c>
    </row>
    <row r="577" spans="1:55" ht="45" customHeight="1">
      <c r="A577" s="271">
        <f t="shared" ref="A577:A582" si="9">ROW()-1</f>
        <v>576</v>
      </c>
      <c r="B577" s="276" t="s">
        <v>2636</v>
      </c>
      <c r="C577" s="277" t="s">
        <v>2880</v>
      </c>
      <c r="D577" s="277" t="s">
        <v>8</v>
      </c>
      <c r="E577" s="277" t="s">
        <v>13</v>
      </c>
      <c r="F577" s="277" t="s">
        <v>1567</v>
      </c>
      <c r="G577" s="307">
        <v>44852</v>
      </c>
      <c r="H577" s="308"/>
      <c r="I577" s="308"/>
      <c r="J577" s="277"/>
      <c r="K577" s="279"/>
      <c r="L577" s="277" t="s">
        <v>2479</v>
      </c>
      <c r="M577" s="277" t="s">
        <v>2479</v>
      </c>
      <c r="N577" s="277" t="s">
        <v>122</v>
      </c>
      <c r="O577" s="277" t="s">
        <v>2479</v>
      </c>
      <c r="P577" s="277" t="s">
        <v>1554</v>
      </c>
      <c r="Q577" s="277" t="s">
        <v>2198</v>
      </c>
      <c r="R577" s="279" t="s">
        <v>2881</v>
      </c>
      <c r="S577" s="286">
        <v>2022</v>
      </c>
      <c r="T577" s="277" t="s">
        <v>2001</v>
      </c>
      <c r="U577" s="277" t="s">
        <v>678</v>
      </c>
      <c r="V577" s="277" t="s">
        <v>679</v>
      </c>
      <c r="W577" s="277" t="s">
        <v>145</v>
      </c>
      <c r="X577" s="277" t="s">
        <v>309</v>
      </c>
      <c r="Y577" s="278">
        <v>45078</v>
      </c>
      <c r="Z577" s="287" t="s">
        <v>1875</v>
      </c>
      <c r="AA577" s="287" t="s">
        <v>2876</v>
      </c>
      <c r="AB577" s="287" t="s">
        <v>139</v>
      </c>
      <c r="AC577" s="287" t="s">
        <v>1875</v>
      </c>
      <c r="AD577" s="287" t="s">
        <v>1805</v>
      </c>
      <c r="AE577" s="287" t="s">
        <v>1805</v>
      </c>
      <c r="AF577" s="287" t="s">
        <v>2479</v>
      </c>
      <c r="AG577" s="287" t="s">
        <v>2479</v>
      </c>
      <c r="AH577" s="287" t="s">
        <v>2479</v>
      </c>
      <c r="AI577" s="287" t="s">
        <v>2869</v>
      </c>
      <c r="AJ577" s="304" t="s">
        <v>2191</v>
      </c>
      <c r="AK577" s="287" t="s">
        <v>2882</v>
      </c>
      <c r="AL577" s="304">
        <v>44768</v>
      </c>
      <c r="AM577" s="289" t="s">
        <v>1975</v>
      </c>
      <c r="AN577" s="281" t="b">
        <v>0</v>
      </c>
      <c r="AO577" s="305"/>
      <c r="AP577" s="291"/>
      <c r="AQ577" s="291"/>
      <c r="AR577" s="291"/>
      <c r="AS577" s="291"/>
      <c r="AT577" s="291"/>
      <c r="AU577" s="291"/>
      <c r="AV577" s="305"/>
      <c r="AW577" s="281"/>
      <c r="AX577" s="281"/>
      <c r="AY577" s="289" t="s">
        <v>2479</v>
      </c>
      <c r="AZ577" s="289" t="s">
        <v>2479</v>
      </c>
      <c r="BA577" s="289" t="s">
        <v>373</v>
      </c>
      <c r="BB577" s="289" t="s">
        <v>1610</v>
      </c>
      <c r="BC577" s="292" t="s">
        <v>2192</v>
      </c>
    </row>
    <row r="578" spans="1:55" ht="45" customHeight="1">
      <c r="A578" s="271">
        <f t="shared" si="9"/>
        <v>577</v>
      </c>
      <c r="B578" s="276" t="s">
        <v>2883</v>
      </c>
      <c r="C578" s="277" t="s">
        <v>2884</v>
      </c>
      <c r="D578" s="277" t="s">
        <v>8</v>
      </c>
      <c r="E578" s="277" t="s">
        <v>13</v>
      </c>
      <c r="F578" s="277" t="s">
        <v>1567</v>
      </c>
      <c r="G578" s="308">
        <v>44852</v>
      </c>
      <c r="H578" s="308"/>
      <c r="I578" s="308"/>
      <c r="J578" s="277"/>
      <c r="K578" s="279"/>
      <c r="L578" s="277" t="s">
        <v>2479</v>
      </c>
      <c r="M578" s="277" t="s">
        <v>2479</v>
      </c>
      <c r="N578" s="277" t="s">
        <v>122</v>
      </c>
      <c r="O578" s="277" t="s">
        <v>2479</v>
      </c>
      <c r="P578" s="277" t="s">
        <v>1554</v>
      </c>
      <c r="Q578" s="277" t="s">
        <v>2198</v>
      </c>
      <c r="R578" s="279" t="s">
        <v>2885</v>
      </c>
      <c r="S578" s="286">
        <v>2022</v>
      </c>
      <c r="T578" s="277" t="s">
        <v>2001</v>
      </c>
      <c r="U578" s="277" t="s">
        <v>678</v>
      </c>
      <c r="V578" s="277" t="s">
        <v>679</v>
      </c>
      <c r="W578" s="277" t="s">
        <v>145</v>
      </c>
      <c r="X578" s="277" t="s">
        <v>309</v>
      </c>
      <c r="Y578" s="278">
        <v>45078</v>
      </c>
      <c r="Z578" s="287" t="s">
        <v>1875</v>
      </c>
      <c r="AA578" s="287" t="s">
        <v>2886</v>
      </c>
      <c r="AB578" s="287" t="s">
        <v>139</v>
      </c>
      <c r="AC578" s="287" t="s">
        <v>1875</v>
      </c>
      <c r="AD578" s="287" t="s">
        <v>1805</v>
      </c>
      <c r="AE578" s="287" t="s">
        <v>1805</v>
      </c>
      <c r="AF578" s="287" t="s">
        <v>2479</v>
      </c>
      <c r="AG578" s="287" t="s">
        <v>2479</v>
      </c>
      <c r="AH578" s="287" t="s">
        <v>2479</v>
      </c>
      <c r="AI578" s="287" t="s">
        <v>2864</v>
      </c>
      <c r="AJ578" s="304" t="s">
        <v>2191</v>
      </c>
      <c r="AK578" s="287" t="s">
        <v>2887</v>
      </c>
      <c r="AL578" s="304">
        <v>44790</v>
      </c>
      <c r="AM578" s="289" t="s">
        <v>1975</v>
      </c>
      <c r="AN578" s="281" t="b">
        <v>0</v>
      </c>
      <c r="AO578" s="305"/>
      <c r="AP578" s="291"/>
      <c r="AQ578" s="291"/>
      <c r="AR578" s="291"/>
      <c r="AS578" s="291"/>
      <c r="AT578" s="291"/>
      <c r="AU578" s="291"/>
      <c r="AV578" s="305"/>
      <c r="AW578" s="281"/>
      <c r="AX578" s="281"/>
      <c r="AY578" s="289" t="s">
        <v>2479</v>
      </c>
      <c r="AZ578" s="289" t="s">
        <v>2479</v>
      </c>
      <c r="BA578" s="289" t="s">
        <v>373</v>
      </c>
      <c r="BB578" s="289" t="s">
        <v>1610</v>
      </c>
      <c r="BC578" s="292" t="s">
        <v>2192</v>
      </c>
    </row>
    <row r="579" spans="1:55" ht="45" customHeight="1">
      <c r="A579" s="271">
        <f>ROW()-1</f>
        <v>578</v>
      </c>
      <c r="B579" s="276" t="s">
        <v>2759</v>
      </c>
      <c r="C579" s="277" t="s">
        <v>2888</v>
      </c>
      <c r="D579" s="277" t="s">
        <v>8</v>
      </c>
      <c r="E579" s="277" t="s">
        <v>13</v>
      </c>
      <c r="F579" s="277" t="s">
        <v>1567</v>
      </c>
      <c r="G579" s="308">
        <v>44852</v>
      </c>
      <c r="H579" s="308"/>
      <c r="I579" s="308"/>
      <c r="J579" s="277"/>
      <c r="K579" s="279"/>
      <c r="L579" s="277" t="s">
        <v>2479</v>
      </c>
      <c r="M579" s="277" t="s">
        <v>2479</v>
      </c>
      <c r="N579" s="277" t="s">
        <v>122</v>
      </c>
      <c r="O579" s="277" t="s">
        <v>2479</v>
      </c>
      <c r="P579" s="277" t="s">
        <v>1554</v>
      </c>
      <c r="Q579" s="277" t="s">
        <v>2198</v>
      </c>
      <c r="R579" s="279" t="s">
        <v>2889</v>
      </c>
      <c r="S579" s="286">
        <v>2022</v>
      </c>
      <c r="T579" s="277" t="s">
        <v>2001</v>
      </c>
      <c r="U579" s="277" t="s">
        <v>678</v>
      </c>
      <c r="V579" s="277" t="s">
        <v>679</v>
      </c>
      <c r="W579" s="277" t="s">
        <v>145</v>
      </c>
      <c r="X579" s="277" t="s">
        <v>309</v>
      </c>
      <c r="Y579" s="278">
        <v>45078</v>
      </c>
      <c r="Z579" s="287" t="s">
        <v>1875</v>
      </c>
      <c r="AA579" s="287" t="s">
        <v>2873</v>
      </c>
      <c r="AB579" s="287" t="s">
        <v>139</v>
      </c>
      <c r="AC579" s="287" t="s">
        <v>1875</v>
      </c>
      <c r="AD579" s="287" t="s">
        <v>1805</v>
      </c>
      <c r="AE579" s="287" t="s">
        <v>1805</v>
      </c>
      <c r="AF579" s="287" t="s">
        <v>2479</v>
      </c>
      <c r="AG579" s="287" t="s">
        <v>2479</v>
      </c>
      <c r="AH579" s="287" t="s">
        <v>2479</v>
      </c>
      <c r="AI579" s="287" t="s">
        <v>2864</v>
      </c>
      <c r="AJ579" s="304" t="s">
        <v>2191</v>
      </c>
      <c r="AK579" s="287" t="s">
        <v>2890</v>
      </c>
      <c r="AL579" s="304">
        <v>44711</v>
      </c>
      <c r="AM579" s="289" t="s">
        <v>1975</v>
      </c>
      <c r="AN579" s="281" t="b">
        <v>0</v>
      </c>
      <c r="AO579" s="305"/>
      <c r="AP579" s="291"/>
      <c r="AQ579" s="291"/>
      <c r="AR579" s="291"/>
      <c r="AS579" s="291"/>
      <c r="AT579" s="291"/>
      <c r="AU579" s="291"/>
      <c r="AV579" s="305"/>
      <c r="AW579" s="281"/>
      <c r="AX579" s="281"/>
      <c r="AY579" s="289" t="s">
        <v>2479</v>
      </c>
      <c r="AZ579" s="289" t="s">
        <v>2479</v>
      </c>
      <c r="BA579" s="289" t="s">
        <v>373</v>
      </c>
      <c r="BB579" s="289" t="s">
        <v>1610</v>
      </c>
      <c r="BC579" s="292" t="s">
        <v>2192</v>
      </c>
    </row>
    <row r="580" spans="1:55" ht="45" customHeight="1">
      <c r="A580" s="271">
        <f t="shared" si="9"/>
        <v>579</v>
      </c>
      <c r="B580" s="276" t="s">
        <v>3084</v>
      </c>
      <c r="C580" s="277" t="s">
        <v>3085</v>
      </c>
      <c r="D580" s="277" t="s">
        <v>8</v>
      </c>
      <c r="E580" s="277" t="s">
        <v>13</v>
      </c>
      <c r="F580" s="277" t="s">
        <v>1567</v>
      </c>
      <c r="G580" s="307">
        <v>44883</v>
      </c>
      <c r="H580" s="308"/>
      <c r="I580" s="308"/>
      <c r="J580" s="277"/>
      <c r="K580" s="279"/>
      <c r="L580" s="277" t="s">
        <v>2479</v>
      </c>
      <c r="M580" s="277" t="s">
        <v>2479</v>
      </c>
      <c r="N580" s="277" t="s">
        <v>122</v>
      </c>
      <c r="O580" s="277" t="s">
        <v>2479</v>
      </c>
      <c r="P580" s="277" t="s">
        <v>1554</v>
      </c>
      <c r="Q580" s="277" t="s">
        <v>2198</v>
      </c>
      <c r="R580" s="279" t="s">
        <v>3086</v>
      </c>
      <c r="S580" s="286">
        <v>2022</v>
      </c>
      <c r="T580" s="277" t="s">
        <v>2001</v>
      </c>
      <c r="U580" s="277" t="s">
        <v>678</v>
      </c>
      <c r="V580" s="277" t="s">
        <v>679</v>
      </c>
      <c r="W580" s="277" t="s">
        <v>145</v>
      </c>
      <c r="X580" s="277" t="s">
        <v>309</v>
      </c>
      <c r="Y580" s="278">
        <v>45078</v>
      </c>
      <c r="Z580" s="287" t="s">
        <v>1875</v>
      </c>
      <c r="AA580" s="287" t="s">
        <v>2479</v>
      </c>
      <c r="AB580" s="287" t="s">
        <v>139</v>
      </c>
      <c r="AC580" s="287" t="s">
        <v>1875</v>
      </c>
      <c r="AD580" s="287" t="s">
        <v>1805</v>
      </c>
      <c r="AE580" s="287" t="s">
        <v>1805</v>
      </c>
      <c r="AF580" s="287" t="s">
        <v>2479</v>
      </c>
      <c r="AG580" s="287" t="s">
        <v>2479</v>
      </c>
      <c r="AH580" s="287" t="s">
        <v>2479</v>
      </c>
      <c r="AI580" s="287" t="s">
        <v>2479</v>
      </c>
      <c r="AJ580" s="304" t="s">
        <v>2191</v>
      </c>
      <c r="AK580" s="287" t="s">
        <v>2479</v>
      </c>
      <c r="AL580" s="304" t="s">
        <v>2190</v>
      </c>
      <c r="AM580" s="289" t="s">
        <v>1975</v>
      </c>
      <c r="AN580" s="281" t="b">
        <v>0</v>
      </c>
      <c r="AO580" s="305"/>
      <c r="AP580" s="291"/>
      <c r="AQ580" s="291"/>
      <c r="AR580" s="291"/>
      <c r="AS580" s="291"/>
      <c r="AT580" s="291"/>
      <c r="AU580" s="291"/>
      <c r="AV580" s="305"/>
      <c r="AW580" s="281"/>
      <c r="AX580" s="281"/>
      <c r="AY580" s="289" t="s">
        <v>2479</v>
      </c>
      <c r="AZ580" s="289" t="s">
        <v>2479</v>
      </c>
      <c r="BA580" s="289" t="s">
        <v>373</v>
      </c>
      <c r="BB580" s="289" t="s">
        <v>1610</v>
      </c>
      <c r="BC580" s="292" t="s">
        <v>2192</v>
      </c>
    </row>
    <row r="581" spans="1:55" ht="45" customHeight="1">
      <c r="A581" s="271">
        <f t="shared" si="9"/>
        <v>580</v>
      </c>
      <c r="B581" s="276" t="s">
        <v>2706</v>
      </c>
      <c r="C581" s="277" t="s">
        <v>3087</v>
      </c>
      <c r="D581" s="277" t="s">
        <v>8</v>
      </c>
      <c r="E581" s="277" t="s">
        <v>13</v>
      </c>
      <c r="F581" s="277" t="s">
        <v>1567</v>
      </c>
      <c r="G581" s="307">
        <v>44883</v>
      </c>
      <c r="H581" s="308"/>
      <c r="I581" s="308"/>
      <c r="J581" s="277"/>
      <c r="K581" s="279"/>
      <c r="L581" s="277" t="s">
        <v>2479</v>
      </c>
      <c r="M581" s="277" t="s">
        <v>2479</v>
      </c>
      <c r="N581" s="277" t="s">
        <v>122</v>
      </c>
      <c r="O581" s="277" t="s">
        <v>2479</v>
      </c>
      <c r="P581" s="277" t="s">
        <v>1554</v>
      </c>
      <c r="Q581" s="277" t="s">
        <v>2198</v>
      </c>
      <c r="R581" s="279" t="s">
        <v>3088</v>
      </c>
      <c r="S581" s="286">
        <v>2022</v>
      </c>
      <c r="T581" s="277" t="s">
        <v>2001</v>
      </c>
      <c r="U581" s="277" t="s">
        <v>678</v>
      </c>
      <c r="V581" s="277" t="s">
        <v>679</v>
      </c>
      <c r="W581" s="277" t="s">
        <v>145</v>
      </c>
      <c r="X581" s="277" t="s">
        <v>309</v>
      </c>
      <c r="Y581" s="278">
        <v>45078</v>
      </c>
      <c r="Z581" s="287" t="s">
        <v>1875</v>
      </c>
      <c r="AA581" s="287" t="s">
        <v>2479</v>
      </c>
      <c r="AB581" s="287" t="s">
        <v>139</v>
      </c>
      <c r="AC581" s="287" t="s">
        <v>1875</v>
      </c>
      <c r="AD581" s="287" t="s">
        <v>1805</v>
      </c>
      <c r="AE581" s="287" t="s">
        <v>1805</v>
      </c>
      <c r="AF581" s="287" t="s">
        <v>2479</v>
      </c>
      <c r="AG581" s="287" t="s">
        <v>2479</v>
      </c>
      <c r="AH581" s="287" t="s">
        <v>2479</v>
      </c>
      <c r="AI581" s="287" t="s">
        <v>2479</v>
      </c>
      <c r="AJ581" s="304" t="s">
        <v>2191</v>
      </c>
      <c r="AK581" s="287" t="s">
        <v>2479</v>
      </c>
      <c r="AL581" s="304" t="s">
        <v>2190</v>
      </c>
      <c r="AM581" s="289" t="s">
        <v>1975</v>
      </c>
      <c r="AN581" s="281" t="b">
        <v>0</v>
      </c>
      <c r="AO581" s="305"/>
      <c r="AP581" s="291"/>
      <c r="AQ581" s="291"/>
      <c r="AR581" s="291"/>
      <c r="AS581" s="291"/>
      <c r="AT581" s="291"/>
      <c r="AU581" s="291"/>
      <c r="AV581" s="305"/>
      <c r="AW581" s="281"/>
      <c r="AX581" s="281"/>
      <c r="AY581" s="289" t="s">
        <v>2479</v>
      </c>
      <c r="AZ581" s="289" t="s">
        <v>2479</v>
      </c>
      <c r="BA581" s="289" t="s">
        <v>373</v>
      </c>
      <c r="BB581" s="289" t="s">
        <v>1610</v>
      </c>
      <c r="BC581" s="292" t="s">
        <v>2192</v>
      </c>
    </row>
    <row r="582" spans="1:55" ht="45" customHeight="1">
      <c r="A582" s="271">
        <f t="shared" si="9"/>
        <v>581</v>
      </c>
      <c r="B582" s="276" t="s">
        <v>3089</v>
      </c>
      <c r="C582" s="277" t="s">
        <v>3090</v>
      </c>
      <c r="D582" s="277" t="s">
        <v>8</v>
      </c>
      <c r="E582" s="277" t="s">
        <v>13</v>
      </c>
      <c r="F582" s="277" t="s">
        <v>1567</v>
      </c>
      <c r="G582" s="308">
        <v>44889</v>
      </c>
      <c r="H582" s="308"/>
      <c r="I582" s="308"/>
      <c r="J582" s="277"/>
      <c r="K582" s="279"/>
      <c r="L582" s="277" t="s">
        <v>2479</v>
      </c>
      <c r="M582" s="277" t="s">
        <v>2479</v>
      </c>
      <c r="N582" s="277" t="s">
        <v>122</v>
      </c>
      <c r="O582" s="277" t="s">
        <v>2479</v>
      </c>
      <c r="P582" s="277" t="s">
        <v>1554</v>
      </c>
      <c r="Q582" s="277" t="s">
        <v>2198</v>
      </c>
      <c r="R582" s="279" t="s">
        <v>3091</v>
      </c>
      <c r="S582" s="286">
        <v>2022</v>
      </c>
      <c r="T582" s="277" t="s">
        <v>2001</v>
      </c>
      <c r="U582" s="277" t="s">
        <v>678</v>
      </c>
      <c r="V582" s="277" t="s">
        <v>679</v>
      </c>
      <c r="W582" s="277" t="s">
        <v>145</v>
      </c>
      <c r="X582" s="277" t="s">
        <v>309</v>
      </c>
      <c r="Y582" s="278">
        <v>45078</v>
      </c>
      <c r="Z582" s="287" t="s">
        <v>1875</v>
      </c>
      <c r="AA582" s="287" t="s">
        <v>2479</v>
      </c>
      <c r="AB582" s="287" t="s">
        <v>139</v>
      </c>
      <c r="AC582" s="287" t="s">
        <v>1875</v>
      </c>
      <c r="AD582" s="287" t="s">
        <v>1805</v>
      </c>
      <c r="AE582" s="287" t="s">
        <v>1805</v>
      </c>
      <c r="AF582" s="287" t="s">
        <v>2479</v>
      </c>
      <c r="AG582" s="287" t="s">
        <v>2479</v>
      </c>
      <c r="AH582" s="287" t="s">
        <v>2479</v>
      </c>
      <c r="AI582" s="287" t="s">
        <v>2479</v>
      </c>
      <c r="AJ582" s="304" t="s">
        <v>2191</v>
      </c>
      <c r="AK582" s="287" t="s">
        <v>2479</v>
      </c>
      <c r="AL582" s="304" t="s">
        <v>2190</v>
      </c>
      <c r="AM582" s="289" t="s">
        <v>1975</v>
      </c>
      <c r="AN582" s="281" t="b">
        <v>0</v>
      </c>
      <c r="AO582" s="305"/>
      <c r="AP582" s="291"/>
      <c r="AQ582" s="291"/>
      <c r="AR582" s="291"/>
      <c r="AS582" s="291"/>
      <c r="AT582" s="291"/>
      <c r="AU582" s="291"/>
      <c r="AV582" s="305"/>
      <c r="AW582" s="281"/>
      <c r="AX582" s="281"/>
      <c r="AY582" s="289" t="s">
        <v>2479</v>
      </c>
      <c r="AZ582" s="289" t="s">
        <v>2479</v>
      </c>
      <c r="BA582" s="289" t="s">
        <v>373</v>
      </c>
      <c r="BB582" s="289" t="s">
        <v>1610</v>
      </c>
      <c r="BC582" s="292" t="s">
        <v>2192</v>
      </c>
    </row>
    <row r="583" spans="1:55" ht="45" customHeight="1">
      <c r="A583" s="269">
        <f t="shared" ref="A583:A614" si="10">ROW()-1</f>
        <v>582</v>
      </c>
      <c r="B583" s="276" t="s">
        <v>3092</v>
      </c>
      <c r="C583" s="277" t="s">
        <v>3093</v>
      </c>
      <c r="D583" s="277" t="s">
        <v>8</v>
      </c>
      <c r="E583" s="277" t="s">
        <v>13</v>
      </c>
      <c r="F583" s="277" t="s">
        <v>1567</v>
      </c>
      <c r="G583" s="308">
        <v>44889</v>
      </c>
      <c r="H583" s="308"/>
      <c r="I583" s="308"/>
      <c r="J583" s="277"/>
      <c r="K583" s="279"/>
      <c r="L583" s="277" t="s">
        <v>2479</v>
      </c>
      <c r="M583" s="277" t="s">
        <v>2479</v>
      </c>
      <c r="N583" s="277" t="s">
        <v>122</v>
      </c>
      <c r="O583" s="277" t="s">
        <v>2479</v>
      </c>
      <c r="P583" s="277" t="s">
        <v>1554</v>
      </c>
      <c r="Q583" s="277" t="s">
        <v>2198</v>
      </c>
      <c r="R583" s="279" t="s">
        <v>3094</v>
      </c>
      <c r="S583" s="286">
        <v>2022</v>
      </c>
      <c r="T583" s="277" t="s">
        <v>2001</v>
      </c>
      <c r="U583" s="277" t="s">
        <v>678</v>
      </c>
      <c r="V583" s="277" t="s">
        <v>679</v>
      </c>
      <c r="W583" s="277" t="s">
        <v>145</v>
      </c>
      <c r="X583" s="277" t="s">
        <v>309</v>
      </c>
      <c r="Y583" s="278">
        <v>45078</v>
      </c>
      <c r="Z583" s="287" t="s">
        <v>1875</v>
      </c>
      <c r="AA583" s="287" t="s">
        <v>2479</v>
      </c>
      <c r="AB583" s="287" t="s">
        <v>139</v>
      </c>
      <c r="AC583" s="287" t="s">
        <v>1875</v>
      </c>
      <c r="AD583" s="287" t="s">
        <v>1805</v>
      </c>
      <c r="AE583" s="287" t="s">
        <v>1805</v>
      </c>
      <c r="AF583" s="287" t="s">
        <v>2479</v>
      </c>
      <c r="AG583" s="287" t="s">
        <v>2479</v>
      </c>
      <c r="AH583" s="287" t="s">
        <v>2479</v>
      </c>
      <c r="AI583" s="287" t="s">
        <v>2479</v>
      </c>
      <c r="AJ583" s="304" t="s">
        <v>2191</v>
      </c>
      <c r="AK583" s="287" t="s">
        <v>2479</v>
      </c>
      <c r="AL583" s="304" t="s">
        <v>2190</v>
      </c>
      <c r="AM583" s="289" t="s">
        <v>1975</v>
      </c>
      <c r="AN583" s="281" t="b">
        <v>0</v>
      </c>
      <c r="AO583" s="305"/>
      <c r="AP583" s="291"/>
      <c r="AQ583" s="291"/>
      <c r="AR583" s="291"/>
      <c r="AS583" s="291"/>
      <c r="AT583" s="291"/>
      <c r="AU583" s="291"/>
      <c r="AV583" s="305"/>
      <c r="AW583" s="281"/>
      <c r="AX583" s="281"/>
      <c r="AY583" s="289" t="s">
        <v>2479</v>
      </c>
      <c r="AZ583" s="289" t="s">
        <v>2479</v>
      </c>
      <c r="BA583" s="289" t="s">
        <v>373</v>
      </c>
      <c r="BB583" s="289" t="s">
        <v>1610</v>
      </c>
      <c r="BC583" s="292" t="s">
        <v>2192</v>
      </c>
    </row>
    <row r="584" spans="1:55" ht="45" customHeight="1">
      <c r="A584" s="269">
        <f t="shared" si="10"/>
        <v>583</v>
      </c>
      <c r="B584" s="276" t="s">
        <v>3096</v>
      </c>
      <c r="C584" s="277" t="s">
        <v>3097</v>
      </c>
      <c r="D584" s="277" t="s">
        <v>8</v>
      </c>
      <c r="E584" s="277" t="s">
        <v>13</v>
      </c>
      <c r="F584" s="277" t="s">
        <v>1567</v>
      </c>
      <c r="G584" s="308">
        <v>44889</v>
      </c>
      <c r="H584" s="308"/>
      <c r="I584" s="308"/>
      <c r="J584" s="277"/>
      <c r="K584" s="279"/>
      <c r="L584" s="277" t="s">
        <v>2479</v>
      </c>
      <c r="M584" s="277" t="s">
        <v>2479</v>
      </c>
      <c r="N584" s="277" t="s">
        <v>122</v>
      </c>
      <c r="O584" s="277" t="s">
        <v>2479</v>
      </c>
      <c r="P584" s="277" t="s">
        <v>1554</v>
      </c>
      <c r="Q584" s="277" t="s">
        <v>2198</v>
      </c>
      <c r="R584" s="279" t="s">
        <v>3098</v>
      </c>
      <c r="S584" s="286">
        <v>2022</v>
      </c>
      <c r="T584" s="277" t="s">
        <v>2001</v>
      </c>
      <c r="U584" s="277" t="s">
        <v>678</v>
      </c>
      <c r="V584" s="277" t="s">
        <v>679</v>
      </c>
      <c r="W584" s="277" t="s">
        <v>145</v>
      </c>
      <c r="X584" s="277" t="s">
        <v>309</v>
      </c>
      <c r="Y584" s="278">
        <v>45078</v>
      </c>
      <c r="Z584" s="287" t="s">
        <v>1875</v>
      </c>
      <c r="AA584" s="287" t="s">
        <v>2479</v>
      </c>
      <c r="AB584" s="287" t="s">
        <v>139</v>
      </c>
      <c r="AC584" s="287" t="s">
        <v>1875</v>
      </c>
      <c r="AD584" s="287" t="s">
        <v>1805</v>
      </c>
      <c r="AE584" s="287" t="s">
        <v>1805</v>
      </c>
      <c r="AF584" s="287" t="s">
        <v>2479</v>
      </c>
      <c r="AG584" s="287" t="s">
        <v>2479</v>
      </c>
      <c r="AH584" s="287" t="s">
        <v>2479</v>
      </c>
      <c r="AI584" s="287" t="s">
        <v>2479</v>
      </c>
      <c r="AJ584" s="304" t="s">
        <v>2191</v>
      </c>
      <c r="AK584" s="287" t="s">
        <v>2479</v>
      </c>
      <c r="AL584" s="304" t="s">
        <v>2190</v>
      </c>
      <c r="AM584" s="289" t="s">
        <v>1975</v>
      </c>
      <c r="AN584" s="281" t="b">
        <v>0</v>
      </c>
      <c r="AO584" s="305"/>
      <c r="AP584" s="291"/>
      <c r="AQ584" s="291"/>
      <c r="AR584" s="291"/>
      <c r="AS584" s="291"/>
      <c r="AT584" s="291"/>
      <c r="AU584" s="291"/>
      <c r="AV584" s="305"/>
      <c r="AW584" s="281"/>
      <c r="AX584" s="281"/>
      <c r="AY584" s="289" t="s">
        <v>2479</v>
      </c>
      <c r="AZ584" s="289" t="s">
        <v>2479</v>
      </c>
      <c r="BA584" s="289" t="s">
        <v>373</v>
      </c>
      <c r="BB584" s="289" t="s">
        <v>1610</v>
      </c>
      <c r="BC584" s="292" t="s">
        <v>2192</v>
      </c>
    </row>
    <row r="585" spans="1:55" ht="45" customHeight="1">
      <c r="A585" s="269">
        <f t="shared" si="10"/>
        <v>584</v>
      </c>
      <c r="B585" s="276" t="s">
        <v>3099</v>
      </c>
      <c r="C585" s="277" t="s">
        <v>3100</v>
      </c>
      <c r="D585" s="277" t="s">
        <v>8</v>
      </c>
      <c r="E585" s="277" t="s">
        <v>13</v>
      </c>
      <c r="F585" s="277" t="s">
        <v>1567</v>
      </c>
      <c r="G585" s="308">
        <v>44889</v>
      </c>
      <c r="H585" s="308"/>
      <c r="I585" s="308"/>
      <c r="J585" s="277"/>
      <c r="K585" s="279"/>
      <c r="L585" s="277" t="s">
        <v>2479</v>
      </c>
      <c r="M585" s="277" t="s">
        <v>2479</v>
      </c>
      <c r="N585" s="277" t="s">
        <v>122</v>
      </c>
      <c r="O585" s="277" t="s">
        <v>2479</v>
      </c>
      <c r="P585" s="277" t="s">
        <v>1554</v>
      </c>
      <c r="Q585" s="277" t="s">
        <v>2198</v>
      </c>
      <c r="R585" s="279" t="s">
        <v>3101</v>
      </c>
      <c r="S585" s="286">
        <v>2022</v>
      </c>
      <c r="T585" s="277" t="s">
        <v>2001</v>
      </c>
      <c r="U585" s="277" t="s">
        <v>678</v>
      </c>
      <c r="V585" s="277" t="s">
        <v>679</v>
      </c>
      <c r="W585" s="277" t="s">
        <v>145</v>
      </c>
      <c r="X585" s="277" t="s">
        <v>309</v>
      </c>
      <c r="Y585" s="278">
        <v>45078</v>
      </c>
      <c r="Z585" s="287" t="s">
        <v>1875</v>
      </c>
      <c r="AA585" s="287" t="s">
        <v>2479</v>
      </c>
      <c r="AB585" s="287" t="s">
        <v>139</v>
      </c>
      <c r="AC585" s="287" t="s">
        <v>1875</v>
      </c>
      <c r="AD585" s="287" t="s">
        <v>1805</v>
      </c>
      <c r="AE585" s="287" t="s">
        <v>1805</v>
      </c>
      <c r="AF585" s="287" t="s">
        <v>2479</v>
      </c>
      <c r="AG585" s="287" t="s">
        <v>2479</v>
      </c>
      <c r="AH585" s="287" t="s">
        <v>2479</v>
      </c>
      <c r="AI585" s="287" t="s">
        <v>2479</v>
      </c>
      <c r="AJ585" s="304" t="s">
        <v>2191</v>
      </c>
      <c r="AK585" s="287" t="s">
        <v>2479</v>
      </c>
      <c r="AL585" s="304" t="s">
        <v>2190</v>
      </c>
      <c r="AM585" s="289" t="s">
        <v>1975</v>
      </c>
      <c r="AN585" s="281" t="b">
        <v>0</v>
      </c>
      <c r="AO585" s="305"/>
      <c r="AP585" s="291"/>
      <c r="AQ585" s="291"/>
      <c r="AR585" s="291"/>
      <c r="AS585" s="291"/>
      <c r="AT585" s="291"/>
      <c r="AU585" s="291"/>
      <c r="AV585" s="305"/>
      <c r="AW585" s="281"/>
      <c r="AX585" s="281"/>
      <c r="AY585" s="289" t="s">
        <v>2479</v>
      </c>
      <c r="AZ585" s="289" t="s">
        <v>2479</v>
      </c>
      <c r="BA585" s="289" t="s">
        <v>373</v>
      </c>
      <c r="BB585" s="289" t="s">
        <v>1610</v>
      </c>
      <c r="BC585" s="292" t="s">
        <v>2192</v>
      </c>
    </row>
    <row r="586" spans="1:55" ht="45" customHeight="1">
      <c r="A586" s="269">
        <f t="shared" si="10"/>
        <v>585</v>
      </c>
      <c r="B586" s="276" t="s">
        <v>2707</v>
      </c>
      <c r="C586" s="277" t="s">
        <v>3102</v>
      </c>
      <c r="D586" s="277" t="s">
        <v>8</v>
      </c>
      <c r="E586" s="277" t="s">
        <v>13</v>
      </c>
      <c r="F586" s="277" t="s">
        <v>1567</v>
      </c>
      <c r="G586" s="307">
        <v>44889</v>
      </c>
      <c r="H586" s="308"/>
      <c r="I586" s="308"/>
      <c r="J586" s="277"/>
      <c r="K586" s="279"/>
      <c r="L586" s="277" t="s">
        <v>2479</v>
      </c>
      <c r="M586" s="277" t="s">
        <v>2479</v>
      </c>
      <c r="N586" s="277" t="s">
        <v>122</v>
      </c>
      <c r="O586" s="277" t="s">
        <v>2479</v>
      </c>
      <c r="P586" s="277" t="s">
        <v>1554</v>
      </c>
      <c r="Q586" s="277" t="s">
        <v>2198</v>
      </c>
      <c r="R586" s="279" t="s">
        <v>3103</v>
      </c>
      <c r="S586" s="286">
        <v>2022</v>
      </c>
      <c r="T586" s="277" t="s">
        <v>2001</v>
      </c>
      <c r="U586" s="277" t="s">
        <v>678</v>
      </c>
      <c r="V586" s="277" t="s">
        <v>679</v>
      </c>
      <c r="W586" s="277" t="s">
        <v>145</v>
      </c>
      <c r="X586" s="277" t="s">
        <v>309</v>
      </c>
      <c r="Y586" s="278">
        <v>45078</v>
      </c>
      <c r="Z586" s="287" t="s">
        <v>1875</v>
      </c>
      <c r="AA586" s="287" t="s">
        <v>2479</v>
      </c>
      <c r="AB586" s="287" t="s">
        <v>139</v>
      </c>
      <c r="AC586" s="287" t="s">
        <v>1875</v>
      </c>
      <c r="AD586" s="287" t="s">
        <v>1805</v>
      </c>
      <c r="AE586" s="287" t="s">
        <v>1805</v>
      </c>
      <c r="AF586" s="287" t="s">
        <v>2479</v>
      </c>
      <c r="AG586" s="287" t="s">
        <v>2479</v>
      </c>
      <c r="AH586" s="287" t="s">
        <v>2479</v>
      </c>
      <c r="AI586" s="287" t="s">
        <v>2479</v>
      </c>
      <c r="AJ586" s="304" t="s">
        <v>2191</v>
      </c>
      <c r="AK586" s="287" t="s">
        <v>2479</v>
      </c>
      <c r="AL586" s="304" t="s">
        <v>2190</v>
      </c>
      <c r="AM586" s="289" t="s">
        <v>1975</v>
      </c>
      <c r="AN586" s="281" t="b">
        <v>0</v>
      </c>
      <c r="AO586" s="305"/>
      <c r="AP586" s="291"/>
      <c r="AQ586" s="291"/>
      <c r="AR586" s="291"/>
      <c r="AS586" s="291"/>
      <c r="AT586" s="291"/>
      <c r="AU586" s="291"/>
      <c r="AV586" s="305"/>
      <c r="AW586" s="281"/>
      <c r="AX586" s="281"/>
      <c r="AY586" s="289" t="s">
        <v>2479</v>
      </c>
      <c r="AZ586" s="289" t="s">
        <v>2479</v>
      </c>
      <c r="BA586" s="289" t="s">
        <v>373</v>
      </c>
      <c r="BB586" s="289" t="s">
        <v>1610</v>
      </c>
      <c r="BC586" s="292" t="s">
        <v>2192</v>
      </c>
    </row>
    <row r="587" spans="1:55" ht="45" customHeight="1">
      <c r="A587" s="269">
        <f t="shared" si="10"/>
        <v>586</v>
      </c>
      <c r="B587" s="276" t="s">
        <v>2709</v>
      </c>
      <c r="C587" s="277" t="s">
        <v>3104</v>
      </c>
      <c r="D587" s="277" t="s">
        <v>8</v>
      </c>
      <c r="E587" s="277" t="s">
        <v>13</v>
      </c>
      <c r="F587" s="277" t="s">
        <v>1567</v>
      </c>
      <c r="G587" s="307">
        <v>44889</v>
      </c>
      <c r="H587" s="308"/>
      <c r="I587" s="308"/>
      <c r="J587" s="277"/>
      <c r="K587" s="279"/>
      <c r="L587" s="277" t="s">
        <v>2479</v>
      </c>
      <c r="M587" s="277" t="s">
        <v>2479</v>
      </c>
      <c r="N587" s="277" t="s">
        <v>122</v>
      </c>
      <c r="O587" s="277" t="s">
        <v>2479</v>
      </c>
      <c r="P587" s="277" t="s">
        <v>1554</v>
      </c>
      <c r="Q587" s="277" t="s">
        <v>2198</v>
      </c>
      <c r="R587" s="279" t="s">
        <v>3105</v>
      </c>
      <c r="S587" s="286">
        <v>2022</v>
      </c>
      <c r="T587" s="277" t="s">
        <v>2001</v>
      </c>
      <c r="U587" s="277" t="s">
        <v>678</v>
      </c>
      <c r="V587" s="277" t="s">
        <v>679</v>
      </c>
      <c r="W587" s="277" t="s">
        <v>145</v>
      </c>
      <c r="X587" s="277" t="s">
        <v>309</v>
      </c>
      <c r="Y587" s="278">
        <v>45078</v>
      </c>
      <c r="Z587" s="287" t="s">
        <v>1875</v>
      </c>
      <c r="AA587" s="287" t="s">
        <v>2479</v>
      </c>
      <c r="AB587" s="287" t="s">
        <v>139</v>
      </c>
      <c r="AC587" s="287" t="s">
        <v>1875</v>
      </c>
      <c r="AD587" s="287" t="s">
        <v>1805</v>
      </c>
      <c r="AE587" s="287" t="s">
        <v>1805</v>
      </c>
      <c r="AF587" s="287" t="s">
        <v>2479</v>
      </c>
      <c r="AG587" s="287" t="s">
        <v>2479</v>
      </c>
      <c r="AH587" s="287" t="s">
        <v>2479</v>
      </c>
      <c r="AI587" s="287" t="s">
        <v>2479</v>
      </c>
      <c r="AJ587" s="304" t="s">
        <v>2191</v>
      </c>
      <c r="AK587" s="287" t="s">
        <v>2479</v>
      </c>
      <c r="AL587" s="304" t="s">
        <v>2190</v>
      </c>
      <c r="AM587" s="289" t="s">
        <v>1975</v>
      </c>
      <c r="AN587" s="281" t="b">
        <v>0</v>
      </c>
      <c r="AO587" s="305"/>
      <c r="AP587" s="291"/>
      <c r="AQ587" s="291"/>
      <c r="AR587" s="291"/>
      <c r="AS587" s="291"/>
      <c r="AT587" s="291"/>
      <c r="AU587" s="291"/>
      <c r="AV587" s="305"/>
      <c r="AW587" s="281"/>
      <c r="AX587" s="281"/>
      <c r="AY587" s="289" t="s">
        <v>2479</v>
      </c>
      <c r="AZ587" s="289" t="s">
        <v>2479</v>
      </c>
      <c r="BA587" s="289" t="s">
        <v>373</v>
      </c>
      <c r="BB587" s="289" t="s">
        <v>1610</v>
      </c>
      <c r="BC587" s="292" t="s">
        <v>2192</v>
      </c>
    </row>
    <row r="588" spans="1:55" ht="45" customHeight="1">
      <c r="A588" s="269">
        <f t="shared" si="10"/>
        <v>587</v>
      </c>
      <c r="B588" s="276" t="s">
        <v>2963</v>
      </c>
      <c r="C588" s="277" t="s">
        <v>3106</v>
      </c>
      <c r="D588" s="277" t="s">
        <v>8</v>
      </c>
      <c r="E588" s="277" t="s">
        <v>13</v>
      </c>
      <c r="F588" s="277" t="s">
        <v>1567</v>
      </c>
      <c r="G588" s="307">
        <v>44889</v>
      </c>
      <c r="H588" s="308"/>
      <c r="I588" s="308"/>
      <c r="J588" s="277"/>
      <c r="K588" s="279"/>
      <c r="L588" s="277" t="s">
        <v>2479</v>
      </c>
      <c r="M588" s="277" t="s">
        <v>2479</v>
      </c>
      <c r="N588" s="277" t="s">
        <v>122</v>
      </c>
      <c r="O588" s="277" t="s">
        <v>2479</v>
      </c>
      <c r="P588" s="277" t="s">
        <v>1554</v>
      </c>
      <c r="Q588" s="277" t="s">
        <v>2198</v>
      </c>
      <c r="R588" s="279" t="s">
        <v>3107</v>
      </c>
      <c r="S588" s="286">
        <v>2022</v>
      </c>
      <c r="T588" s="277" t="s">
        <v>2001</v>
      </c>
      <c r="U588" s="277" t="s">
        <v>678</v>
      </c>
      <c r="V588" s="277" t="s">
        <v>679</v>
      </c>
      <c r="W588" s="277" t="s">
        <v>145</v>
      </c>
      <c r="X588" s="277" t="s">
        <v>309</v>
      </c>
      <c r="Y588" s="278">
        <v>45078</v>
      </c>
      <c r="Z588" s="287" t="s">
        <v>1875</v>
      </c>
      <c r="AA588" s="287" t="s">
        <v>2479</v>
      </c>
      <c r="AB588" s="287" t="s">
        <v>139</v>
      </c>
      <c r="AC588" s="287" t="s">
        <v>1875</v>
      </c>
      <c r="AD588" s="287" t="s">
        <v>1805</v>
      </c>
      <c r="AE588" s="287" t="s">
        <v>1805</v>
      </c>
      <c r="AF588" s="287" t="s">
        <v>2479</v>
      </c>
      <c r="AG588" s="287" t="s">
        <v>2479</v>
      </c>
      <c r="AH588" s="287" t="s">
        <v>2479</v>
      </c>
      <c r="AI588" s="287" t="s">
        <v>2479</v>
      </c>
      <c r="AJ588" s="304" t="s">
        <v>2191</v>
      </c>
      <c r="AK588" s="287" t="s">
        <v>2479</v>
      </c>
      <c r="AL588" s="304" t="s">
        <v>2190</v>
      </c>
      <c r="AM588" s="289" t="s">
        <v>1975</v>
      </c>
      <c r="AN588" s="281" t="b">
        <v>0</v>
      </c>
      <c r="AO588" s="305"/>
      <c r="AP588" s="291"/>
      <c r="AQ588" s="291"/>
      <c r="AR588" s="291"/>
      <c r="AS588" s="291"/>
      <c r="AT588" s="291"/>
      <c r="AU588" s="291"/>
      <c r="AV588" s="305"/>
      <c r="AW588" s="281"/>
      <c r="AX588" s="281"/>
      <c r="AY588" s="289" t="s">
        <v>2479</v>
      </c>
      <c r="AZ588" s="289" t="s">
        <v>2479</v>
      </c>
      <c r="BA588" s="289" t="s">
        <v>373</v>
      </c>
      <c r="BB588" s="289" t="s">
        <v>1610</v>
      </c>
      <c r="BC588" s="292" t="s">
        <v>2192</v>
      </c>
    </row>
    <row r="589" spans="1:55" ht="45" customHeight="1">
      <c r="A589" s="269">
        <f t="shared" si="10"/>
        <v>588</v>
      </c>
      <c r="B589" s="276" t="s">
        <v>3108</v>
      </c>
      <c r="C589" s="277" t="s">
        <v>3109</v>
      </c>
      <c r="D589" s="277" t="s">
        <v>8</v>
      </c>
      <c r="E589" s="277" t="s">
        <v>13</v>
      </c>
      <c r="F589" s="277" t="s">
        <v>1567</v>
      </c>
      <c r="G589" s="308">
        <v>44889</v>
      </c>
      <c r="H589" s="308"/>
      <c r="I589" s="308"/>
      <c r="J589" s="277"/>
      <c r="K589" s="279"/>
      <c r="L589" s="277" t="s">
        <v>2479</v>
      </c>
      <c r="M589" s="277" t="s">
        <v>2479</v>
      </c>
      <c r="N589" s="277" t="s">
        <v>122</v>
      </c>
      <c r="O589" s="277" t="s">
        <v>2479</v>
      </c>
      <c r="P589" s="277" t="s">
        <v>1554</v>
      </c>
      <c r="Q589" s="277" t="s">
        <v>2198</v>
      </c>
      <c r="R589" s="279" t="s">
        <v>3110</v>
      </c>
      <c r="S589" s="286">
        <v>2022</v>
      </c>
      <c r="T589" s="277" t="s">
        <v>2001</v>
      </c>
      <c r="U589" s="277" t="s">
        <v>678</v>
      </c>
      <c r="V589" s="277" t="s">
        <v>679</v>
      </c>
      <c r="W589" s="277" t="s">
        <v>145</v>
      </c>
      <c r="X589" s="277" t="s">
        <v>309</v>
      </c>
      <c r="Y589" s="278">
        <v>45078</v>
      </c>
      <c r="Z589" s="287" t="s">
        <v>1875</v>
      </c>
      <c r="AA589" s="287" t="s">
        <v>2479</v>
      </c>
      <c r="AB589" s="287" t="s">
        <v>139</v>
      </c>
      <c r="AC589" s="287" t="s">
        <v>1875</v>
      </c>
      <c r="AD589" s="287" t="s">
        <v>1805</v>
      </c>
      <c r="AE589" s="287" t="s">
        <v>1805</v>
      </c>
      <c r="AF589" s="287" t="s">
        <v>2479</v>
      </c>
      <c r="AG589" s="287" t="s">
        <v>2479</v>
      </c>
      <c r="AH589" s="287" t="s">
        <v>2479</v>
      </c>
      <c r="AI589" s="287" t="s">
        <v>2479</v>
      </c>
      <c r="AJ589" s="304" t="s">
        <v>2191</v>
      </c>
      <c r="AK589" s="287" t="s">
        <v>2479</v>
      </c>
      <c r="AL589" s="304" t="s">
        <v>2190</v>
      </c>
      <c r="AM589" s="289" t="s">
        <v>1975</v>
      </c>
      <c r="AN589" s="281" t="b">
        <v>0</v>
      </c>
      <c r="AO589" s="305"/>
      <c r="AP589" s="291"/>
      <c r="AQ589" s="291"/>
      <c r="AR589" s="291"/>
      <c r="AS589" s="291"/>
      <c r="AT589" s="291"/>
      <c r="AU589" s="291"/>
      <c r="AV589" s="305"/>
      <c r="AW589" s="281"/>
      <c r="AX589" s="281"/>
      <c r="AY589" s="289" t="s">
        <v>2479</v>
      </c>
      <c r="AZ589" s="289" t="s">
        <v>2479</v>
      </c>
      <c r="BA589" s="289" t="s">
        <v>373</v>
      </c>
      <c r="BB589" s="289" t="s">
        <v>1610</v>
      </c>
      <c r="BC589" s="292" t="s">
        <v>2192</v>
      </c>
    </row>
    <row r="590" spans="1:55" ht="45" customHeight="1">
      <c r="A590" s="269">
        <f t="shared" si="10"/>
        <v>589</v>
      </c>
      <c r="B590" s="284" t="s">
        <v>3213</v>
      </c>
      <c r="C590" s="270" t="s">
        <v>3214</v>
      </c>
      <c r="D590" s="270" t="s">
        <v>8</v>
      </c>
      <c r="E590" s="270" t="s">
        <v>13</v>
      </c>
      <c r="F590" s="270" t="s">
        <v>1567</v>
      </c>
      <c r="G590" s="302">
        <v>44910</v>
      </c>
      <c r="L590" s="270" t="s">
        <v>2479</v>
      </c>
      <c r="M590" s="270" t="s">
        <v>2479</v>
      </c>
      <c r="N590" s="272" t="s">
        <v>122</v>
      </c>
      <c r="O590" s="270" t="s">
        <v>2479</v>
      </c>
      <c r="P590" s="270" t="s">
        <v>1554</v>
      </c>
      <c r="Q590" s="270" t="s">
        <v>2198</v>
      </c>
      <c r="R590" s="306" t="s">
        <v>3215</v>
      </c>
      <c r="S590" s="285">
        <v>2022</v>
      </c>
      <c r="T590" s="270" t="s">
        <v>2001</v>
      </c>
      <c r="U590" s="270" t="s">
        <v>678</v>
      </c>
      <c r="V590" s="270" t="s">
        <v>679</v>
      </c>
      <c r="W590" s="270" t="s">
        <v>145</v>
      </c>
      <c r="X590" s="270" t="s">
        <v>309</v>
      </c>
      <c r="Y590" s="273">
        <v>45078</v>
      </c>
      <c r="Z590" s="288" t="s">
        <v>1875</v>
      </c>
      <c r="AA590" s="288" t="s">
        <v>2479</v>
      </c>
      <c r="AB590" s="288" t="s">
        <v>139</v>
      </c>
      <c r="AC590" s="288" t="s">
        <v>1875</v>
      </c>
      <c r="AD590" s="288" t="s">
        <v>1805</v>
      </c>
      <c r="AE590" s="288" t="s">
        <v>1805</v>
      </c>
      <c r="AF590" s="288" t="s">
        <v>2479</v>
      </c>
      <c r="AG590" s="288" t="s">
        <v>2479</v>
      </c>
      <c r="AH590" s="288" t="s">
        <v>2479</v>
      </c>
      <c r="AI590" s="288" t="s">
        <v>2479</v>
      </c>
      <c r="AJ590" s="303" t="s">
        <v>2191</v>
      </c>
      <c r="AK590" s="288" t="s">
        <v>2479</v>
      </c>
      <c r="AL590" s="303" t="s">
        <v>2190</v>
      </c>
      <c r="AM590" s="288" t="s">
        <v>1975</v>
      </c>
      <c r="AN590" s="207" t="b">
        <v>0</v>
      </c>
      <c r="AY590" s="288" t="s">
        <v>2479</v>
      </c>
      <c r="AZ590" s="288" t="s">
        <v>2479</v>
      </c>
      <c r="BA590" s="288" t="s">
        <v>373</v>
      </c>
      <c r="BB590" s="288" t="s">
        <v>1610</v>
      </c>
      <c r="BC590" s="288" t="s">
        <v>2192</v>
      </c>
    </row>
    <row r="591" spans="1:55" ht="45" customHeight="1">
      <c r="A591" s="269">
        <f t="shared" si="10"/>
        <v>590</v>
      </c>
      <c r="B591" s="284" t="s">
        <v>3216</v>
      </c>
      <c r="C591" s="270" t="s">
        <v>3217</v>
      </c>
      <c r="D591" s="270" t="s">
        <v>8</v>
      </c>
      <c r="E591" s="270" t="s">
        <v>13</v>
      </c>
      <c r="F591" s="270" t="s">
        <v>1567</v>
      </c>
      <c r="G591" s="302">
        <v>44910</v>
      </c>
      <c r="L591" s="270" t="s">
        <v>2479</v>
      </c>
      <c r="M591" s="270" t="s">
        <v>2479</v>
      </c>
      <c r="N591" s="272" t="s">
        <v>122</v>
      </c>
      <c r="O591" s="270" t="s">
        <v>2479</v>
      </c>
      <c r="P591" s="270" t="s">
        <v>1554</v>
      </c>
      <c r="Q591" s="270" t="s">
        <v>2198</v>
      </c>
      <c r="R591" s="306" t="s">
        <v>3218</v>
      </c>
      <c r="S591" s="285">
        <v>2022</v>
      </c>
      <c r="T591" s="270" t="s">
        <v>2001</v>
      </c>
      <c r="U591" s="270" t="s">
        <v>678</v>
      </c>
      <c r="V591" s="270" t="s">
        <v>679</v>
      </c>
      <c r="W591" s="270" t="s">
        <v>145</v>
      </c>
      <c r="X591" s="270" t="s">
        <v>309</v>
      </c>
      <c r="Y591" s="273">
        <v>45078</v>
      </c>
      <c r="Z591" s="288" t="s">
        <v>1875</v>
      </c>
      <c r="AA591" s="288" t="s">
        <v>2479</v>
      </c>
      <c r="AB591" s="288" t="s">
        <v>139</v>
      </c>
      <c r="AC591" s="288" t="s">
        <v>1875</v>
      </c>
      <c r="AD591" s="288" t="s">
        <v>1805</v>
      </c>
      <c r="AE591" s="288" t="s">
        <v>1805</v>
      </c>
      <c r="AF591" s="288" t="s">
        <v>2479</v>
      </c>
      <c r="AG591" s="288" t="s">
        <v>2479</v>
      </c>
      <c r="AH591" s="288" t="s">
        <v>2479</v>
      </c>
      <c r="AI591" s="288" t="s">
        <v>2479</v>
      </c>
      <c r="AJ591" s="303" t="s">
        <v>2191</v>
      </c>
      <c r="AK591" s="288" t="s">
        <v>2479</v>
      </c>
      <c r="AL591" s="303" t="s">
        <v>2190</v>
      </c>
      <c r="AM591" s="288" t="s">
        <v>1975</v>
      </c>
      <c r="AN591" s="207" t="b">
        <v>0</v>
      </c>
      <c r="AY591" s="288" t="s">
        <v>2479</v>
      </c>
      <c r="AZ591" s="288" t="s">
        <v>2479</v>
      </c>
      <c r="BA591" s="288" t="s">
        <v>373</v>
      </c>
      <c r="BB591" s="288" t="s">
        <v>1610</v>
      </c>
      <c r="BC591" s="288" t="s">
        <v>2192</v>
      </c>
    </row>
    <row r="592" spans="1:55" ht="45" customHeight="1">
      <c r="A592" s="269">
        <f t="shared" si="10"/>
        <v>591</v>
      </c>
      <c r="B592" s="284" t="s">
        <v>3219</v>
      </c>
      <c r="C592" s="270" t="s">
        <v>3220</v>
      </c>
      <c r="D592" s="270" t="s">
        <v>8</v>
      </c>
      <c r="E592" s="270" t="s">
        <v>13</v>
      </c>
      <c r="F592" s="270" t="s">
        <v>1567</v>
      </c>
      <c r="G592" s="302">
        <v>44910</v>
      </c>
      <c r="L592" s="270" t="s">
        <v>2479</v>
      </c>
      <c r="M592" s="270" t="s">
        <v>2479</v>
      </c>
      <c r="N592" s="272" t="s">
        <v>122</v>
      </c>
      <c r="O592" s="270" t="s">
        <v>2479</v>
      </c>
      <c r="P592" s="270" t="s">
        <v>1554</v>
      </c>
      <c r="Q592" s="270" t="s">
        <v>2198</v>
      </c>
      <c r="R592" s="306" t="s">
        <v>3221</v>
      </c>
      <c r="S592" s="285">
        <v>2022</v>
      </c>
      <c r="T592" s="270" t="s">
        <v>2001</v>
      </c>
      <c r="U592" s="270" t="s">
        <v>678</v>
      </c>
      <c r="V592" s="270" t="s">
        <v>679</v>
      </c>
      <c r="W592" s="270" t="s">
        <v>145</v>
      </c>
      <c r="X592" s="270" t="s">
        <v>309</v>
      </c>
      <c r="Y592" s="273">
        <v>45078</v>
      </c>
      <c r="Z592" s="288" t="s">
        <v>1875</v>
      </c>
      <c r="AA592" s="288" t="s">
        <v>2479</v>
      </c>
      <c r="AB592" s="288" t="s">
        <v>139</v>
      </c>
      <c r="AC592" s="288" t="s">
        <v>1875</v>
      </c>
      <c r="AD592" s="288" t="s">
        <v>1805</v>
      </c>
      <c r="AE592" s="288" t="s">
        <v>1805</v>
      </c>
      <c r="AF592" s="288" t="s">
        <v>2479</v>
      </c>
      <c r="AG592" s="288" t="s">
        <v>2479</v>
      </c>
      <c r="AH592" s="288" t="s">
        <v>2479</v>
      </c>
      <c r="AI592" s="288" t="s">
        <v>2479</v>
      </c>
      <c r="AJ592" s="303" t="s">
        <v>2191</v>
      </c>
      <c r="AK592" s="288" t="s">
        <v>2479</v>
      </c>
      <c r="AL592" s="303" t="s">
        <v>2190</v>
      </c>
      <c r="AM592" s="288" t="s">
        <v>1975</v>
      </c>
      <c r="AN592" s="207" t="b">
        <v>0</v>
      </c>
      <c r="AY592" s="288" t="s">
        <v>2479</v>
      </c>
      <c r="AZ592" s="288" t="s">
        <v>2479</v>
      </c>
      <c r="BA592" s="288" t="s">
        <v>373</v>
      </c>
      <c r="BB592" s="288" t="s">
        <v>1610</v>
      </c>
      <c r="BC592" s="288" t="s">
        <v>2192</v>
      </c>
    </row>
    <row r="593" spans="1:55" ht="45" customHeight="1">
      <c r="A593" s="269">
        <f t="shared" si="10"/>
        <v>592</v>
      </c>
      <c r="B593" s="284" t="s">
        <v>3222</v>
      </c>
      <c r="C593" s="270" t="s">
        <v>3223</v>
      </c>
      <c r="D593" s="270" t="s">
        <v>8</v>
      </c>
      <c r="E593" s="270" t="s">
        <v>13</v>
      </c>
      <c r="F593" s="270" t="s">
        <v>1567</v>
      </c>
      <c r="G593" s="302">
        <v>44910</v>
      </c>
      <c r="L593" s="270" t="s">
        <v>2479</v>
      </c>
      <c r="M593" s="270" t="s">
        <v>2479</v>
      </c>
      <c r="N593" s="272" t="s">
        <v>122</v>
      </c>
      <c r="O593" s="270" t="s">
        <v>2479</v>
      </c>
      <c r="P593" s="270" t="s">
        <v>1554</v>
      </c>
      <c r="Q593" s="270" t="s">
        <v>2198</v>
      </c>
      <c r="R593" s="306" t="s">
        <v>3224</v>
      </c>
      <c r="S593" s="285">
        <v>2022</v>
      </c>
      <c r="T593" s="270" t="s">
        <v>2001</v>
      </c>
      <c r="U593" s="270" t="s">
        <v>678</v>
      </c>
      <c r="V593" s="270" t="s">
        <v>679</v>
      </c>
      <c r="W593" s="270" t="s">
        <v>145</v>
      </c>
      <c r="X593" s="270" t="s">
        <v>309</v>
      </c>
      <c r="Y593" s="273">
        <v>45078</v>
      </c>
      <c r="Z593" s="288" t="s">
        <v>1875</v>
      </c>
      <c r="AA593" s="288" t="s">
        <v>2479</v>
      </c>
      <c r="AB593" s="288" t="s">
        <v>139</v>
      </c>
      <c r="AC593" s="288" t="s">
        <v>1875</v>
      </c>
      <c r="AD593" s="288" t="s">
        <v>1805</v>
      </c>
      <c r="AE593" s="288" t="s">
        <v>1805</v>
      </c>
      <c r="AF593" s="288" t="s">
        <v>2479</v>
      </c>
      <c r="AG593" s="288" t="s">
        <v>2479</v>
      </c>
      <c r="AH593" s="288" t="s">
        <v>2479</v>
      </c>
      <c r="AI593" s="288" t="s">
        <v>2479</v>
      </c>
      <c r="AJ593" s="303" t="s">
        <v>2191</v>
      </c>
      <c r="AK593" s="288" t="s">
        <v>2479</v>
      </c>
      <c r="AL593" s="303" t="s">
        <v>2190</v>
      </c>
      <c r="AM593" s="288" t="s">
        <v>1975</v>
      </c>
      <c r="AN593" s="207" t="b">
        <v>0</v>
      </c>
      <c r="AY593" s="288" t="s">
        <v>2479</v>
      </c>
      <c r="AZ593" s="288" t="s">
        <v>2479</v>
      </c>
      <c r="BA593" s="288" t="s">
        <v>373</v>
      </c>
      <c r="BB593" s="288" t="s">
        <v>1610</v>
      </c>
      <c r="BC593" s="288" t="s">
        <v>2192</v>
      </c>
    </row>
    <row r="594" spans="1:55" ht="45" customHeight="1">
      <c r="A594" s="269">
        <f t="shared" si="10"/>
        <v>593</v>
      </c>
      <c r="B594" s="284" t="s">
        <v>3225</v>
      </c>
      <c r="C594" s="270" t="s">
        <v>3226</v>
      </c>
      <c r="D594" s="270" t="s">
        <v>8</v>
      </c>
      <c r="E594" s="270" t="s">
        <v>13</v>
      </c>
      <c r="F594" s="270" t="s">
        <v>1567</v>
      </c>
      <c r="G594" s="302">
        <v>44910</v>
      </c>
      <c r="L594" s="270" t="s">
        <v>2479</v>
      </c>
      <c r="M594" s="270" t="s">
        <v>2479</v>
      </c>
      <c r="N594" s="272" t="s">
        <v>122</v>
      </c>
      <c r="O594" s="270" t="s">
        <v>2479</v>
      </c>
      <c r="P594" s="270" t="s">
        <v>1554</v>
      </c>
      <c r="Q594" s="270" t="s">
        <v>2198</v>
      </c>
      <c r="R594" s="306" t="s">
        <v>3227</v>
      </c>
      <c r="S594" s="285">
        <v>2022</v>
      </c>
      <c r="T594" s="270" t="s">
        <v>2001</v>
      </c>
      <c r="U594" s="270" t="s">
        <v>678</v>
      </c>
      <c r="V594" s="270" t="s">
        <v>679</v>
      </c>
      <c r="W594" s="270" t="s">
        <v>145</v>
      </c>
      <c r="X594" s="270" t="s">
        <v>309</v>
      </c>
      <c r="Y594" s="273">
        <v>45078</v>
      </c>
      <c r="Z594" s="288" t="s">
        <v>1875</v>
      </c>
      <c r="AA594" s="288" t="s">
        <v>2479</v>
      </c>
      <c r="AB594" s="288" t="s">
        <v>139</v>
      </c>
      <c r="AC594" s="288" t="s">
        <v>1875</v>
      </c>
      <c r="AD594" s="288" t="s">
        <v>1805</v>
      </c>
      <c r="AE594" s="288" t="s">
        <v>1805</v>
      </c>
      <c r="AF594" s="288" t="s">
        <v>2479</v>
      </c>
      <c r="AG594" s="288" t="s">
        <v>2479</v>
      </c>
      <c r="AH594" s="288" t="s">
        <v>2479</v>
      </c>
      <c r="AI594" s="288" t="s">
        <v>2479</v>
      </c>
      <c r="AJ594" s="303" t="s">
        <v>2191</v>
      </c>
      <c r="AK594" s="288" t="s">
        <v>2479</v>
      </c>
      <c r="AL594" s="303" t="s">
        <v>2190</v>
      </c>
      <c r="AM594" s="288" t="s">
        <v>1975</v>
      </c>
      <c r="AN594" s="207" t="b">
        <v>0</v>
      </c>
      <c r="AY594" s="288" t="s">
        <v>2479</v>
      </c>
      <c r="AZ594" s="288" t="s">
        <v>2479</v>
      </c>
      <c r="BA594" s="288" t="s">
        <v>373</v>
      </c>
      <c r="BB594" s="288" t="s">
        <v>1610</v>
      </c>
      <c r="BC594" s="288" t="s">
        <v>2192</v>
      </c>
    </row>
    <row r="595" spans="1:55" ht="45" customHeight="1">
      <c r="A595" s="269">
        <f t="shared" si="10"/>
        <v>594</v>
      </c>
      <c r="B595" s="284" t="s">
        <v>3228</v>
      </c>
      <c r="C595" s="270" t="s">
        <v>2772</v>
      </c>
      <c r="D595" s="270" t="s">
        <v>8</v>
      </c>
      <c r="E595" s="270" t="s">
        <v>13</v>
      </c>
      <c r="F595" s="270" t="s">
        <v>1567</v>
      </c>
      <c r="G595" s="302">
        <v>44910</v>
      </c>
      <c r="L595" s="270" t="s">
        <v>2479</v>
      </c>
      <c r="M595" s="270" t="s">
        <v>2479</v>
      </c>
      <c r="N595" s="272" t="s">
        <v>122</v>
      </c>
      <c r="O595" s="270" t="s">
        <v>2479</v>
      </c>
      <c r="P595" s="270" t="s">
        <v>1554</v>
      </c>
      <c r="Q595" s="270" t="s">
        <v>2198</v>
      </c>
      <c r="R595" s="306" t="s">
        <v>3229</v>
      </c>
      <c r="S595" s="285">
        <v>2022</v>
      </c>
      <c r="T595" s="270" t="s">
        <v>2001</v>
      </c>
      <c r="U595" s="270" t="s">
        <v>678</v>
      </c>
      <c r="V595" s="270" t="s">
        <v>679</v>
      </c>
      <c r="W595" s="270" t="s">
        <v>145</v>
      </c>
      <c r="X595" s="270" t="s">
        <v>309</v>
      </c>
      <c r="Y595" s="273">
        <v>45078</v>
      </c>
      <c r="Z595" s="288" t="s">
        <v>1875</v>
      </c>
      <c r="AA595" s="288" t="s">
        <v>2479</v>
      </c>
      <c r="AB595" s="288" t="s">
        <v>139</v>
      </c>
      <c r="AC595" s="288" t="s">
        <v>1875</v>
      </c>
      <c r="AD595" s="288" t="s">
        <v>1805</v>
      </c>
      <c r="AE595" s="288" t="s">
        <v>1805</v>
      </c>
      <c r="AF595" s="288" t="s">
        <v>2479</v>
      </c>
      <c r="AG595" s="288" t="s">
        <v>2479</v>
      </c>
      <c r="AH595" s="288" t="s">
        <v>2479</v>
      </c>
      <c r="AI595" s="288" t="s">
        <v>2479</v>
      </c>
      <c r="AJ595" s="303" t="s">
        <v>2191</v>
      </c>
      <c r="AK595" s="288" t="s">
        <v>2479</v>
      </c>
      <c r="AL595" s="303" t="s">
        <v>2190</v>
      </c>
      <c r="AM595" s="288" t="s">
        <v>1975</v>
      </c>
      <c r="AN595" s="207" t="b">
        <v>0</v>
      </c>
      <c r="AY595" s="288" t="s">
        <v>2479</v>
      </c>
      <c r="AZ595" s="288" t="s">
        <v>2479</v>
      </c>
      <c r="BA595" s="288" t="s">
        <v>373</v>
      </c>
      <c r="BB595" s="288" t="s">
        <v>1610</v>
      </c>
      <c r="BC595" s="288" t="s">
        <v>2192</v>
      </c>
    </row>
    <row r="596" spans="1:55" ht="45" customHeight="1">
      <c r="A596" s="269">
        <f t="shared" si="10"/>
        <v>595</v>
      </c>
      <c r="B596" s="284" t="s">
        <v>2710</v>
      </c>
      <c r="C596" s="270" t="s">
        <v>3256</v>
      </c>
      <c r="D596" s="270" t="s">
        <v>8</v>
      </c>
      <c r="E596" s="270" t="s">
        <v>13</v>
      </c>
      <c r="F596" s="270" t="s">
        <v>1567</v>
      </c>
      <c r="G596" s="302">
        <v>44930</v>
      </c>
      <c r="L596" s="270" t="s">
        <v>2479</v>
      </c>
      <c r="M596" s="270" t="s">
        <v>2479</v>
      </c>
      <c r="N596" s="272" t="s">
        <v>122</v>
      </c>
      <c r="O596" s="270" t="s">
        <v>2479</v>
      </c>
      <c r="P596" s="270" t="s">
        <v>1554</v>
      </c>
      <c r="Q596" s="270" t="s">
        <v>2198</v>
      </c>
      <c r="R596" s="306" t="s">
        <v>3257</v>
      </c>
      <c r="S596" s="285">
        <v>2023</v>
      </c>
      <c r="T596" s="270" t="s">
        <v>2001</v>
      </c>
      <c r="U596" s="270" t="s">
        <v>678</v>
      </c>
      <c r="V596" s="270" t="s">
        <v>679</v>
      </c>
      <c r="W596" s="270" t="s">
        <v>145</v>
      </c>
      <c r="X596" s="270" t="s">
        <v>309</v>
      </c>
      <c r="Y596" s="273">
        <v>45078</v>
      </c>
      <c r="Z596" s="288" t="s">
        <v>1875</v>
      </c>
      <c r="AA596" s="288" t="s">
        <v>2868</v>
      </c>
      <c r="AB596" s="288" t="s">
        <v>139</v>
      </c>
      <c r="AC596" s="288" t="s">
        <v>1875</v>
      </c>
      <c r="AD596" s="288" t="s">
        <v>1805</v>
      </c>
      <c r="AE596" s="288" t="s">
        <v>1805</v>
      </c>
      <c r="AF596" s="288" t="s">
        <v>2479</v>
      </c>
      <c r="AG596" s="288" t="s">
        <v>2479</v>
      </c>
      <c r="AH596" s="288" t="s">
        <v>2479</v>
      </c>
      <c r="AI596" s="288" t="s">
        <v>3258</v>
      </c>
      <c r="AJ596" s="303" t="s">
        <v>2191</v>
      </c>
      <c r="AK596" s="288" t="s">
        <v>3259</v>
      </c>
      <c r="AL596" s="303">
        <v>44809</v>
      </c>
      <c r="AM596" s="288" t="s">
        <v>1975</v>
      </c>
      <c r="AN596" s="207" t="b">
        <v>0</v>
      </c>
      <c r="AY596" s="288" t="s">
        <v>2479</v>
      </c>
      <c r="AZ596" s="288" t="s">
        <v>2479</v>
      </c>
      <c r="BA596" s="288" t="s">
        <v>373</v>
      </c>
      <c r="BB596" s="288" t="s">
        <v>1610</v>
      </c>
      <c r="BC596" s="288" t="s">
        <v>2192</v>
      </c>
    </row>
    <row r="597" spans="1:55" ht="45" customHeight="1">
      <c r="A597" s="269">
        <f t="shared" si="10"/>
        <v>596</v>
      </c>
      <c r="B597" s="284" t="s">
        <v>2711</v>
      </c>
      <c r="C597" s="270" t="s">
        <v>3260</v>
      </c>
      <c r="D597" s="270" t="s">
        <v>8</v>
      </c>
      <c r="E597" s="270" t="s">
        <v>13</v>
      </c>
      <c r="F597" s="270" t="s">
        <v>1567</v>
      </c>
      <c r="G597" s="302">
        <v>44930</v>
      </c>
      <c r="K597" s="306">
        <v>45085</v>
      </c>
      <c r="L597" s="270" t="s">
        <v>2193</v>
      </c>
      <c r="M597" s="270" t="s">
        <v>119</v>
      </c>
      <c r="N597" s="272" t="s">
        <v>2479</v>
      </c>
      <c r="O597" s="270" t="s">
        <v>2479</v>
      </c>
      <c r="P597" s="270" t="s">
        <v>1554</v>
      </c>
      <c r="Q597" s="270" t="s">
        <v>2198</v>
      </c>
      <c r="R597" s="306">
        <v>44992.58253472222</v>
      </c>
      <c r="S597" s="285">
        <v>2023</v>
      </c>
      <c r="T597" s="270" t="s">
        <v>2194</v>
      </c>
      <c r="U597" s="270" t="s">
        <v>678</v>
      </c>
      <c r="V597" s="270" t="s">
        <v>679</v>
      </c>
      <c r="W597" s="270" t="s">
        <v>145</v>
      </c>
      <c r="X597" s="270" t="s">
        <v>309</v>
      </c>
      <c r="Y597" s="273">
        <v>45078</v>
      </c>
      <c r="Z597" s="288" t="s">
        <v>1875</v>
      </c>
      <c r="AA597" s="288" t="s">
        <v>2873</v>
      </c>
      <c r="AB597" s="288" t="s">
        <v>139</v>
      </c>
      <c r="AC597" s="288" t="s">
        <v>1875</v>
      </c>
      <c r="AD597" s="288" t="s">
        <v>1805</v>
      </c>
      <c r="AE597" s="288" t="s">
        <v>1805</v>
      </c>
      <c r="AF597" s="288" t="s">
        <v>2479</v>
      </c>
      <c r="AG597" s="288" t="s">
        <v>2479</v>
      </c>
      <c r="AH597" s="288" t="s">
        <v>2479</v>
      </c>
      <c r="AI597" s="288" t="s">
        <v>3261</v>
      </c>
      <c r="AJ597" s="303" t="s">
        <v>2191</v>
      </c>
      <c r="AK597" s="288" t="s">
        <v>3262</v>
      </c>
      <c r="AL597" s="303">
        <v>44828</v>
      </c>
      <c r="AM597" s="288" t="s">
        <v>1975</v>
      </c>
      <c r="AN597" s="207" t="b">
        <v>0</v>
      </c>
      <c r="AY597" s="288" t="s">
        <v>2479</v>
      </c>
      <c r="AZ597" s="288" t="s">
        <v>2479</v>
      </c>
      <c r="BA597" s="288" t="s">
        <v>373</v>
      </c>
      <c r="BB597" s="288" t="s">
        <v>139</v>
      </c>
      <c r="BC597" s="288" t="s">
        <v>3797</v>
      </c>
    </row>
    <row r="598" spans="1:55" ht="45" customHeight="1">
      <c r="A598" s="269">
        <f t="shared" si="10"/>
        <v>597</v>
      </c>
      <c r="B598" s="284" t="s">
        <v>2713</v>
      </c>
      <c r="C598" s="270" t="s">
        <v>3263</v>
      </c>
      <c r="D598" s="270" t="s">
        <v>8</v>
      </c>
      <c r="E598" s="270" t="s">
        <v>13</v>
      </c>
      <c r="F598" s="270" t="s">
        <v>1567</v>
      </c>
      <c r="G598" s="302">
        <v>44930</v>
      </c>
      <c r="L598" s="270" t="s">
        <v>2479</v>
      </c>
      <c r="M598" s="270" t="s">
        <v>2479</v>
      </c>
      <c r="N598" s="272" t="s">
        <v>122</v>
      </c>
      <c r="O598" s="270" t="s">
        <v>2479</v>
      </c>
      <c r="P598" s="270" t="s">
        <v>1554</v>
      </c>
      <c r="Q598" s="270" t="s">
        <v>2198</v>
      </c>
      <c r="R598" s="306" t="s">
        <v>3264</v>
      </c>
      <c r="S598" s="285">
        <v>2023</v>
      </c>
      <c r="T598" s="270" t="s">
        <v>2001</v>
      </c>
      <c r="U598" s="270" t="s">
        <v>678</v>
      </c>
      <c r="V598" s="270" t="s">
        <v>679</v>
      </c>
      <c r="W598" s="270" t="s">
        <v>145</v>
      </c>
      <c r="X598" s="270" t="s">
        <v>309</v>
      </c>
      <c r="Y598" s="273">
        <v>45078</v>
      </c>
      <c r="Z598" s="288" t="s">
        <v>1875</v>
      </c>
      <c r="AA598" s="288" t="s">
        <v>2886</v>
      </c>
      <c r="AB598" s="288" t="s">
        <v>139</v>
      </c>
      <c r="AC598" s="288" t="s">
        <v>1875</v>
      </c>
      <c r="AD598" s="288" t="s">
        <v>1805</v>
      </c>
      <c r="AE598" s="288" t="s">
        <v>1805</v>
      </c>
      <c r="AF598" s="288" t="s">
        <v>2479</v>
      </c>
      <c r="AG598" s="288" t="s">
        <v>2479</v>
      </c>
      <c r="AH598" s="288" t="s">
        <v>2479</v>
      </c>
      <c r="AI598" s="288" t="s">
        <v>3265</v>
      </c>
      <c r="AJ598" s="303" t="s">
        <v>2191</v>
      </c>
      <c r="AK598" s="288" t="s">
        <v>3266</v>
      </c>
      <c r="AL598" s="303">
        <v>44822</v>
      </c>
      <c r="AM598" s="288" t="s">
        <v>1975</v>
      </c>
      <c r="AN598" s="207" t="b">
        <v>0</v>
      </c>
      <c r="AY598" s="288" t="s">
        <v>2479</v>
      </c>
      <c r="AZ598" s="288" t="s">
        <v>2479</v>
      </c>
      <c r="BA598" s="288" t="s">
        <v>373</v>
      </c>
      <c r="BB598" s="288" t="s">
        <v>1610</v>
      </c>
      <c r="BC598" s="288" t="s">
        <v>2192</v>
      </c>
    </row>
    <row r="599" spans="1:55" ht="45" customHeight="1">
      <c r="A599" s="269">
        <f t="shared" si="10"/>
        <v>598</v>
      </c>
      <c r="B599" s="284" t="s">
        <v>3267</v>
      </c>
      <c r="C599" s="270" t="s">
        <v>3268</v>
      </c>
      <c r="D599" s="270" t="s">
        <v>8</v>
      </c>
      <c r="E599" s="270" t="s">
        <v>13</v>
      </c>
      <c r="F599" s="270" t="s">
        <v>1567</v>
      </c>
      <c r="G599" s="302">
        <v>44931</v>
      </c>
      <c r="L599" s="270" t="s">
        <v>2479</v>
      </c>
      <c r="M599" s="270" t="s">
        <v>2479</v>
      </c>
      <c r="N599" s="272" t="s">
        <v>122</v>
      </c>
      <c r="O599" s="270" t="s">
        <v>2479</v>
      </c>
      <c r="P599" s="270" t="s">
        <v>1554</v>
      </c>
      <c r="Q599" s="270" t="s">
        <v>2198</v>
      </c>
      <c r="R599" s="306" t="s">
        <v>3269</v>
      </c>
      <c r="S599" s="285">
        <v>2023</v>
      </c>
      <c r="T599" s="270" t="s">
        <v>2001</v>
      </c>
      <c r="U599" s="270" t="s">
        <v>678</v>
      </c>
      <c r="V599" s="270" t="s">
        <v>679</v>
      </c>
      <c r="W599" s="270" t="s">
        <v>145</v>
      </c>
      <c r="X599" s="270" t="s">
        <v>309</v>
      </c>
      <c r="Y599" s="273">
        <v>45078</v>
      </c>
      <c r="Z599" s="288" t="s">
        <v>1875</v>
      </c>
      <c r="AA599" s="288" t="s">
        <v>2479</v>
      </c>
      <c r="AB599" s="288" t="s">
        <v>139</v>
      </c>
      <c r="AC599" s="288" t="s">
        <v>1875</v>
      </c>
      <c r="AD599" s="288" t="s">
        <v>1805</v>
      </c>
      <c r="AE599" s="288" t="s">
        <v>1805</v>
      </c>
      <c r="AF599" s="288" t="s">
        <v>2479</v>
      </c>
      <c r="AG599" s="288" t="s">
        <v>2479</v>
      </c>
      <c r="AH599" s="288" t="s">
        <v>2479</v>
      </c>
      <c r="AI599" s="288" t="s">
        <v>3270</v>
      </c>
      <c r="AJ599" s="303" t="s">
        <v>2191</v>
      </c>
      <c r="AK599" s="288" t="s">
        <v>2479</v>
      </c>
      <c r="AL599" s="303" t="s">
        <v>2190</v>
      </c>
      <c r="AM599" s="288" t="s">
        <v>1975</v>
      </c>
      <c r="AN599" s="207" t="b">
        <v>0</v>
      </c>
      <c r="AY599" s="288" t="s">
        <v>2479</v>
      </c>
      <c r="AZ599" s="288" t="s">
        <v>2479</v>
      </c>
      <c r="BA599" s="288" t="s">
        <v>373</v>
      </c>
      <c r="BB599" s="288" t="s">
        <v>1610</v>
      </c>
      <c r="BC599" s="288" t="s">
        <v>2192</v>
      </c>
    </row>
    <row r="600" spans="1:55" ht="45" customHeight="1">
      <c r="A600" s="269">
        <f t="shared" si="10"/>
        <v>599</v>
      </c>
      <c r="B600" s="284" t="s">
        <v>3271</v>
      </c>
      <c r="C600" s="270" t="s">
        <v>3272</v>
      </c>
      <c r="D600" s="270" t="s">
        <v>8</v>
      </c>
      <c r="E600" s="270" t="s">
        <v>13</v>
      </c>
      <c r="F600" s="270" t="s">
        <v>1567</v>
      </c>
      <c r="G600" s="302">
        <v>44931</v>
      </c>
      <c r="L600" s="270" t="s">
        <v>2479</v>
      </c>
      <c r="M600" s="270" t="s">
        <v>2479</v>
      </c>
      <c r="N600" s="272" t="s">
        <v>122</v>
      </c>
      <c r="O600" s="270" t="s">
        <v>2479</v>
      </c>
      <c r="P600" s="270" t="s">
        <v>1554</v>
      </c>
      <c r="Q600" s="270" t="s">
        <v>2198</v>
      </c>
      <c r="R600" s="306" t="s">
        <v>3273</v>
      </c>
      <c r="S600" s="285">
        <v>2023</v>
      </c>
      <c r="T600" s="270" t="s">
        <v>2001</v>
      </c>
      <c r="U600" s="270" t="s">
        <v>678</v>
      </c>
      <c r="V600" s="270" t="s">
        <v>679</v>
      </c>
      <c r="W600" s="270" t="s">
        <v>145</v>
      </c>
      <c r="X600" s="270" t="s">
        <v>309</v>
      </c>
      <c r="Y600" s="273">
        <v>45078</v>
      </c>
      <c r="Z600" s="288" t="s">
        <v>1875</v>
      </c>
      <c r="AA600" s="288" t="s">
        <v>2479</v>
      </c>
      <c r="AB600" s="288" t="s">
        <v>139</v>
      </c>
      <c r="AC600" s="288" t="s">
        <v>1875</v>
      </c>
      <c r="AD600" s="288" t="s">
        <v>1805</v>
      </c>
      <c r="AE600" s="288" t="s">
        <v>1805</v>
      </c>
      <c r="AF600" s="288" t="s">
        <v>2479</v>
      </c>
      <c r="AG600" s="288" t="s">
        <v>2479</v>
      </c>
      <c r="AH600" s="288" t="s">
        <v>2479</v>
      </c>
      <c r="AI600" s="288" t="s">
        <v>2874</v>
      </c>
      <c r="AJ600" s="303" t="s">
        <v>2191</v>
      </c>
      <c r="AK600" s="288" t="s">
        <v>2479</v>
      </c>
      <c r="AL600" s="303" t="s">
        <v>2190</v>
      </c>
      <c r="AM600" s="288" t="s">
        <v>1975</v>
      </c>
      <c r="AN600" s="207" t="b">
        <v>0</v>
      </c>
      <c r="AY600" s="288" t="s">
        <v>2479</v>
      </c>
      <c r="AZ600" s="288" t="s">
        <v>2479</v>
      </c>
      <c r="BA600" s="288" t="s">
        <v>373</v>
      </c>
      <c r="BB600" s="288" t="s">
        <v>1610</v>
      </c>
      <c r="BC600" s="288" t="s">
        <v>2192</v>
      </c>
    </row>
    <row r="601" spans="1:55" ht="45" customHeight="1">
      <c r="A601" s="269">
        <f t="shared" si="10"/>
        <v>600</v>
      </c>
      <c r="B601" s="284" t="s">
        <v>3274</v>
      </c>
      <c r="C601" s="270" t="s">
        <v>3275</v>
      </c>
      <c r="D601" s="270" t="s">
        <v>8</v>
      </c>
      <c r="E601" s="270" t="s">
        <v>13</v>
      </c>
      <c r="F601" s="270" t="s">
        <v>1567</v>
      </c>
      <c r="G601" s="302">
        <v>44931</v>
      </c>
      <c r="L601" s="270" t="s">
        <v>2479</v>
      </c>
      <c r="M601" s="270" t="s">
        <v>2479</v>
      </c>
      <c r="N601" s="272" t="s">
        <v>122</v>
      </c>
      <c r="O601" s="270" t="s">
        <v>2479</v>
      </c>
      <c r="P601" s="270" t="s">
        <v>1554</v>
      </c>
      <c r="Q601" s="270" t="s">
        <v>2198</v>
      </c>
      <c r="R601" s="306" t="s">
        <v>3276</v>
      </c>
      <c r="S601" s="285">
        <v>2023</v>
      </c>
      <c r="T601" s="270" t="s">
        <v>2001</v>
      </c>
      <c r="U601" s="270" t="s">
        <v>678</v>
      </c>
      <c r="V601" s="270" t="s">
        <v>679</v>
      </c>
      <c r="W601" s="270" t="s">
        <v>145</v>
      </c>
      <c r="X601" s="270" t="s">
        <v>309</v>
      </c>
      <c r="Y601" s="273">
        <v>45078</v>
      </c>
      <c r="Z601" s="288" t="s">
        <v>1875</v>
      </c>
      <c r="AA601" s="288" t="s">
        <v>2479</v>
      </c>
      <c r="AB601" s="288" t="s">
        <v>139</v>
      </c>
      <c r="AC601" s="288" t="s">
        <v>1875</v>
      </c>
      <c r="AD601" s="288" t="s">
        <v>1805</v>
      </c>
      <c r="AE601" s="288" t="s">
        <v>1805</v>
      </c>
      <c r="AF601" s="288" t="s">
        <v>2479</v>
      </c>
      <c r="AG601" s="288" t="s">
        <v>2479</v>
      </c>
      <c r="AH601" s="288" t="s">
        <v>2479</v>
      </c>
      <c r="AI601" s="288" t="s">
        <v>3265</v>
      </c>
      <c r="AJ601" s="303" t="s">
        <v>2191</v>
      </c>
      <c r="AK601" s="288" t="s">
        <v>2479</v>
      </c>
      <c r="AL601" s="303" t="s">
        <v>2190</v>
      </c>
      <c r="AM601" s="288" t="s">
        <v>1975</v>
      </c>
      <c r="AN601" s="207" t="b">
        <v>0</v>
      </c>
      <c r="AY601" s="288" t="s">
        <v>2479</v>
      </c>
      <c r="AZ601" s="288" t="s">
        <v>2479</v>
      </c>
      <c r="BA601" s="288" t="s">
        <v>373</v>
      </c>
      <c r="BB601" s="288" t="s">
        <v>1610</v>
      </c>
      <c r="BC601" s="288" t="s">
        <v>2192</v>
      </c>
    </row>
    <row r="602" spans="1:55" ht="45" customHeight="1">
      <c r="A602" s="269">
        <f t="shared" si="10"/>
        <v>601</v>
      </c>
      <c r="B602" s="284" t="s">
        <v>3277</v>
      </c>
      <c r="C602" s="270" t="s">
        <v>3278</v>
      </c>
      <c r="D602" s="270" t="s">
        <v>8</v>
      </c>
      <c r="E602" s="270" t="s">
        <v>13</v>
      </c>
      <c r="F602" s="270" t="s">
        <v>1567</v>
      </c>
      <c r="G602" s="302">
        <v>44931</v>
      </c>
      <c r="L602" s="270" t="s">
        <v>2479</v>
      </c>
      <c r="M602" s="270" t="s">
        <v>2479</v>
      </c>
      <c r="N602" s="272" t="s">
        <v>122</v>
      </c>
      <c r="O602" s="270" t="s">
        <v>2479</v>
      </c>
      <c r="P602" s="270" t="s">
        <v>1554</v>
      </c>
      <c r="Q602" s="270" t="s">
        <v>2198</v>
      </c>
      <c r="R602" s="306" t="s">
        <v>3279</v>
      </c>
      <c r="S602" s="285">
        <v>2023</v>
      </c>
      <c r="T602" s="270" t="s">
        <v>2001</v>
      </c>
      <c r="U602" s="270" t="s">
        <v>678</v>
      </c>
      <c r="V602" s="270" t="s">
        <v>679</v>
      </c>
      <c r="W602" s="270" t="s">
        <v>145</v>
      </c>
      <c r="X602" s="270" t="s">
        <v>309</v>
      </c>
      <c r="Y602" s="273">
        <v>45078</v>
      </c>
      <c r="Z602" s="288" t="s">
        <v>1875</v>
      </c>
      <c r="AA602" s="288" t="s">
        <v>2479</v>
      </c>
      <c r="AB602" s="288" t="s">
        <v>139</v>
      </c>
      <c r="AC602" s="288" t="s">
        <v>1875</v>
      </c>
      <c r="AD602" s="288" t="s">
        <v>1805</v>
      </c>
      <c r="AE602" s="288" t="s">
        <v>1805</v>
      </c>
      <c r="AF602" s="288" t="s">
        <v>2479</v>
      </c>
      <c r="AG602" s="288" t="s">
        <v>2479</v>
      </c>
      <c r="AH602" s="288" t="s">
        <v>2479</v>
      </c>
      <c r="AI602" s="288" t="s">
        <v>3270</v>
      </c>
      <c r="AJ602" s="303" t="s">
        <v>2191</v>
      </c>
      <c r="AK602" s="288" t="s">
        <v>2479</v>
      </c>
      <c r="AL602" s="303" t="s">
        <v>2190</v>
      </c>
      <c r="AM602" s="288" t="s">
        <v>1975</v>
      </c>
      <c r="AN602" s="207" t="b">
        <v>0</v>
      </c>
      <c r="AY602" s="288" t="s">
        <v>2479</v>
      </c>
      <c r="AZ602" s="288" t="s">
        <v>2479</v>
      </c>
      <c r="BA602" s="288" t="s">
        <v>373</v>
      </c>
      <c r="BB602" s="288" t="s">
        <v>1610</v>
      </c>
      <c r="BC602" s="288" t="s">
        <v>2192</v>
      </c>
    </row>
    <row r="603" spans="1:55" ht="45" customHeight="1">
      <c r="A603" s="269">
        <f t="shared" si="10"/>
        <v>602</v>
      </c>
      <c r="B603" s="284" t="s">
        <v>2778</v>
      </c>
      <c r="C603" s="270" t="s">
        <v>2751</v>
      </c>
      <c r="D603" s="270" t="s">
        <v>8</v>
      </c>
      <c r="E603" s="270" t="s">
        <v>13</v>
      </c>
      <c r="F603" s="270" t="s">
        <v>1567</v>
      </c>
      <c r="G603" s="302">
        <v>44936</v>
      </c>
      <c r="L603" s="270" t="s">
        <v>2479</v>
      </c>
      <c r="M603" s="270" t="s">
        <v>2479</v>
      </c>
      <c r="N603" s="272" t="s">
        <v>122</v>
      </c>
      <c r="O603" s="270" t="s">
        <v>2479</v>
      </c>
      <c r="P603" s="270" t="s">
        <v>1554</v>
      </c>
      <c r="Q603" s="270" t="s">
        <v>2198</v>
      </c>
      <c r="R603" s="306" t="s">
        <v>3280</v>
      </c>
      <c r="S603" s="285">
        <v>2023</v>
      </c>
      <c r="T603" s="270" t="s">
        <v>2001</v>
      </c>
      <c r="U603" s="270" t="s">
        <v>678</v>
      </c>
      <c r="V603" s="270" t="s">
        <v>679</v>
      </c>
      <c r="W603" s="270" t="s">
        <v>145</v>
      </c>
      <c r="X603" s="270" t="s">
        <v>309</v>
      </c>
      <c r="Y603" s="273">
        <v>45078</v>
      </c>
      <c r="Z603" s="288" t="s">
        <v>1875</v>
      </c>
      <c r="AA603" s="288" t="s">
        <v>2479</v>
      </c>
      <c r="AB603" s="288" t="s">
        <v>139</v>
      </c>
      <c r="AC603" s="288" t="s">
        <v>1875</v>
      </c>
      <c r="AD603" s="288" t="s">
        <v>1805</v>
      </c>
      <c r="AE603" s="288" t="s">
        <v>1805</v>
      </c>
      <c r="AF603" s="288" t="s">
        <v>2479</v>
      </c>
      <c r="AG603" s="288" t="s">
        <v>2479</v>
      </c>
      <c r="AH603" s="288" t="s">
        <v>2479</v>
      </c>
      <c r="AI603" s="288" t="s">
        <v>3281</v>
      </c>
      <c r="AJ603" s="303" t="s">
        <v>2191</v>
      </c>
      <c r="AK603" s="288" t="s">
        <v>2479</v>
      </c>
      <c r="AL603" s="303" t="s">
        <v>2190</v>
      </c>
      <c r="AM603" s="288" t="s">
        <v>1975</v>
      </c>
      <c r="AN603" s="207" t="b">
        <v>0</v>
      </c>
      <c r="AY603" s="288" t="s">
        <v>2479</v>
      </c>
      <c r="AZ603" s="288" t="s">
        <v>2479</v>
      </c>
      <c r="BA603" s="288" t="s">
        <v>373</v>
      </c>
      <c r="BB603" s="288" t="s">
        <v>1610</v>
      </c>
      <c r="BC603" s="288" t="s">
        <v>2192</v>
      </c>
    </row>
    <row r="604" spans="1:55" ht="45" customHeight="1">
      <c r="A604" s="269">
        <f t="shared" si="10"/>
        <v>603</v>
      </c>
      <c r="B604" s="284" t="s">
        <v>3125</v>
      </c>
      <c r="C604" s="270" t="s">
        <v>3282</v>
      </c>
      <c r="D604" s="270" t="s">
        <v>8</v>
      </c>
      <c r="E604" s="270" t="s">
        <v>13</v>
      </c>
      <c r="F604" s="270" t="s">
        <v>1567</v>
      </c>
      <c r="G604" s="302">
        <v>44936</v>
      </c>
      <c r="L604" s="270" t="s">
        <v>2479</v>
      </c>
      <c r="M604" s="270" t="s">
        <v>2479</v>
      </c>
      <c r="N604" s="272" t="s">
        <v>122</v>
      </c>
      <c r="O604" s="270" t="s">
        <v>2479</v>
      </c>
      <c r="P604" s="270" t="s">
        <v>1554</v>
      </c>
      <c r="Q604" s="270" t="s">
        <v>2198</v>
      </c>
      <c r="R604" s="306" t="s">
        <v>3283</v>
      </c>
      <c r="S604" s="285">
        <v>2023</v>
      </c>
      <c r="T604" s="270" t="s">
        <v>2001</v>
      </c>
      <c r="U604" s="270" t="s">
        <v>678</v>
      </c>
      <c r="V604" s="270" t="s">
        <v>679</v>
      </c>
      <c r="W604" s="270" t="s">
        <v>145</v>
      </c>
      <c r="X604" s="270" t="s">
        <v>309</v>
      </c>
      <c r="Y604" s="273">
        <v>45078</v>
      </c>
      <c r="Z604" s="288" t="s">
        <v>1875</v>
      </c>
      <c r="AA604" s="288" t="s">
        <v>2479</v>
      </c>
      <c r="AB604" s="288" t="s">
        <v>139</v>
      </c>
      <c r="AC604" s="288" t="s">
        <v>1875</v>
      </c>
      <c r="AD604" s="288" t="s">
        <v>1805</v>
      </c>
      <c r="AE604" s="288" t="s">
        <v>1805</v>
      </c>
      <c r="AF604" s="288" t="s">
        <v>2479</v>
      </c>
      <c r="AG604" s="288" t="s">
        <v>2479</v>
      </c>
      <c r="AH604" s="288" t="s">
        <v>2479</v>
      </c>
      <c r="AI604" s="288" t="s">
        <v>3270</v>
      </c>
      <c r="AJ604" s="303" t="s">
        <v>2191</v>
      </c>
      <c r="AK604" s="288" t="s">
        <v>2479</v>
      </c>
      <c r="AL604" s="303" t="s">
        <v>2190</v>
      </c>
      <c r="AM604" s="288" t="s">
        <v>1975</v>
      </c>
      <c r="AN604" s="207" t="b">
        <v>0</v>
      </c>
      <c r="AY604" s="288" t="s">
        <v>2479</v>
      </c>
      <c r="AZ604" s="288" t="s">
        <v>2479</v>
      </c>
      <c r="BA604" s="288" t="s">
        <v>373</v>
      </c>
      <c r="BB604" s="288" t="s">
        <v>1610</v>
      </c>
      <c r="BC604" s="288" t="s">
        <v>2192</v>
      </c>
    </row>
    <row r="605" spans="1:55" ht="45" customHeight="1">
      <c r="A605" s="269">
        <f t="shared" si="10"/>
        <v>604</v>
      </c>
      <c r="B605" s="284" t="s">
        <v>3128</v>
      </c>
      <c r="C605" s="270" t="s">
        <v>3284</v>
      </c>
      <c r="D605" s="270" t="s">
        <v>8</v>
      </c>
      <c r="E605" s="270" t="s">
        <v>13</v>
      </c>
      <c r="F605" s="270" t="s">
        <v>1567</v>
      </c>
      <c r="G605" s="302">
        <v>44938</v>
      </c>
      <c r="L605" s="270" t="s">
        <v>2479</v>
      </c>
      <c r="M605" s="270" t="s">
        <v>2479</v>
      </c>
      <c r="N605" s="272" t="s">
        <v>122</v>
      </c>
      <c r="O605" s="270" t="s">
        <v>2479</v>
      </c>
      <c r="P605" s="270" t="s">
        <v>1554</v>
      </c>
      <c r="Q605" s="270" t="s">
        <v>2198</v>
      </c>
      <c r="R605" s="306" t="s">
        <v>3285</v>
      </c>
      <c r="S605" s="285">
        <v>2023</v>
      </c>
      <c r="T605" s="270" t="s">
        <v>2001</v>
      </c>
      <c r="U605" s="270" t="s">
        <v>678</v>
      </c>
      <c r="V605" s="270" t="s">
        <v>679</v>
      </c>
      <c r="W605" s="270" t="s">
        <v>145</v>
      </c>
      <c r="X605" s="270" t="s">
        <v>309</v>
      </c>
      <c r="Y605" s="273">
        <v>45078</v>
      </c>
      <c r="Z605" s="288" t="s">
        <v>1875</v>
      </c>
      <c r="AA605" s="288" t="s">
        <v>2479</v>
      </c>
      <c r="AB605" s="288" t="s">
        <v>139</v>
      </c>
      <c r="AC605" s="288" t="s">
        <v>1875</v>
      </c>
      <c r="AD605" s="288" t="s">
        <v>1805</v>
      </c>
      <c r="AE605" s="288" t="s">
        <v>1805</v>
      </c>
      <c r="AF605" s="288" t="s">
        <v>2479</v>
      </c>
      <c r="AG605" s="288" t="s">
        <v>2479</v>
      </c>
      <c r="AH605" s="288" t="s">
        <v>2479</v>
      </c>
      <c r="AI605" s="288" t="s">
        <v>2869</v>
      </c>
      <c r="AJ605" s="303" t="s">
        <v>2191</v>
      </c>
      <c r="AK605" s="288" t="s">
        <v>2479</v>
      </c>
      <c r="AL605" s="303" t="s">
        <v>2190</v>
      </c>
      <c r="AM605" s="288" t="s">
        <v>1975</v>
      </c>
      <c r="AN605" s="207" t="b">
        <v>0</v>
      </c>
      <c r="AY605" s="288" t="s">
        <v>2479</v>
      </c>
      <c r="AZ605" s="288" t="s">
        <v>2479</v>
      </c>
      <c r="BA605" s="288" t="s">
        <v>373</v>
      </c>
      <c r="BB605" s="288" t="s">
        <v>1610</v>
      </c>
      <c r="BC605" s="288" t="s">
        <v>2192</v>
      </c>
    </row>
    <row r="606" spans="1:55" ht="45" customHeight="1">
      <c r="A606" s="269">
        <f t="shared" si="10"/>
        <v>605</v>
      </c>
      <c r="B606" s="284" t="s">
        <v>3042</v>
      </c>
      <c r="C606" s="270" t="s">
        <v>3286</v>
      </c>
      <c r="D606" s="270" t="s">
        <v>8</v>
      </c>
      <c r="E606" s="270" t="s">
        <v>13</v>
      </c>
      <c r="F606" s="270" t="s">
        <v>1567</v>
      </c>
      <c r="G606" s="302">
        <v>44938</v>
      </c>
      <c r="L606" s="270" t="s">
        <v>2479</v>
      </c>
      <c r="M606" s="270" t="s">
        <v>2479</v>
      </c>
      <c r="N606" s="272" t="s">
        <v>122</v>
      </c>
      <c r="O606" s="270" t="s">
        <v>2479</v>
      </c>
      <c r="P606" s="270" t="s">
        <v>1554</v>
      </c>
      <c r="Q606" s="270" t="s">
        <v>2198</v>
      </c>
      <c r="R606" s="306" t="s">
        <v>3287</v>
      </c>
      <c r="S606" s="285">
        <v>2023</v>
      </c>
      <c r="T606" s="270" t="s">
        <v>2001</v>
      </c>
      <c r="U606" s="270" t="s">
        <v>678</v>
      </c>
      <c r="V606" s="270" t="s">
        <v>679</v>
      </c>
      <c r="W606" s="270" t="s">
        <v>145</v>
      </c>
      <c r="X606" s="270" t="s">
        <v>309</v>
      </c>
      <c r="Y606" s="273">
        <v>45078</v>
      </c>
      <c r="Z606" s="288" t="s">
        <v>1875</v>
      </c>
      <c r="AA606" s="288" t="s">
        <v>2479</v>
      </c>
      <c r="AB606" s="288" t="s">
        <v>139</v>
      </c>
      <c r="AC606" s="288" t="s">
        <v>1875</v>
      </c>
      <c r="AD606" s="288" t="s">
        <v>1805</v>
      </c>
      <c r="AE606" s="288" t="s">
        <v>1805</v>
      </c>
      <c r="AF606" s="288" t="s">
        <v>2479</v>
      </c>
      <c r="AG606" s="288" t="s">
        <v>2479</v>
      </c>
      <c r="AH606" s="288" t="s">
        <v>2479</v>
      </c>
      <c r="AI606" s="288" t="s">
        <v>3261</v>
      </c>
      <c r="AJ606" s="303" t="s">
        <v>2191</v>
      </c>
      <c r="AK606" s="288" t="s">
        <v>2479</v>
      </c>
      <c r="AL606" s="303" t="s">
        <v>2190</v>
      </c>
      <c r="AM606" s="288" t="s">
        <v>1975</v>
      </c>
      <c r="AN606" s="207" t="b">
        <v>0</v>
      </c>
      <c r="AY606" s="288" t="s">
        <v>2479</v>
      </c>
      <c r="AZ606" s="288" t="s">
        <v>2479</v>
      </c>
      <c r="BA606" s="288" t="s">
        <v>373</v>
      </c>
      <c r="BB606" s="288" t="s">
        <v>1610</v>
      </c>
      <c r="BC606" s="288" t="s">
        <v>2192</v>
      </c>
    </row>
    <row r="607" spans="1:55" ht="45" customHeight="1">
      <c r="A607" s="269">
        <f t="shared" si="10"/>
        <v>606</v>
      </c>
      <c r="B607" s="284" t="s">
        <v>3291</v>
      </c>
      <c r="C607" s="270" t="s">
        <v>3292</v>
      </c>
      <c r="D607" s="270" t="s">
        <v>8</v>
      </c>
      <c r="E607" s="270" t="s">
        <v>13</v>
      </c>
      <c r="F607" s="270" t="s">
        <v>1567</v>
      </c>
      <c r="G607" s="302">
        <v>44939</v>
      </c>
      <c r="L607" s="270" t="s">
        <v>2479</v>
      </c>
      <c r="M607" s="270" t="s">
        <v>2479</v>
      </c>
      <c r="N607" s="272" t="s">
        <v>122</v>
      </c>
      <c r="O607" s="270" t="s">
        <v>2479</v>
      </c>
      <c r="P607" s="270" t="s">
        <v>1554</v>
      </c>
      <c r="Q607" s="270" t="s">
        <v>2198</v>
      </c>
      <c r="R607" s="306" t="s">
        <v>3293</v>
      </c>
      <c r="S607" s="285">
        <v>2023</v>
      </c>
      <c r="T607" s="270" t="s">
        <v>2001</v>
      </c>
      <c r="U607" s="270" t="s">
        <v>678</v>
      </c>
      <c r="V607" s="270" t="s">
        <v>679</v>
      </c>
      <c r="W607" s="270" t="s">
        <v>145</v>
      </c>
      <c r="X607" s="270" t="s">
        <v>309</v>
      </c>
      <c r="Y607" s="273">
        <v>45078</v>
      </c>
      <c r="Z607" s="288" t="s">
        <v>1875</v>
      </c>
      <c r="AA607" s="288" t="s">
        <v>2479</v>
      </c>
      <c r="AB607" s="288" t="s">
        <v>139</v>
      </c>
      <c r="AC607" s="288" t="s">
        <v>1875</v>
      </c>
      <c r="AD607" s="288" t="s">
        <v>1805</v>
      </c>
      <c r="AE607" s="288" t="s">
        <v>1805</v>
      </c>
      <c r="AF607" s="288" t="s">
        <v>2479</v>
      </c>
      <c r="AG607" s="288" t="s">
        <v>2479</v>
      </c>
      <c r="AH607" s="288" t="s">
        <v>2479</v>
      </c>
      <c r="AI607" s="288" t="s">
        <v>3258</v>
      </c>
      <c r="AJ607" s="303" t="s">
        <v>2191</v>
      </c>
      <c r="AK607" s="288" t="s">
        <v>2479</v>
      </c>
      <c r="AL607" s="303" t="s">
        <v>2190</v>
      </c>
      <c r="AM607" s="288" t="s">
        <v>1975</v>
      </c>
      <c r="AN607" s="207" t="b">
        <v>0</v>
      </c>
      <c r="AY607" s="288" t="s">
        <v>2479</v>
      </c>
      <c r="AZ607" s="288" t="s">
        <v>2479</v>
      </c>
      <c r="BA607" s="288" t="s">
        <v>373</v>
      </c>
      <c r="BB607" s="288" t="s">
        <v>1610</v>
      </c>
      <c r="BC607" s="288" t="s">
        <v>2192</v>
      </c>
    </row>
    <row r="608" spans="1:55" ht="45" customHeight="1">
      <c r="A608" s="269">
        <f t="shared" si="10"/>
        <v>607</v>
      </c>
      <c r="B608" s="284" t="s">
        <v>3294</v>
      </c>
      <c r="C608" s="270" t="s">
        <v>3295</v>
      </c>
      <c r="D608" s="270" t="s">
        <v>8</v>
      </c>
      <c r="E608" s="270" t="s">
        <v>13</v>
      </c>
      <c r="F608" s="270" t="s">
        <v>1567</v>
      </c>
      <c r="G608" s="302">
        <v>44939</v>
      </c>
      <c r="L608" s="270" t="s">
        <v>2479</v>
      </c>
      <c r="M608" s="270" t="s">
        <v>2479</v>
      </c>
      <c r="N608" s="272" t="s">
        <v>122</v>
      </c>
      <c r="O608" s="270" t="s">
        <v>2479</v>
      </c>
      <c r="P608" s="270" t="s">
        <v>1554</v>
      </c>
      <c r="Q608" s="270" t="s">
        <v>2198</v>
      </c>
      <c r="R608" s="306" t="s">
        <v>3296</v>
      </c>
      <c r="S608" s="285">
        <v>2023</v>
      </c>
      <c r="T608" s="270" t="s">
        <v>2001</v>
      </c>
      <c r="U608" s="270" t="s">
        <v>678</v>
      </c>
      <c r="V608" s="270" t="s">
        <v>679</v>
      </c>
      <c r="W608" s="270" t="s">
        <v>145</v>
      </c>
      <c r="X608" s="270" t="s">
        <v>309</v>
      </c>
      <c r="Y608" s="273">
        <v>45078</v>
      </c>
      <c r="Z608" s="288" t="s">
        <v>1875</v>
      </c>
      <c r="AA608" s="288" t="s">
        <v>2479</v>
      </c>
      <c r="AB608" s="288" t="s">
        <v>139</v>
      </c>
      <c r="AC608" s="288" t="s">
        <v>1875</v>
      </c>
      <c r="AD608" s="288" t="s">
        <v>1805</v>
      </c>
      <c r="AE608" s="288" t="s">
        <v>1805</v>
      </c>
      <c r="AF608" s="288" t="s">
        <v>2479</v>
      </c>
      <c r="AG608" s="288" t="s">
        <v>2479</v>
      </c>
      <c r="AH608" s="288" t="s">
        <v>2479</v>
      </c>
      <c r="AI608" s="288" t="s">
        <v>3297</v>
      </c>
      <c r="AJ608" s="303" t="s">
        <v>2191</v>
      </c>
      <c r="AK608" s="288" t="s">
        <v>2479</v>
      </c>
      <c r="AL608" s="303" t="s">
        <v>2190</v>
      </c>
      <c r="AM608" s="288" t="s">
        <v>1975</v>
      </c>
      <c r="AN608" s="207" t="b">
        <v>0</v>
      </c>
      <c r="AY608" s="288" t="s">
        <v>2479</v>
      </c>
      <c r="AZ608" s="288" t="s">
        <v>2479</v>
      </c>
      <c r="BA608" s="288" t="s">
        <v>373</v>
      </c>
      <c r="BB608" s="288" t="s">
        <v>1610</v>
      </c>
      <c r="BC608" s="288" t="s">
        <v>2192</v>
      </c>
    </row>
    <row r="609" spans="1:55" ht="45" customHeight="1">
      <c r="A609" s="269">
        <f t="shared" si="10"/>
        <v>608</v>
      </c>
      <c r="B609" s="284" t="s">
        <v>3298</v>
      </c>
      <c r="C609" s="270" t="s">
        <v>3299</v>
      </c>
      <c r="D609" s="270" t="s">
        <v>8</v>
      </c>
      <c r="E609" s="270" t="s">
        <v>13</v>
      </c>
      <c r="F609" s="270" t="s">
        <v>1567</v>
      </c>
      <c r="G609" s="302">
        <v>44939</v>
      </c>
      <c r="L609" s="270" t="s">
        <v>2479</v>
      </c>
      <c r="M609" s="270" t="s">
        <v>2479</v>
      </c>
      <c r="N609" s="272" t="s">
        <v>122</v>
      </c>
      <c r="O609" s="270" t="s">
        <v>2479</v>
      </c>
      <c r="P609" s="270" t="s">
        <v>1554</v>
      </c>
      <c r="Q609" s="270" t="s">
        <v>2198</v>
      </c>
      <c r="R609" s="306" t="s">
        <v>3300</v>
      </c>
      <c r="S609" s="285">
        <v>2023</v>
      </c>
      <c r="T609" s="270" t="s">
        <v>2001</v>
      </c>
      <c r="U609" s="270" t="s">
        <v>678</v>
      </c>
      <c r="V609" s="270" t="s">
        <v>679</v>
      </c>
      <c r="W609" s="270" t="s">
        <v>145</v>
      </c>
      <c r="X609" s="270" t="s">
        <v>309</v>
      </c>
      <c r="Y609" s="273">
        <v>45078</v>
      </c>
      <c r="Z609" s="288" t="s">
        <v>1875</v>
      </c>
      <c r="AA609" s="288" t="s">
        <v>2479</v>
      </c>
      <c r="AB609" s="288" t="s">
        <v>139</v>
      </c>
      <c r="AC609" s="288" t="s">
        <v>1875</v>
      </c>
      <c r="AD609" s="288" t="s">
        <v>1805</v>
      </c>
      <c r="AE609" s="288" t="s">
        <v>1805</v>
      </c>
      <c r="AF609" s="288" t="s">
        <v>2479</v>
      </c>
      <c r="AG609" s="288" t="s">
        <v>2479</v>
      </c>
      <c r="AH609" s="288" t="s">
        <v>2479</v>
      </c>
      <c r="AI609" s="288" t="s">
        <v>3258</v>
      </c>
      <c r="AJ609" s="303" t="s">
        <v>2191</v>
      </c>
      <c r="AK609" s="288" t="s">
        <v>2479</v>
      </c>
      <c r="AL609" s="303" t="s">
        <v>2190</v>
      </c>
      <c r="AM609" s="288" t="s">
        <v>1975</v>
      </c>
      <c r="AN609" s="207" t="b">
        <v>0</v>
      </c>
      <c r="AY609" s="288" t="s">
        <v>2479</v>
      </c>
      <c r="AZ609" s="288" t="s">
        <v>2479</v>
      </c>
      <c r="BA609" s="288" t="s">
        <v>373</v>
      </c>
      <c r="BB609" s="288" t="s">
        <v>1610</v>
      </c>
      <c r="BC609" s="288" t="s">
        <v>2192</v>
      </c>
    </row>
    <row r="610" spans="1:55" ht="45" customHeight="1">
      <c r="A610" s="269">
        <f t="shared" si="10"/>
        <v>609</v>
      </c>
      <c r="B610" s="284" t="s">
        <v>3288</v>
      </c>
      <c r="C610" s="270" t="s">
        <v>3289</v>
      </c>
      <c r="D610" s="270" t="s">
        <v>8</v>
      </c>
      <c r="E610" s="270" t="s">
        <v>13</v>
      </c>
      <c r="F610" s="270" t="s">
        <v>1567</v>
      </c>
      <c r="G610" s="302">
        <v>44940</v>
      </c>
      <c r="L610" s="270" t="s">
        <v>2479</v>
      </c>
      <c r="M610" s="270" t="s">
        <v>2479</v>
      </c>
      <c r="N610" s="272" t="s">
        <v>122</v>
      </c>
      <c r="O610" s="270" t="s">
        <v>2479</v>
      </c>
      <c r="P610" s="270" t="s">
        <v>1554</v>
      </c>
      <c r="Q610" s="270" t="s">
        <v>2198</v>
      </c>
      <c r="R610" s="306" t="s">
        <v>3290</v>
      </c>
      <c r="S610" s="285">
        <v>2023</v>
      </c>
      <c r="T610" s="270" t="s">
        <v>2001</v>
      </c>
      <c r="U610" s="270" t="s">
        <v>678</v>
      </c>
      <c r="V610" s="270" t="s">
        <v>679</v>
      </c>
      <c r="W610" s="270" t="s">
        <v>145</v>
      </c>
      <c r="X610" s="270" t="s">
        <v>309</v>
      </c>
      <c r="Y610" s="273">
        <v>45078</v>
      </c>
      <c r="Z610" s="288" t="s">
        <v>1875</v>
      </c>
      <c r="AA610" s="288" t="s">
        <v>2479</v>
      </c>
      <c r="AB610" s="288" t="s">
        <v>139</v>
      </c>
      <c r="AC610" s="288" t="s">
        <v>1875</v>
      </c>
      <c r="AD610" s="288" t="s">
        <v>1805</v>
      </c>
      <c r="AE610" s="288" t="s">
        <v>1805</v>
      </c>
      <c r="AF610" s="288" t="s">
        <v>2479</v>
      </c>
      <c r="AG610" s="288" t="s">
        <v>2479</v>
      </c>
      <c r="AH610" s="288" t="s">
        <v>2479</v>
      </c>
      <c r="AI610" s="288" t="s">
        <v>3270</v>
      </c>
      <c r="AJ610" s="303" t="s">
        <v>2191</v>
      </c>
      <c r="AK610" s="288" t="s">
        <v>2479</v>
      </c>
      <c r="AL610" s="303" t="s">
        <v>2190</v>
      </c>
      <c r="AM610" s="288" t="s">
        <v>1975</v>
      </c>
      <c r="AN610" s="207" t="b">
        <v>0</v>
      </c>
      <c r="AY610" s="288" t="s">
        <v>2479</v>
      </c>
      <c r="AZ610" s="288" t="s">
        <v>2479</v>
      </c>
      <c r="BA610" s="288" t="s">
        <v>373</v>
      </c>
      <c r="BB610" s="288" t="s">
        <v>1610</v>
      </c>
      <c r="BC610" s="288" t="s">
        <v>2192</v>
      </c>
    </row>
    <row r="611" spans="1:55" ht="45" customHeight="1">
      <c r="A611" s="269">
        <f t="shared" si="10"/>
        <v>610</v>
      </c>
      <c r="B611" s="284" t="s">
        <v>3301</v>
      </c>
      <c r="C611" s="270" t="s">
        <v>3275</v>
      </c>
      <c r="D611" s="270" t="s">
        <v>8</v>
      </c>
      <c r="E611" s="270" t="s">
        <v>13</v>
      </c>
      <c r="F611" s="270" t="s">
        <v>1567</v>
      </c>
      <c r="G611" s="302">
        <v>44949</v>
      </c>
      <c r="L611" s="270" t="s">
        <v>2479</v>
      </c>
      <c r="M611" s="270" t="s">
        <v>2479</v>
      </c>
      <c r="N611" s="272" t="s">
        <v>122</v>
      </c>
      <c r="O611" s="270" t="s">
        <v>2479</v>
      </c>
      <c r="P611" s="270" t="s">
        <v>1554</v>
      </c>
      <c r="Q611" s="270" t="s">
        <v>2198</v>
      </c>
      <c r="R611" s="306">
        <v>44959.445509259262</v>
      </c>
      <c r="S611" s="285">
        <v>2023</v>
      </c>
      <c r="T611" s="270" t="s">
        <v>2001</v>
      </c>
      <c r="U611" s="270" t="s">
        <v>678</v>
      </c>
      <c r="V611" s="270" t="s">
        <v>679</v>
      </c>
      <c r="W611" s="270" t="s">
        <v>145</v>
      </c>
      <c r="X611" s="270" t="s">
        <v>309</v>
      </c>
      <c r="Y611" s="273">
        <v>45078</v>
      </c>
      <c r="Z611" s="288" t="s">
        <v>1875</v>
      </c>
      <c r="AA611" s="288" t="s">
        <v>2873</v>
      </c>
      <c r="AB611" s="288" t="s">
        <v>139</v>
      </c>
      <c r="AC611" s="288" t="s">
        <v>1875</v>
      </c>
      <c r="AD611" s="288" t="s">
        <v>1805</v>
      </c>
      <c r="AE611" s="288" t="s">
        <v>1805</v>
      </c>
      <c r="AF611" s="288" t="s">
        <v>3013</v>
      </c>
      <c r="AG611" s="288" t="s">
        <v>2479</v>
      </c>
      <c r="AH611" s="288" t="s">
        <v>2479</v>
      </c>
      <c r="AI611" s="288" t="s">
        <v>3281</v>
      </c>
      <c r="AJ611" s="303">
        <v>44967</v>
      </c>
      <c r="AK611" s="288" t="s">
        <v>3386</v>
      </c>
      <c r="AL611" s="303">
        <v>44884</v>
      </c>
      <c r="AM611" s="288" t="s">
        <v>1975</v>
      </c>
      <c r="AN611" s="207" t="b">
        <v>1</v>
      </c>
      <c r="AO611" s="303">
        <v>44938</v>
      </c>
      <c r="AP611" s="290">
        <v>1</v>
      </c>
      <c r="AQ611" s="290">
        <v>0</v>
      </c>
      <c r="AR611" s="290">
        <v>0</v>
      </c>
      <c r="AS611" s="290">
        <v>1</v>
      </c>
      <c r="AT611" s="290">
        <v>0</v>
      </c>
      <c r="AU611" s="290">
        <v>12</v>
      </c>
      <c r="AV611" s="303">
        <v>44949</v>
      </c>
      <c r="AW611" s="207">
        <v>2</v>
      </c>
      <c r="AX611" s="207">
        <v>1</v>
      </c>
      <c r="AY611" s="288" t="s">
        <v>1989</v>
      </c>
      <c r="AZ611" s="288" t="s">
        <v>2479</v>
      </c>
      <c r="BA611" s="288" t="s">
        <v>373</v>
      </c>
      <c r="BB611" s="288" t="s">
        <v>1610</v>
      </c>
      <c r="BC611" s="288" t="s">
        <v>2192</v>
      </c>
    </row>
    <row r="612" spans="1:55" ht="45" customHeight="1">
      <c r="A612" s="269">
        <f t="shared" si="10"/>
        <v>611</v>
      </c>
      <c r="B612" s="284" t="s">
        <v>2697</v>
      </c>
      <c r="C612" s="270" t="s">
        <v>3302</v>
      </c>
      <c r="D612" s="270" t="s">
        <v>8</v>
      </c>
      <c r="E612" s="270" t="s">
        <v>13</v>
      </c>
      <c r="F612" s="270" t="s">
        <v>1567</v>
      </c>
      <c r="G612" s="302">
        <v>44954</v>
      </c>
      <c r="L612" s="270" t="s">
        <v>2479</v>
      </c>
      <c r="M612" s="270" t="s">
        <v>2479</v>
      </c>
      <c r="N612" s="272" t="s">
        <v>122</v>
      </c>
      <c r="O612" s="270" t="s">
        <v>2479</v>
      </c>
      <c r="P612" s="270" t="s">
        <v>1554</v>
      </c>
      <c r="Q612" s="270" t="s">
        <v>2198</v>
      </c>
      <c r="R612" s="306" t="s">
        <v>3303</v>
      </c>
      <c r="S612" s="285">
        <v>2023</v>
      </c>
      <c r="T612" s="270" t="s">
        <v>2001</v>
      </c>
      <c r="U612" s="270" t="s">
        <v>678</v>
      </c>
      <c r="V612" s="270" t="s">
        <v>679</v>
      </c>
      <c r="W612" s="270" t="s">
        <v>145</v>
      </c>
      <c r="X612" s="270" t="s">
        <v>309</v>
      </c>
      <c r="Y612" s="273">
        <v>45078</v>
      </c>
      <c r="Z612" s="288" t="s">
        <v>1875</v>
      </c>
      <c r="AA612" s="288" t="s">
        <v>2479</v>
      </c>
      <c r="AB612" s="288" t="s">
        <v>139</v>
      </c>
      <c r="AC612" s="288" t="s">
        <v>1875</v>
      </c>
      <c r="AD612" s="288" t="s">
        <v>1805</v>
      </c>
      <c r="AE612" s="288" t="s">
        <v>1805</v>
      </c>
      <c r="AF612" s="288" t="s">
        <v>2479</v>
      </c>
      <c r="AG612" s="288" t="s">
        <v>2479</v>
      </c>
      <c r="AH612" s="288" t="s">
        <v>2479</v>
      </c>
      <c r="AI612" s="288" t="s">
        <v>2864</v>
      </c>
      <c r="AJ612" s="303" t="s">
        <v>2191</v>
      </c>
      <c r="AK612" s="288" t="s">
        <v>2479</v>
      </c>
      <c r="AL612" s="303" t="s">
        <v>2190</v>
      </c>
      <c r="AM612" s="288" t="s">
        <v>1975</v>
      </c>
      <c r="AN612" s="207" t="b">
        <v>0</v>
      </c>
      <c r="AY612" s="288" t="s">
        <v>2479</v>
      </c>
      <c r="AZ612" s="288" t="s">
        <v>2479</v>
      </c>
      <c r="BA612" s="288" t="s">
        <v>373</v>
      </c>
      <c r="BB612" s="288" t="s">
        <v>1610</v>
      </c>
      <c r="BC612" s="288" t="s">
        <v>2192</v>
      </c>
    </row>
    <row r="613" spans="1:55" ht="45" customHeight="1">
      <c r="A613" s="269">
        <f t="shared" si="10"/>
        <v>612</v>
      </c>
      <c r="B613" s="284" t="s">
        <v>2699</v>
      </c>
      <c r="C613" s="270" t="s">
        <v>3304</v>
      </c>
      <c r="D613" s="270" t="s">
        <v>8</v>
      </c>
      <c r="E613" s="270" t="s">
        <v>13</v>
      </c>
      <c r="F613" s="270" t="s">
        <v>1567</v>
      </c>
      <c r="G613" s="302">
        <v>44954</v>
      </c>
      <c r="L613" s="270" t="s">
        <v>2479</v>
      </c>
      <c r="M613" s="270" t="s">
        <v>2479</v>
      </c>
      <c r="N613" s="272" t="s">
        <v>122</v>
      </c>
      <c r="O613" s="270" t="s">
        <v>2479</v>
      </c>
      <c r="P613" s="270" t="s">
        <v>1554</v>
      </c>
      <c r="Q613" s="270" t="s">
        <v>2198</v>
      </c>
      <c r="R613" s="306" t="s">
        <v>3305</v>
      </c>
      <c r="S613" s="285">
        <v>2023</v>
      </c>
      <c r="T613" s="270" t="s">
        <v>2001</v>
      </c>
      <c r="U613" s="270" t="s">
        <v>678</v>
      </c>
      <c r="V613" s="270" t="s">
        <v>679</v>
      </c>
      <c r="W613" s="270" t="s">
        <v>145</v>
      </c>
      <c r="X613" s="270" t="s">
        <v>309</v>
      </c>
      <c r="Y613" s="273">
        <v>45078</v>
      </c>
      <c r="Z613" s="288" t="s">
        <v>1875</v>
      </c>
      <c r="AA613" s="288" t="s">
        <v>2479</v>
      </c>
      <c r="AB613" s="288" t="s">
        <v>139</v>
      </c>
      <c r="AC613" s="288" t="s">
        <v>1875</v>
      </c>
      <c r="AD613" s="288" t="s">
        <v>1805</v>
      </c>
      <c r="AE613" s="288" t="s">
        <v>1805</v>
      </c>
      <c r="AF613" s="288" t="s">
        <v>2479</v>
      </c>
      <c r="AG613" s="288" t="s">
        <v>2479</v>
      </c>
      <c r="AH613" s="288" t="s">
        <v>2479</v>
      </c>
      <c r="AI613" s="288" t="s">
        <v>3281</v>
      </c>
      <c r="AJ613" s="303" t="s">
        <v>2191</v>
      </c>
      <c r="AK613" s="288" t="s">
        <v>2479</v>
      </c>
      <c r="AL613" s="303" t="s">
        <v>2190</v>
      </c>
      <c r="AM613" s="288" t="s">
        <v>1975</v>
      </c>
      <c r="AN613" s="207" t="b">
        <v>0</v>
      </c>
      <c r="AY613" s="288" t="s">
        <v>2479</v>
      </c>
      <c r="AZ613" s="288" t="s">
        <v>2479</v>
      </c>
      <c r="BA613" s="288" t="s">
        <v>373</v>
      </c>
      <c r="BB613" s="288" t="s">
        <v>1610</v>
      </c>
      <c r="BC613" s="288" t="s">
        <v>2192</v>
      </c>
    </row>
    <row r="614" spans="1:55" ht="45" customHeight="1">
      <c r="A614" s="269">
        <f t="shared" si="10"/>
        <v>613</v>
      </c>
      <c r="B614" s="284" t="s">
        <v>2745</v>
      </c>
      <c r="C614" s="270" t="s">
        <v>3444</v>
      </c>
      <c r="D614" s="270" t="s">
        <v>8</v>
      </c>
      <c r="E614" s="270" t="s">
        <v>13</v>
      </c>
      <c r="F614" s="270" t="s">
        <v>1567</v>
      </c>
      <c r="G614" s="302">
        <v>44971</v>
      </c>
      <c r="L614" s="270" t="s">
        <v>2479</v>
      </c>
      <c r="M614" s="270" t="s">
        <v>2479</v>
      </c>
      <c r="N614" s="272" t="s">
        <v>122</v>
      </c>
      <c r="O614" s="270" t="s">
        <v>2479</v>
      </c>
      <c r="P614" s="270" t="s">
        <v>1554</v>
      </c>
      <c r="Q614" s="270" t="s">
        <v>2198</v>
      </c>
      <c r="R614" s="306" t="s">
        <v>3445</v>
      </c>
      <c r="S614" s="285">
        <v>2023</v>
      </c>
      <c r="T614" s="270" t="s">
        <v>2001</v>
      </c>
      <c r="U614" s="270" t="s">
        <v>678</v>
      </c>
      <c r="V614" s="270" t="s">
        <v>679</v>
      </c>
      <c r="W614" s="270" t="s">
        <v>145</v>
      </c>
      <c r="X614" s="270" t="s">
        <v>309</v>
      </c>
      <c r="Y614" s="273">
        <v>45078</v>
      </c>
      <c r="Z614" s="288" t="s">
        <v>1875</v>
      </c>
      <c r="AA614" s="288" t="s">
        <v>2886</v>
      </c>
      <c r="AB614" s="288" t="s">
        <v>139</v>
      </c>
      <c r="AC614" s="288" t="s">
        <v>1875</v>
      </c>
      <c r="AD614" s="288" t="s">
        <v>1805</v>
      </c>
      <c r="AE614" s="288" t="s">
        <v>1805</v>
      </c>
      <c r="AF614" s="288" t="s">
        <v>2479</v>
      </c>
      <c r="AG614" s="288" t="s">
        <v>2479</v>
      </c>
      <c r="AH614" s="288" t="s">
        <v>2479</v>
      </c>
      <c r="AI614" s="288" t="s">
        <v>2864</v>
      </c>
      <c r="AJ614" s="303" t="s">
        <v>2191</v>
      </c>
      <c r="AK614" s="288" t="s">
        <v>3073</v>
      </c>
      <c r="AL614" s="303">
        <v>44934</v>
      </c>
      <c r="AM614" s="288" t="s">
        <v>1975</v>
      </c>
      <c r="AN614" s="207" t="b">
        <v>0</v>
      </c>
      <c r="AY614" s="288" t="s">
        <v>2479</v>
      </c>
      <c r="AZ614" s="288" t="s">
        <v>2479</v>
      </c>
      <c r="BA614" s="288" t="s">
        <v>373</v>
      </c>
      <c r="BB614" s="288" t="s">
        <v>1610</v>
      </c>
      <c r="BC614" s="288" t="s">
        <v>2192</v>
      </c>
    </row>
    <row r="615" spans="1:55" ht="45" customHeight="1">
      <c r="A615" s="269">
        <f t="shared" ref="A615:A646" si="11">ROW()-1</f>
        <v>614</v>
      </c>
      <c r="B615" s="284" t="s">
        <v>3505</v>
      </c>
      <c r="C615" s="270" t="s">
        <v>3506</v>
      </c>
      <c r="D615" s="270" t="s">
        <v>8</v>
      </c>
      <c r="E615" s="270" t="s">
        <v>13</v>
      </c>
      <c r="F615" s="270" t="s">
        <v>1567</v>
      </c>
      <c r="G615" s="302">
        <v>44984</v>
      </c>
      <c r="L615" s="270" t="s">
        <v>2479</v>
      </c>
      <c r="M615" s="270" t="s">
        <v>2479</v>
      </c>
      <c r="N615" s="272" t="s">
        <v>122</v>
      </c>
      <c r="O615" s="270" t="s">
        <v>2479</v>
      </c>
      <c r="P615" s="270" t="s">
        <v>1554</v>
      </c>
      <c r="Q615" s="270" t="s">
        <v>2198</v>
      </c>
      <c r="R615" s="306">
        <v>44929.445625</v>
      </c>
      <c r="S615" s="285">
        <v>2023</v>
      </c>
      <c r="T615" s="270" t="s">
        <v>2001</v>
      </c>
      <c r="U615" s="270" t="s">
        <v>678</v>
      </c>
      <c r="V615" s="270" t="s">
        <v>679</v>
      </c>
      <c r="W615" s="270" t="s">
        <v>145</v>
      </c>
      <c r="X615" s="270" t="s">
        <v>309</v>
      </c>
      <c r="Y615" s="273">
        <v>45078</v>
      </c>
      <c r="Z615" s="288" t="s">
        <v>1875</v>
      </c>
      <c r="AA615" s="288" t="s">
        <v>2479</v>
      </c>
      <c r="AB615" s="288" t="s">
        <v>139</v>
      </c>
      <c r="AC615" s="288" t="s">
        <v>1875</v>
      </c>
      <c r="AD615" s="288" t="s">
        <v>1805</v>
      </c>
      <c r="AE615" s="288" t="s">
        <v>1805</v>
      </c>
      <c r="AF615" s="288" t="s">
        <v>2479</v>
      </c>
      <c r="AG615" s="288" t="s">
        <v>2479</v>
      </c>
      <c r="AH615" s="288" t="s">
        <v>2479</v>
      </c>
      <c r="AI615" s="288" t="s">
        <v>2479</v>
      </c>
      <c r="AJ615" s="303" t="s">
        <v>2191</v>
      </c>
      <c r="AK615" s="288" t="s">
        <v>2479</v>
      </c>
      <c r="AL615" s="303" t="s">
        <v>2190</v>
      </c>
      <c r="AM615" s="288" t="s">
        <v>1975</v>
      </c>
      <c r="AN615" s="207" t="b">
        <v>0</v>
      </c>
      <c r="AY615" s="288" t="s">
        <v>2479</v>
      </c>
      <c r="AZ615" s="288" t="s">
        <v>2479</v>
      </c>
      <c r="BA615" s="288" t="s">
        <v>373</v>
      </c>
      <c r="BB615" s="288" t="s">
        <v>1610</v>
      </c>
      <c r="BC615" s="288" t="s">
        <v>2192</v>
      </c>
    </row>
    <row r="616" spans="1:55" ht="45" customHeight="1">
      <c r="A616" s="269">
        <f t="shared" si="11"/>
        <v>615</v>
      </c>
      <c r="B616" s="284" t="s">
        <v>3503</v>
      </c>
      <c r="C616" s="270" t="s">
        <v>3504</v>
      </c>
      <c r="D616" s="270" t="s">
        <v>8</v>
      </c>
      <c r="E616" s="270" t="s">
        <v>13</v>
      </c>
      <c r="F616" s="270" t="s">
        <v>1567</v>
      </c>
      <c r="G616" s="302">
        <v>44984</v>
      </c>
      <c r="L616" s="270" t="s">
        <v>2479</v>
      </c>
      <c r="M616" s="270" t="s">
        <v>2479</v>
      </c>
      <c r="N616" s="272" t="s">
        <v>122</v>
      </c>
      <c r="O616" s="270" t="s">
        <v>2479</v>
      </c>
      <c r="P616" s="270" t="s">
        <v>1554</v>
      </c>
      <c r="Q616" s="270" t="s">
        <v>2198</v>
      </c>
      <c r="R616" s="306">
        <v>44929.444456018522</v>
      </c>
      <c r="S616" s="285">
        <v>2023</v>
      </c>
      <c r="T616" s="270" t="s">
        <v>2001</v>
      </c>
      <c r="U616" s="270" t="s">
        <v>678</v>
      </c>
      <c r="V616" s="270" t="s">
        <v>679</v>
      </c>
      <c r="W616" s="270" t="s">
        <v>145</v>
      </c>
      <c r="X616" s="270" t="s">
        <v>309</v>
      </c>
      <c r="Y616" s="273">
        <v>45078</v>
      </c>
      <c r="Z616" s="288" t="s">
        <v>1875</v>
      </c>
      <c r="AA616" s="288" t="s">
        <v>2479</v>
      </c>
      <c r="AB616" s="288" t="s">
        <v>139</v>
      </c>
      <c r="AC616" s="288" t="s">
        <v>1875</v>
      </c>
      <c r="AD616" s="288" t="s">
        <v>1805</v>
      </c>
      <c r="AE616" s="288" t="s">
        <v>1805</v>
      </c>
      <c r="AF616" s="288" t="s">
        <v>2479</v>
      </c>
      <c r="AG616" s="288" t="s">
        <v>2479</v>
      </c>
      <c r="AH616" s="288" t="s">
        <v>2479</v>
      </c>
      <c r="AI616" s="288" t="s">
        <v>2479</v>
      </c>
      <c r="AJ616" s="303" t="s">
        <v>2191</v>
      </c>
      <c r="AK616" s="288" t="s">
        <v>2479</v>
      </c>
      <c r="AL616" s="303" t="s">
        <v>2190</v>
      </c>
      <c r="AM616" s="288" t="s">
        <v>1975</v>
      </c>
      <c r="AN616" s="207" t="b">
        <v>0</v>
      </c>
      <c r="AY616" s="288" t="s">
        <v>2479</v>
      </c>
      <c r="AZ616" s="288" t="s">
        <v>2479</v>
      </c>
      <c r="BA616" s="288" t="s">
        <v>373</v>
      </c>
      <c r="BB616" s="288" t="s">
        <v>1610</v>
      </c>
      <c r="BC616" s="288" t="s">
        <v>2192</v>
      </c>
    </row>
    <row r="617" spans="1:55" ht="45" customHeight="1">
      <c r="A617" s="269">
        <f t="shared" si="11"/>
        <v>616</v>
      </c>
      <c r="B617" s="284" t="s">
        <v>3501</v>
      </c>
      <c r="C617" s="270" t="s">
        <v>3502</v>
      </c>
      <c r="D617" s="270" t="s">
        <v>8</v>
      </c>
      <c r="E617" s="270" t="s">
        <v>13</v>
      </c>
      <c r="F617" s="270" t="s">
        <v>1567</v>
      </c>
      <c r="G617" s="302">
        <v>44984</v>
      </c>
      <c r="L617" s="270" t="s">
        <v>2479</v>
      </c>
      <c r="M617" s="270" t="s">
        <v>2479</v>
      </c>
      <c r="N617" s="272" t="s">
        <v>122</v>
      </c>
      <c r="O617" s="270" t="s">
        <v>2479</v>
      </c>
      <c r="P617" s="270" t="s">
        <v>1554</v>
      </c>
      <c r="Q617" s="270" t="s">
        <v>2198</v>
      </c>
      <c r="R617" s="306">
        <v>44929.444050925929</v>
      </c>
      <c r="S617" s="285">
        <v>2023</v>
      </c>
      <c r="T617" s="270" t="s">
        <v>2001</v>
      </c>
      <c r="U617" s="270" t="s">
        <v>678</v>
      </c>
      <c r="V617" s="270" t="s">
        <v>679</v>
      </c>
      <c r="W617" s="270" t="s">
        <v>145</v>
      </c>
      <c r="X617" s="270" t="s">
        <v>309</v>
      </c>
      <c r="Y617" s="273">
        <v>45078</v>
      </c>
      <c r="Z617" s="288" t="s">
        <v>1875</v>
      </c>
      <c r="AA617" s="288" t="s">
        <v>2479</v>
      </c>
      <c r="AB617" s="288" t="s">
        <v>139</v>
      </c>
      <c r="AC617" s="288" t="s">
        <v>1875</v>
      </c>
      <c r="AD617" s="288" t="s">
        <v>1805</v>
      </c>
      <c r="AE617" s="288" t="s">
        <v>1805</v>
      </c>
      <c r="AF617" s="288" t="s">
        <v>2479</v>
      </c>
      <c r="AG617" s="288" t="s">
        <v>2479</v>
      </c>
      <c r="AH617" s="288" t="s">
        <v>2479</v>
      </c>
      <c r="AI617" s="288" t="s">
        <v>2479</v>
      </c>
      <c r="AJ617" s="303" t="s">
        <v>2191</v>
      </c>
      <c r="AK617" s="288" t="s">
        <v>2479</v>
      </c>
      <c r="AL617" s="303" t="s">
        <v>2190</v>
      </c>
      <c r="AM617" s="288" t="s">
        <v>1975</v>
      </c>
      <c r="AN617" s="207" t="b">
        <v>0</v>
      </c>
      <c r="AY617" s="288" t="s">
        <v>2479</v>
      </c>
      <c r="AZ617" s="288" t="s">
        <v>2479</v>
      </c>
      <c r="BA617" s="288" t="s">
        <v>373</v>
      </c>
      <c r="BB617" s="288" t="s">
        <v>1610</v>
      </c>
      <c r="BC617" s="288" t="s">
        <v>2192</v>
      </c>
    </row>
    <row r="618" spans="1:55" ht="45" customHeight="1">
      <c r="A618" s="269">
        <f t="shared" si="11"/>
        <v>617</v>
      </c>
      <c r="B618" s="284" t="s">
        <v>3499</v>
      </c>
      <c r="C618" s="270" t="s">
        <v>3500</v>
      </c>
      <c r="D618" s="270" t="s">
        <v>8</v>
      </c>
      <c r="E618" s="270" t="s">
        <v>13</v>
      </c>
      <c r="F618" s="270" t="s">
        <v>1567</v>
      </c>
      <c r="G618" s="302">
        <v>44984</v>
      </c>
      <c r="L618" s="270" t="s">
        <v>2479</v>
      </c>
      <c r="M618" s="270" t="s">
        <v>2479</v>
      </c>
      <c r="N618" s="272" t="s">
        <v>122</v>
      </c>
      <c r="O618" s="270" t="s">
        <v>2479</v>
      </c>
      <c r="P618" s="270" t="s">
        <v>1554</v>
      </c>
      <c r="Q618" s="270" t="s">
        <v>2198</v>
      </c>
      <c r="R618" s="306">
        <v>44929.443657407406</v>
      </c>
      <c r="S618" s="285">
        <v>2023</v>
      </c>
      <c r="T618" s="270" t="s">
        <v>2001</v>
      </c>
      <c r="U618" s="270" t="s">
        <v>678</v>
      </c>
      <c r="V618" s="270" t="s">
        <v>679</v>
      </c>
      <c r="W618" s="270" t="s">
        <v>145</v>
      </c>
      <c r="X618" s="270" t="s">
        <v>309</v>
      </c>
      <c r="Y618" s="273">
        <v>45078</v>
      </c>
      <c r="Z618" s="288" t="s">
        <v>1875</v>
      </c>
      <c r="AA618" s="288" t="s">
        <v>2479</v>
      </c>
      <c r="AB618" s="288" t="s">
        <v>139</v>
      </c>
      <c r="AC618" s="288" t="s">
        <v>1875</v>
      </c>
      <c r="AD618" s="288" t="s">
        <v>1805</v>
      </c>
      <c r="AE618" s="288" t="s">
        <v>1805</v>
      </c>
      <c r="AF618" s="288" t="s">
        <v>2479</v>
      </c>
      <c r="AG618" s="288" t="s">
        <v>2479</v>
      </c>
      <c r="AH618" s="288" t="s">
        <v>2479</v>
      </c>
      <c r="AI618" s="288" t="s">
        <v>2479</v>
      </c>
      <c r="AJ618" s="303" t="s">
        <v>2191</v>
      </c>
      <c r="AK618" s="288" t="s">
        <v>2479</v>
      </c>
      <c r="AL618" s="303" t="s">
        <v>2190</v>
      </c>
      <c r="AM618" s="288" t="s">
        <v>1975</v>
      </c>
      <c r="AN618" s="207" t="b">
        <v>0</v>
      </c>
      <c r="AY618" s="288" t="s">
        <v>2479</v>
      </c>
      <c r="AZ618" s="288" t="s">
        <v>2479</v>
      </c>
      <c r="BA618" s="288" t="s">
        <v>373</v>
      </c>
      <c r="BB618" s="288" t="s">
        <v>1610</v>
      </c>
      <c r="BC618" s="288" t="s">
        <v>2192</v>
      </c>
    </row>
    <row r="619" spans="1:55" ht="45" customHeight="1">
      <c r="A619" s="269">
        <f t="shared" si="11"/>
        <v>618</v>
      </c>
      <c r="B619" s="284" t="s">
        <v>2677</v>
      </c>
      <c r="C619" s="270" t="s">
        <v>3529</v>
      </c>
      <c r="D619" s="270" t="s">
        <v>8</v>
      </c>
      <c r="E619" s="270" t="s">
        <v>13</v>
      </c>
      <c r="F619" s="270" t="s">
        <v>1567</v>
      </c>
      <c r="G619" s="302">
        <v>44992</v>
      </c>
      <c r="L619" s="270" t="s">
        <v>2479</v>
      </c>
      <c r="M619" s="270" t="s">
        <v>2479</v>
      </c>
      <c r="N619" s="272" t="s">
        <v>122</v>
      </c>
      <c r="O619" s="270" t="s">
        <v>2479</v>
      </c>
      <c r="P619" s="270" t="s">
        <v>1554</v>
      </c>
      <c r="Q619" s="270" t="s">
        <v>2198</v>
      </c>
      <c r="R619" s="306" t="s">
        <v>3530</v>
      </c>
      <c r="S619" s="285">
        <v>2023</v>
      </c>
      <c r="T619" s="270" t="s">
        <v>2001</v>
      </c>
      <c r="U619" s="270" t="s">
        <v>678</v>
      </c>
      <c r="V619" s="270" t="s">
        <v>679</v>
      </c>
      <c r="W619" s="270" t="s">
        <v>145</v>
      </c>
      <c r="X619" s="270" t="s">
        <v>309</v>
      </c>
      <c r="Y619" s="273">
        <v>45078</v>
      </c>
      <c r="Z619" s="288" t="s">
        <v>1875</v>
      </c>
      <c r="AA619" s="288" t="s">
        <v>2479</v>
      </c>
      <c r="AB619" s="288" t="s">
        <v>139</v>
      </c>
      <c r="AC619" s="288" t="s">
        <v>1875</v>
      </c>
      <c r="AD619" s="288" t="s">
        <v>1805</v>
      </c>
      <c r="AE619" s="288" t="s">
        <v>1805</v>
      </c>
      <c r="AF619" s="288" t="s">
        <v>2479</v>
      </c>
      <c r="AG619" s="288" t="s">
        <v>2479</v>
      </c>
      <c r="AH619" s="288" t="s">
        <v>2479</v>
      </c>
      <c r="AI619" s="288" t="s">
        <v>2479</v>
      </c>
      <c r="AJ619" s="303" t="s">
        <v>2191</v>
      </c>
      <c r="AK619" s="288" t="s">
        <v>2479</v>
      </c>
      <c r="AL619" s="303" t="s">
        <v>2190</v>
      </c>
      <c r="AM619" s="288" t="s">
        <v>1975</v>
      </c>
      <c r="AN619" s="207" t="b">
        <v>0</v>
      </c>
      <c r="AY619" s="288" t="s">
        <v>2479</v>
      </c>
      <c r="AZ619" s="288" t="s">
        <v>2479</v>
      </c>
      <c r="BA619" s="288" t="s">
        <v>373</v>
      </c>
      <c r="BB619" s="288" t="s">
        <v>1610</v>
      </c>
      <c r="BC619" s="288" t="s">
        <v>2192</v>
      </c>
    </row>
    <row r="620" spans="1:55" ht="45" customHeight="1">
      <c r="A620" s="269">
        <f t="shared" si="11"/>
        <v>619</v>
      </c>
      <c r="B620" s="284" t="s">
        <v>3531</v>
      </c>
      <c r="C620" s="270" t="s">
        <v>3532</v>
      </c>
      <c r="D620" s="270" t="s">
        <v>8</v>
      </c>
      <c r="E620" s="270" t="s">
        <v>13</v>
      </c>
      <c r="F620" s="270" t="s">
        <v>1567</v>
      </c>
      <c r="G620" s="302">
        <v>44995</v>
      </c>
      <c r="L620" s="270" t="s">
        <v>2479</v>
      </c>
      <c r="M620" s="270" t="s">
        <v>2479</v>
      </c>
      <c r="N620" s="272" t="s">
        <v>122</v>
      </c>
      <c r="O620" s="270" t="s">
        <v>2479</v>
      </c>
      <c r="P620" s="270" t="s">
        <v>1554</v>
      </c>
      <c r="Q620" s="270" t="s">
        <v>2198</v>
      </c>
      <c r="R620" s="306" t="s">
        <v>3533</v>
      </c>
      <c r="S620" s="285">
        <v>2023</v>
      </c>
      <c r="T620" s="270" t="s">
        <v>2001</v>
      </c>
      <c r="U620" s="270" t="s">
        <v>678</v>
      </c>
      <c r="V620" s="270" t="s">
        <v>679</v>
      </c>
      <c r="W620" s="270" t="s">
        <v>145</v>
      </c>
      <c r="X620" s="270" t="s">
        <v>309</v>
      </c>
      <c r="Y620" s="273">
        <v>45078</v>
      </c>
      <c r="Z620" s="288" t="s">
        <v>1875</v>
      </c>
      <c r="AA620" s="288" t="s">
        <v>2479</v>
      </c>
      <c r="AB620" s="288" t="s">
        <v>139</v>
      </c>
      <c r="AC620" s="288" t="s">
        <v>1875</v>
      </c>
      <c r="AD620" s="288" t="s">
        <v>1805</v>
      </c>
      <c r="AE620" s="288" t="s">
        <v>1805</v>
      </c>
      <c r="AF620" s="288" t="s">
        <v>2479</v>
      </c>
      <c r="AG620" s="288" t="s">
        <v>2479</v>
      </c>
      <c r="AH620" s="288" t="s">
        <v>2479</v>
      </c>
      <c r="AI620" s="288" t="s">
        <v>2479</v>
      </c>
      <c r="AJ620" s="303" t="s">
        <v>2191</v>
      </c>
      <c r="AK620" s="288" t="s">
        <v>2479</v>
      </c>
      <c r="AL620" s="303" t="s">
        <v>2190</v>
      </c>
      <c r="AM620" s="288" t="s">
        <v>1975</v>
      </c>
      <c r="AN620" s="207" t="b">
        <v>0</v>
      </c>
      <c r="AY620" s="288" t="s">
        <v>2479</v>
      </c>
      <c r="AZ620" s="288" t="s">
        <v>2479</v>
      </c>
      <c r="BA620" s="288" t="s">
        <v>373</v>
      </c>
      <c r="BB620" s="288" t="s">
        <v>1610</v>
      </c>
      <c r="BC620" s="288" t="s">
        <v>2192</v>
      </c>
    </row>
    <row r="621" spans="1:55" ht="45" customHeight="1">
      <c r="A621" s="269">
        <f t="shared" si="11"/>
        <v>620</v>
      </c>
      <c r="B621" s="284" t="s">
        <v>3534</v>
      </c>
      <c r="C621" s="270" t="s">
        <v>3535</v>
      </c>
      <c r="D621" s="270" t="s">
        <v>8</v>
      </c>
      <c r="E621" s="270" t="s">
        <v>13</v>
      </c>
      <c r="F621" s="270" t="s">
        <v>1567</v>
      </c>
      <c r="G621" s="302">
        <v>45009</v>
      </c>
      <c r="L621" s="270" t="s">
        <v>2479</v>
      </c>
      <c r="M621" s="270" t="s">
        <v>2479</v>
      </c>
      <c r="N621" s="272" t="s">
        <v>122</v>
      </c>
      <c r="O621" s="270" t="s">
        <v>2479</v>
      </c>
      <c r="P621" s="270" t="s">
        <v>1554</v>
      </c>
      <c r="Q621" s="270" t="s">
        <v>2198</v>
      </c>
      <c r="R621" s="306" t="s">
        <v>3536</v>
      </c>
      <c r="S621" s="285">
        <v>2023</v>
      </c>
      <c r="T621" s="270" t="s">
        <v>2001</v>
      </c>
      <c r="U621" s="270" t="s">
        <v>678</v>
      </c>
      <c r="V621" s="270" t="s">
        <v>679</v>
      </c>
      <c r="W621" s="270" t="s">
        <v>145</v>
      </c>
      <c r="X621" s="270" t="s">
        <v>309</v>
      </c>
      <c r="Y621" s="273">
        <v>45078</v>
      </c>
      <c r="Z621" s="288" t="s">
        <v>1875</v>
      </c>
      <c r="AA621" s="288" t="s">
        <v>2479</v>
      </c>
      <c r="AB621" s="288" t="s">
        <v>139</v>
      </c>
      <c r="AC621" s="288" t="s">
        <v>1875</v>
      </c>
      <c r="AD621" s="288" t="s">
        <v>1805</v>
      </c>
      <c r="AE621" s="288" t="s">
        <v>1805</v>
      </c>
      <c r="AF621" s="288" t="s">
        <v>2479</v>
      </c>
      <c r="AG621" s="288" t="s">
        <v>2479</v>
      </c>
      <c r="AH621" s="288" t="s">
        <v>2479</v>
      </c>
      <c r="AI621" s="288" t="s">
        <v>2479</v>
      </c>
      <c r="AJ621" s="303" t="s">
        <v>2191</v>
      </c>
      <c r="AK621" s="288" t="s">
        <v>2479</v>
      </c>
      <c r="AL621" s="303" t="s">
        <v>2190</v>
      </c>
      <c r="AM621" s="288" t="s">
        <v>1975</v>
      </c>
      <c r="AN621" s="207" t="b">
        <v>0</v>
      </c>
      <c r="AY621" s="288" t="s">
        <v>2479</v>
      </c>
      <c r="AZ621" s="288" t="s">
        <v>2479</v>
      </c>
      <c r="BA621" s="288" t="s">
        <v>373</v>
      </c>
      <c r="BB621" s="288" t="s">
        <v>1610</v>
      </c>
      <c r="BC621" s="288" t="s">
        <v>2192</v>
      </c>
    </row>
    <row r="622" spans="1:55" ht="45" customHeight="1">
      <c r="A622" s="269">
        <f t="shared" si="11"/>
        <v>621</v>
      </c>
      <c r="B622" s="284" t="s">
        <v>3644</v>
      </c>
      <c r="C622" s="270" t="s">
        <v>3645</v>
      </c>
      <c r="D622" s="270" t="s">
        <v>8</v>
      </c>
      <c r="E622" s="270" t="s">
        <v>13</v>
      </c>
      <c r="F622" s="270" t="s">
        <v>1567</v>
      </c>
      <c r="G622" s="302">
        <v>45021</v>
      </c>
      <c r="L622" s="270" t="s">
        <v>2479</v>
      </c>
      <c r="M622" s="270" t="s">
        <v>2479</v>
      </c>
      <c r="N622" s="272" t="s">
        <v>122</v>
      </c>
      <c r="O622" s="270" t="s">
        <v>2479</v>
      </c>
      <c r="P622" s="270" t="s">
        <v>1554</v>
      </c>
      <c r="Q622" s="270" t="s">
        <v>2198</v>
      </c>
      <c r="R622" s="306" t="s">
        <v>3646</v>
      </c>
      <c r="S622" s="285">
        <v>2023</v>
      </c>
      <c r="T622" s="270" t="s">
        <v>2001</v>
      </c>
      <c r="U622" s="270" t="s">
        <v>678</v>
      </c>
      <c r="V622" s="270" t="s">
        <v>679</v>
      </c>
      <c r="W622" s="270" t="s">
        <v>145</v>
      </c>
      <c r="X622" s="270" t="s">
        <v>309</v>
      </c>
      <c r="Y622" s="273">
        <v>45078</v>
      </c>
      <c r="Z622" s="288" t="s">
        <v>1875</v>
      </c>
      <c r="AA622" s="288" t="s">
        <v>2479</v>
      </c>
      <c r="AB622" s="288" t="s">
        <v>139</v>
      </c>
      <c r="AC622" s="288" t="s">
        <v>1875</v>
      </c>
      <c r="AD622" s="288" t="s">
        <v>1805</v>
      </c>
      <c r="AE622" s="288" t="s">
        <v>1805</v>
      </c>
      <c r="AF622" s="288" t="s">
        <v>2479</v>
      </c>
      <c r="AG622" s="288" t="s">
        <v>2479</v>
      </c>
      <c r="AH622" s="288" t="s">
        <v>2479</v>
      </c>
      <c r="AI622" s="288" t="s">
        <v>2479</v>
      </c>
      <c r="AJ622" s="303" t="s">
        <v>2191</v>
      </c>
      <c r="AK622" s="288" t="s">
        <v>2479</v>
      </c>
      <c r="AL622" s="303" t="s">
        <v>2190</v>
      </c>
      <c r="AM622" s="288" t="s">
        <v>1975</v>
      </c>
      <c r="AN622" s="207" t="b">
        <v>0</v>
      </c>
      <c r="AY622" s="288" t="s">
        <v>2479</v>
      </c>
      <c r="AZ622" s="288" t="s">
        <v>2479</v>
      </c>
      <c r="BA622" s="288" t="s">
        <v>373</v>
      </c>
      <c r="BB622" s="288" t="s">
        <v>1610</v>
      </c>
      <c r="BC622" s="288" t="s">
        <v>2192</v>
      </c>
    </row>
    <row r="623" spans="1:55" ht="45" customHeight="1">
      <c r="A623" s="269">
        <f t="shared" si="11"/>
        <v>622</v>
      </c>
      <c r="B623" s="284" t="s">
        <v>2704</v>
      </c>
      <c r="C623" s="270" t="s">
        <v>3647</v>
      </c>
      <c r="D623" s="270" t="s">
        <v>8</v>
      </c>
      <c r="E623" s="270" t="s">
        <v>13</v>
      </c>
      <c r="F623" s="270" t="s">
        <v>1567</v>
      </c>
      <c r="G623" s="302">
        <v>45021</v>
      </c>
      <c r="L623" s="270" t="s">
        <v>2479</v>
      </c>
      <c r="M623" s="270" t="s">
        <v>2479</v>
      </c>
      <c r="N623" s="272" t="s">
        <v>122</v>
      </c>
      <c r="O623" s="270" t="s">
        <v>2479</v>
      </c>
      <c r="P623" s="270" t="s">
        <v>1554</v>
      </c>
      <c r="Q623" s="270" t="s">
        <v>2198</v>
      </c>
      <c r="R623" s="306" t="s">
        <v>3648</v>
      </c>
      <c r="S623" s="285">
        <v>2023</v>
      </c>
      <c r="T623" s="270" t="s">
        <v>2001</v>
      </c>
      <c r="U623" s="270" t="s">
        <v>678</v>
      </c>
      <c r="V623" s="270" t="s">
        <v>679</v>
      </c>
      <c r="W623" s="270" t="s">
        <v>145</v>
      </c>
      <c r="X623" s="270" t="s">
        <v>309</v>
      </c>
      <c r="Y623" s="273">
        <v>45078</v>
      </c>
      <c r="Z623" s="288" t="s">
        <v>1875</v>
      </c>
      <c r="AA623" s="288" t="s">
        <v>2479</v>
      </c>
      <c r="AB623" s="288" t="s">
        <v>139</v>
      </c>
      <c r="AC623" s="288" t="s">
        <v>1875</v>
      </c>
      <c r="AD623" s="288" t="s">
        <v>1805</v>
      </c>
      <c r="AE623" s="288" t="s">
        <v>1805</v>
      </c>
      <c r="AF623" s="288" t="s">
        <v>2479</v>
      </c>
      <c r="AG623" s="288" t="s">
        <v>2479</v>
      </c>
      <c r="AH623" s="288" t="s">
        <v>2479</v>
      </c>
      <c r="AI623" s="288" t="s">
        <v>2479</v>
      </c>
      <c r="AJ623" s="303" t="s">
        <v>2191</v>
      </c>
      <c r="AK623" s="288" t="s">
        <v>2479</v>
      </c>
      <c r="AL623" s="303" t="s">
        <v>2190</v>
      </c>
      <c r="AM623" s="288" t="s">
        <v>1975</v>
      </c>
      <c r="AN623" s="207" t="b">
        <v>0</v>
      </c>
      <c r="AY623" s="288" t="s">
        <v>2479</v>
      </c>
      <c r="AZ623" s="288" t="s">
        <v>2479</v>
      </c>
      <c r="BA623" s="288" t="s">
        <v>373</v>
      </c>
      <c r="BB623" s="288" t="s">
        <v>1610</v>
      </c>
      <c r="BC623" s="288" t="s">
        <v>2192</v>
      </c>
    </row>
    <row r="624" spans="1:55" ht="45" customHeight="1">
      <c r="A624" s="269">
        <f t="shared" si="11"/>
        <v>623</v>
      </c>
      <c r="B624" s="284" t="s">
        <v>3084</v>
      </c>
      <c r="C624" s="270" t="s">
        <v>3649</v>
      </c>
      <c r="D624" s="270" t="s">
        <v>8</v>
      </c>
      <c r="E624" s="270" t="s">
        <v>13</v>
      </c>
      <c r="F624" s="270" t="s">
        <v>1567</v>
      </c>
      <c r="G624" s="302">
        <v>45021</v>
      </c>
      <c r="L624" s="270" t="s">
        <v>2479</v>
      </c>
      <c r="M624" s="270" t="s">
        <v>2479</v>
      </c>
      <c r="N624" s="272" t="s">
        <v>122</v>
      </c>
      <c r="O624" s="270" t="s">
        <v>2479</v>
      </c>
      <c r="P624" s="270" t="s">
        <v>1554</v>
      </c>
      <c r="Q624" s="270" t="s">
        <v>2198</v>
      </c>
      <c r="R624" s="306" t="s">
        <v>3650</v>
      </c>
      <c r="S624" s="285">
        <v>2023</v>
      </c>
      <c r="T624" s="270" t="s">
        <v>2001</v>
      </c>
      <c r="U624" s="270" t="s">
        <v>678</v>
      </c>
      <c r="V624" s="270" t="s">
        <v>679</v>
      </c>
      <c r="W624" s="270" t="s">
        <v>145</v>
      </c>
      <c r="X624" s="270" t="s">
        <v>309</v>
      </c>
      <c r="Y624" s="273">
        <v>45078</v>
      </c>
      <c r="Z624" s="288" t="s">
        <v>1875</v>
      </c>
      <c r="AA624" s="288" t="s">
        <v>2479</v>
      </c>
      <c r="AB624" s="288" t="s">
        <v>139</v>
      </c>
      <c r="AC624" s="288" t="s">
        <v>1875</v>
      </c>
      <c r="AD624" s="288" t="s">
        <v>1805</v>
      </c>
      <c r="AE624" s="288" t="s">
        <v>1805</v>
      </c>
      <c r="AF624" s="288" t="s">
        <v>2479</v>
      </c>
      <c r="AG624" s="288" t="s">
        <v>2479</v>
      </c>
      <c r="AH624" s="288" t="s">
        <v>2479</v>
      </c>
      <c r="AI624" s="288" t="s">
        <v>2479</v>
      </c>
      <c r="AJ624" s="303" t="s">
        <v>2191</v>
      </c>
      <c r="AK624" s="288" t="s">
        <v>2479</v>
      </c>
      <c r="AL624" s="303" t="s">
        <v>2190</v>
      </c>
      <c r="AM624" s="288" t="s">
        <v>1975</v>
      </c>
      <c r="AN624" s="207" t="b">
        <v>0</v>
      </c>
      <c r="AY624" s="288" t="s">
        <v>2479</v>
      </c>
      <c r="AZ624" s="288" t="s">
        <v>2479</v>
      </c>
      <c r="BA624" s="288" t="s">
        <v>373</v>
      </c>
      <c r="BB624" s="288" t="s">
        <v>1610</v>
      </c>
      <c r="BC624" s="288" t="s">
        <v>2192</v>
      </c>
    </row>
    <row r="625" spans="1:55" ht="45" customHeight="1">
      <c r="A625" s="269">
        <f t="shared" si="11"/>
        <v>624</v>
      </c>
      <c r="B625" s="284" t="s">
        <v>3089</v>
      </c>
      <c r="C625" s="270" t="s">
        <v>3720</v>
      </c>
      <c r="D625" s="270" t="s">
        <v>8</v>
      </c>
      <c r="E625" s="270" t="s">
        <v>13</v>
      </c>
      <c r="F625" s="270" t="s">
        <v>1567</v>
      </c>
      <c r="G625" s="302">
        <v>45054</v>
      </c>
      <c r="L625" s="270" t="s">
        <v>2479</v>
      </c>
      <c r="M625" s="270" t="s">
        <v>2479</v>
      </c>
      <c r="N625" s="272" t="s">
        <v>122</v>
      </c>
      <c r="O625" s="270" t="s">
        <v>2479</v>
      </c>
      <c r="P625" s="270" t="s">
        <v>1554</v>
      </c>
      <c r="Q625" s="270" t="s">
        <v>2198</v>
      </c>
      <c r="R625" s="306">
        <v>44932.442060185182</v>
      </c>
      <c r="S625" s="285">
        <v>2023</v>
      </c>
      <c r="T625" s="270" t="s">
        <v>2001</v>
      </c>
      <c r="U625" s="270" t="s">
        <v>678</v>
      </c>
      <c r="V625" s="270" t="s">
        <v>679</v>
      </c>
      <c r="W625" s="270" t="s">
        <v>145</v>
      </c>
      <c r="X625" s="270" t="s">
        <v>309</v>
      </c>
      <c r="Y625" s="273">
        <v>45078</v>
      </c>
      <c r="Z625" s="288" t="s">
        <v>1875</v>
      </c>
      <c r="AA625" s="288" t="s">
        <v>2479</v>
      </c>
      <c r="AB625" s="288" t="s">
        <v>139</v>
      </c>
      <c r="AC625" s="288" t="s">
        <v>1875</v>
      </c>
      <c r="AD625" s="288" t="s">
        <v>1805</v>
      </c>
      <c r="AE625" s="288" t="s">
        <v>1805</v>
      </c>
      <c r="AF625" s="288" t="s">
        <v>2479</v>
      </c>
      <c r="AG625" s="288" t="s">
        <v>2479</v>
      </c>
      <c r="AH625" s="288" t="s">
        <v>2479</v>
      </c>
      <c r="AI625" s="288" t="s">
        <v>2479</v>
      </c>
      <c r="AJ625" s="303" t="s">
        <v>2191</v>
      </c>
      <c r="AK625" s="288" t="s">
        <v>2479</v>
      </c>
      <c r="AL625" s="303" t="s">
        <v>2190</v>
      </c>
      <c r="AM625" s="288" t="s">
        <v>1975</v>
      </c>
      <c r="AN625" s="207" t="b">
        <v>0</v>
      </c>
      <c r="AY625" s="288" t="s">
        <v>2479</v>
      </c>
      <c r="AZ625" s="288" t="s">
        <v>2479</v>
      </c>
      <c r="BA625" s="288" t="s">
        <v>373</v>
      </c>
      <c r="BB625" s="288" t="s">
        <v>1610</v>
      </c>
      <c r="BC625" s="288" t="s">
        <v>2192</v>
      </c>
    </row>
    <row r="626" spans="1:55" ht="45" customHeight="1">
      <c r="A626" s="269">
        <f t="shared" si="11"/>
        <v>625</v>
      </c>
      <c r="B626" s="284" t="s">
        <v>3092</v>
      </c>
      <c r="C626" s="270" t="s">
        <v>3721</v>
      </c>
      <c r="D626" s="270" t="s">
        <v>8</v>
      </c>
      <c r="E626" s="270" t="s">
        <v>13</v>
      </c>
      <c r="F626" s="270" t="s">
        <v>1567</v>
      </c>
      <c r="G626" s="302">
        <v>45057</v>
      </c>
      <c r="L626" s="270" t="s">
        <v>2479</v>
      </c>
      <c r="M626" s="270" t="s">
        <v>2479</v>
      </c>
      <c r="N626" s="272" t="s">
        <v>122</v>
      </c>
      <c r="O626" s="270" t="s">
        <v>2479</v>
      </c>
      <c r="P626" s="270" t="s">
        <v>1554</v>
      </c>
      <c r="Q626" s="270" t="s">
        <v>2198</v>
      </c>
      <c r="R626" s="306">
        <v>44932.442384259259</v>
      </c>
      <c r="S626" s="285">
        <v>2023</v>
      </c>
      <c r="T626" s="270" t="s">
        <v>2001</v>
      </c>
      <c r="U626" s="270" t="s">
        <v>678</v>
      </c>
      <c r="V626" s="270" t="s">
        <v>679</v>
      </c>
      <c r="W626" s="270" t="s">
        <v>145</v>
      </c>
      <c r="X626" s="270" t="s">
        <v>309</v>
      </c>
      <c r="Y626" s="273">
        <v>45078</v>
      </c>
      <c r="Z626" s="288" t="s">
        <v>1875</v>
      </c>
      <c r="AA626" s="288" t="s">
        <v>2479</v>
      </c>
      <c r="AB626" s="288" t="s">
        <v>139</v>
      </c>
      <c r="AC626" s="288" t="s">
        <v>1875</v>
      </c>
      <c r="AD626" s="288" t="s">
        <v>1805</v>
      </c>
      <c r="AE626" s="288" t="s">
        <v>1805</v>
      </c>
      <c r="AF626" s="288" t="s">
        <v>2479</v>
      </c>
      <c r="AG626" s="288" t="s">
        <v>2479</v>
      </c>
      <c r="AH626" s="288" t="s">
        <v>2479</v>
      </c>
      <c r="AI626" s="288" t="s">
        <v>2479</v>
      </c>
      <c r="AJ626" s="303" t="s">
        <v>2191</v>
      </c>
      <c r="AK626" s="288" t="s">
        <v>2479</v>
      </c>
      <c r="AL626" s="303" t="s">
        <v>2190</v>
      </c>
      <c r="AM626" s="288" t="s">
        <v>1975</v>
      </c>
      <c r="AN626" s="207" t="b">
        <v>0</v>
      </c>
      <c r="AY626" s="288" t="s">
        <v>2479</v>
      </c>
      <c r="AZ626" s="288" t="s">
        <v>2479</v>
      </c>
      <c r="BA626" s="288" t="s">
        <v>373</v>
      </c>
      <c r="BB626" s="288" t="s">
        <v>1610</v>
      </c>
      <c r="BC626" s="288" t="s">
        <v>2192</v>
      </c>
    </row>
    <row r="627" spans="1:55" ht="45" customHeight="1">
      <c r="A627" s="269">
        <f t="shared" si="11"/>
        <v>626</v>
      </c>
      <c r="B627" s="284" t="s">
        <v>3095</v>
      </c>
      <c r="C627" s="270" t="s">
        <v>3722</v>
      </c>
      <c r="D627" s="270" t="s">
        <v>8</v>
      </c>
      <c r="E627" s="270" t="s">
        <v>13</v>
      </c>
      <c r="F627" s="270" t="s">
        <v>1567</v>
      </c>
      <c r="G627" s="302">
        <v>45068</v>
      </c>
      <c r="L627" s="270" t="s">
        <v>2479</v>
      </c>
      <c r="M627" s="270" t="s">
        <v>2479</v>
      </c>
      <c r="N627" s="272" t="s">
        <v>122</v>
      </c>
      <c r="O627" s="270" t="s">
        <v>2479</v>
      </c>
      <c r="P627" s="270" t="s">
        <v>1554</v>
      </c>
      <c r="Q627" s="270" t="s">
        <v>2198</v>
      </c>
      <c r="R627" s="306">
        <v>44932.442766203705</v>
      </c>
      <c r="S627" s="285">
        <v>2023</v>
      </c>
      <c r="T627" s="270" t="s">
        <v>2001</v>
      </c>
      <c r="U627" s="270" t="s">
        <v>678</v>
      </c>
      <c r="V627" s="270" t="s">
        <v>679</v>
      </c>
      <c r="W627" s="270" t="s">
        <v>145</v>
      </c>
      <c r="X627" s="270" t="s">
        <v>309</v>
      </c>
      <c r="Y627" s="273">
        <v>45078</v>
      </c>
      <c r="Z627" s="288" t="s">
        <v>1875</v>
      </c>
      <c r="AA627" s="288" t="s">
        <v>2479</v>
      </c>
      <c r="AB627" s="288" t="s">
        <v>139</v>
      </c>
      <c r="AC627" s="288" t="s">
        <v>1875</v>
      </c>
      <c r="AD627" s="288" t="s">
        <v>1805</v>
      </c>
      <c r="AE627" s="288" t="s">
        <v>1805</v>
      </c>
      <c r="AF627" s="288" t="s">
        <v>2479</v>
      </c>
      <c r="AG627" s="288" t="s">
        <v>2479</v>
      </c>
      <c r="AH627" s="288" t="s">
        <v>2479</v>
      </c>
      <c r="AI627" s="288" t="s">
        <v>2479</v>
      </c>
      <c r="AJ627" s="303" t="s">
        <v>2191</v>
      </c>
      <c r="AK627" s="288" t="s">
        <v>2479</v>
      </c>
      <c r="AL627" s="303" t="s">
        <v>2190</v>
      </c>
      <c r="AM627" s="288" t="s">
        <v>1975</v>
      </c>
      <c r="AN627" s="207" t="b">
        <v>0</v>
      </c>
      <c r="AY627" s="288" t="s">
        <v>2479</v>
      </c>
      <c r="AZ627" s="288" t="s">
        <v>2479</v>
      </c>
      <c r="BA627" s="288" t="s">
        <v>373</v>
      </c>
      <c r="BB627" s="288" t="s">
        <v>1610</v>
      </c>
      <c r="BC627" s="288" t="s">
        <v>2192</v>
      </c>
    </row>
    <row r="628" spans="1:55" ht="45" customHeight="1">
      <c r="A628" s="269">
        <f t="shared" si="11"/>
        <v>627</v>
      </c>
      <c r="B628" s="284" t="s">
        <v>3096</v>
      </c>
      <c r="C628" s="270" t="s">
        <v>2773</v>
      </c>
      <c r="D628" s="270" t="s">
        <v>8</v>
      </c>
      <c r="E628" s="270" t="s">
        <v>13</v>
      </c>
      <c r="F628" s="270" t="s">
        <v>1567</v>
      </c>
      <c r="G628" s="302">
        <v>45083</v>
      </c>
      <c r="L628" s="270" t="s">
        <v>2479</v>
      </c>
      <c r="M628" s="270" t="s">
        <v>2479</v>
      </c>
      <c r="N628" s="272" t="s">
        <v>122</v>
      </c>
      <c r="O628" s="270" t="s">
        <v>2479</v>
      </c>
      <c r="P628" s="270" t="s">
        <v>1555</v>
      </c>
      <c r="Q628" s="270" t="s">
        <v>2198</v>
      </c>
      <c r="R628" s="306">
        <v>44992.445451388892</v>
      </c>
      <c r="S628" s="285">
        <v>2023</v>
      </c>
      <c r="T628" s="270" t="s">
        <v>2001</v>
      </c>
      <c r="U628" s="270" t="s">
        <v>678</v>
      </c>
      <c r="V628" s="270" t="s">
        <v>679</v>
      </c>
      <c r="W628" s="270" t="s">
        <v>145</v>
      </c>
      <c r="X628" s="270" t="s">
        <v>309</v>
      </c>
      <c r="Y628" s="273">
        <v>45078</v>
      </c>
      <c r="Z628" s="288" t="s">
        <v>1875</v>
      </c>
      <c r="AA628" s="288" t="s">
        <v>2479</v>
      </c>
      <c r="AB628" s="288" t="s">
        <v>139</v>
      </c>
      <c r="AC628" s="288" t="s">
        <v>1875</v>
      </c>
      <c r="AD628" s="288" t="s">
        <v>1805</v>
      </c>
      <c r="AE628" s="288" t="s">
        <v>1805</v>
      </c>
      <c r="AF628" s="288" t="s">
        <v>2479</v>
      </c>
      <c r="AG628" s="288" t="s">
        <v>2479</v>
      </c>
      <c r="AH628" s="288" t="s">
        <v>2479</v>
      </c>
      <c r="AI628" s="288" t="s">
        <v>2479</v>
      </c>
      <c r="AJ628" s="303" t="s">
        <v>2191</v>
      </c>
      <c r="AK628" s="288" t="s">
        <v>2479</v>
      </c>
      <c r="AL628" s="303" t="s">
        <v>2190</v>
      </c>
      <c r="AM628" s="288" t="s">
        <v>1975</v>
      </c>
      <c r="AN628" s="207" t="b">
        <v>0</v>
      </c>
      <c r="AY628" s="288" t="s">
        <v>2479</v>
      </c>
      <c r="AZ628" s="288" t="s">
        <v>2479</v>
      </c>
      <c r="BA628" s="288" t="s">
        <v>373</v>
      </c>
      <c r="BB628" s="288" t="s">
        <v>139</v>
      </c>
      <c r="BC628" s="288" t="s">
        <v>2192</v>
      </c>
    </row>
    <row r="629" spans="1:55" ht="45" customHeight="1">
      <c r="A629" s="269">
        <f t="shared" si="11"/>
        <v>628</v>
      </c>
      <c r="B629" s="276" t="s">
        <v>2643</v>
      </c>
      <c r="C629" s="277" t="s">
        <v>2644</v>
      </c>
      <c r="D629" s="277" t="s">
        <v>8</v>
      </c>
      <c r="E629" s="277" t="s">
        <v>13</v>
      </c>
      <c r="F629" s="277" t="s">
        <v>1569</v>
      </c>
      <c r="G629" s="307">
        <v>44223</v>
      </c>
      <c r="H629" s="308"/>
      <c r="I629" s="308"/>
      <c r="J629" s="277"/>
      <c r="K629" s="279">
        <v>45100</v>
      </c>
      <c r="L629" s="277" t="s">
        <v>2193</v>
      </c>
      <c r="M629" s="277" t="s">
        <v>115</v>
      </c>
      <c r="N629" s="277" t="s">
        <v>2479</v>
      </c>
      <c r="O629" s="277" t="s">
        <v>2479</v>
      </c>
      <c r="P629" s="277" t="s">
        <v>1554</v>
      </c>
      <c r="Q629" s="277" t="s">
        <v>2198</v>
      </c>
      <c r="R629" s="279">
        <v>44992.604872685188</v>
      </c>
      <c r="S629" s="286">
        <v>2021</v>
      </c>
      <c r="T629" s="277" t="s">
        <v>2194</v>
      </c>
      <c r="U629" s="277" t="s">
        <v>678</v>
      </c>
      <c r="V629" s="277" t="s">
        <v>679</v>
      </c>
      <c r="W629" s="277" t="s">
        <v>145</v>
      </c>
      <c r="X629" s="277" t="s">
        <v>309</v>
      </c>
      <c r="Y629" s="278">
        <v>45078</v>
      </c>
      <c r="Z629" s="287" t="s">
        <v>1875</v>
      </c>
      <c r="AA629" s="287" t="s">
        <v>2479</v>
      </c>
      <c r="AB629" s="287" t="s">
        <v>139</v>
      </c>
      <c r="AC629" s="287" t="s">
        <v>1875</v>
      </c>
      <c r="AD629" s="287" t="s">
        <v>1805</v>
      </c>
      <c r="AE629" s="287" t="s">
        <v>1805</v>
      </c>
      <c r="AF629" s="287" t="s">
        <v>2479</v>
      </c>
      <c r="AG629" s="287" t="s">
        <v>2479</v>
      </c>
      <c r="AH629" s="287" t="s">
        <v>2479</v>
      </c>
      <c r="AI629" s="287" t="s">
        <v>2479</v>
      </c>
      <c r="AJ629" s="304" t="s">
        <v>2191</v>
      </c>
      <c r="AK629" s="287" t="s">
        <v>2479</v>
      </c>
      <c r="AL629" s="304" t="s">
        <v>2190</v>
      </c>
      <c r="AM629" s="289" t="s">
        <v>1975</v>
      </c>
      <c r="AN629" s="281" t="b">
        <v>0</v>
      </c>
      <c r="AO629" s="305"/>
      <c r="AP629" s="291"/>
      <c r="AQ629" s="291"/>
      <c r="AR629" s="291"/>
      <c r="AS629" s="291"/>
      <c r="AT629" s="291"/>
      <c r="AU629" s="291"/>
      <c r="AV629" s="305"/>
      <c r="AW629" s="281"/>
      <c r="AX629" s="281"/>
      <c r="AY629" s="289" t="s">
        <v>2479</v>
      </c>
      <c r="AZ629" s="289" t="s">
        <v>2479</v>
      </c>
      <c r="BA629" s="289" t="s">
        <v>373</v>
      </c>
      <c r="BB629" s="289" t="s">
        <v>139</v>
      </c>
      <c r="BC629" s="292" t="s">
        <v>3969</v>
      </c>
    </row>
    <row r="630" spans="1:55" ht="45" customHeight="1">
      <c r="A630" s="269">
        <f t="shared" si="11"/>
        <v>629</v>
      </c>
      <c r="B630" s="284" t="s">
        <v>3869</v>
      </c>
      <c r="C630" s="270" t="s">
        <v>3870</v>
      </c>
      <c r="D630" s="270" t="s">
        <v>8</v>
      </c>
      <c r="E630" s="270" t="s">
        <v>13</v>
      </c>
      <c r="F630" s="270" t="s">
        <v>1569</v>
      </c>
      <c r="G630" s="302">
        <v>45087</v>
      </c>
      <c r="L630" s="270" t="s">
        <v>2479</v>
      </c>
      <c r="M630" s="270" t="s">
        <v>2479</v>
      </c>
      <c r="N630" s="272" t="s">
        <v>122</v>
      </c>
      <c r="O630" s="270" t="s">
        <v>2479</v>
      </c>
      <c r="P630" s="270" t="s">
        <v>1555</v>
      </c>
      <c r="Q630" s="270" t="s">
        <v>2198</v>
      </c>
      <c r="R630" s="306">
        <v>44992.441365740742</v>
      </c>
      <c r="S630" s="285">
        <v>2023</v>
      </c>
      <c r="T630" s="270" t="s">
        <v>2001</v>
      </c>
      <c r="U630" s="270" t="s">
        <v>678</v>
      </c>
      <c r="V630" s="270" t="s">
        <v>679</v>
      </c>
      <c r="W630" s="270" t="s">
        <v>145</v>
      </c>
      <c r="X630" s="270" t="s">
        <v>309</v>
      </c>
      <c r="Y630" s="273">
        <v>45078</v>
      </c>
      <c r="Z630" s="288" t="s">
        <v>1875</v>
      </c>
      <c r="AA630" s="288" t="s">
        <v>2479</v>
      </c>
      <c r="AB630" s="288" t="s">
        <v>139</v>
      </c>
      <c r="AC630" s="288" t="s">
        <v>1875</v>
      </c>
      <c r="AD630" s="288" t="s">
        <v>1805</v>
      </c>
      <c r="AE630" s="288" t="s">
        <v>1805</v>
      </c>
      <c r="AF630" s="288" t="s">
        <v>2479</v>
      </c>
      <c r="AG630" s="288" t="s">
        <v>2479</v>
      </c>
      <c r="AH630" s="288" t="s">
        <v>2479</v>
      </c>
      <c r="AI630" s="288" t="s">
        <v>2479</v>
      </c>
      <c r="AJ630" s="303" t="s">
        <v>2191</v>
      </c>
      <c r="AK630" s="288" t="s">
        <v>2479</v>
      </c>
      <c r="AL630" s="303" t="s">
        <v>2190</v>
      </c>
      <c r="AM630" s="288" t="s">
        <v>1975</v>
      </c>
      <c r="AN630" s="207" t="b">
        <v>0</v>
      </c>
      <c r="AY630" s="288" t="s">
        <v>2479</v>
      </c>
      <c r="AZ630" s="288" t="s">
        <v>2479</v>
      </c>
      <c r="BA630" s="288" t="s">
        <v>373</v>
      </c>
      <c r="BB630" s="288" t="s">
        <v>139</v>
      </c>
      <c r="BC630" s="288" t="s">
        <v>2192</v>
      </c>
    </row>
    <row r="631" spans="1:55" ht="45" customHeight="1">
      <c r="A631" s="269">
        <f t="shared" si="11"/>
        <v>630</v>
      </c>
      <c r="B631" s="284" t="s">
        <v>2752</v>
      </c>
      <c r="C631" s="270" t="s">
        <v>3873</v>
      </c>
      <c r="D631" s="270" t="s">
        <v>8</v>
      </c>
      <c r="E631" s="270" t="s">
        <v>13</v>
      </c>
      <c r="F631" s="270" t="s">
        <v>1569</v>
      </c>
      <c r="G631" s="302">
        <v>45082</v>
      </c>
      <c r="L631" s="270" t="s">
        <v>2479</v>
      </c>
      <c r="M631" s="270" t="s">
        <v>2479</v>
      </c>
      <c r="N631" s="272" t="s">
        <v>122</v>
      </c>
      <c r="O631" s="270" t="s">
        <v>2479</v>
      </c>
      <c r="P631" s="270" t="s">
        <v>1555</v>
      </c>
      <c r="Q631" s="270" t="s">
        <v>2198</v>
      </c>
      <c r="R631" s="306">
        <v>44992.448750000003</v>
      </c>
      <c r="S631" s="285">
        <v>2023</v>
      </c>
      <c r="T631" s="270" t="s">
        <v>2001</v>
      </c>
      <c r="U631" s="270" t="s">
        <v>678</v>
      </c>
      <c r="V631" s="270" t="s">
        <v>679</v>
      </c>
      <c r="W631" s="270" t="s">
        <v>145</v>
      </c>
      <c r="X631" s="270" t="s">
        <v>309</v>
      </c>
      <c r="Y631" s="273">
        <v>45078</v>
      </c>
      <c r="Z631" s="288" t="s">
        <v>1875</v>
      </c>
      <c r="AA631" s="288" t="s">
        <v>2479</v>
      </c>
      <c r="AB631" s="288" t="s">
        <v>139</v>
      </c>
      <c r="AC631" s="288" t="s">
        <v>1875</v>
      </c>
      <c r="AD631" s="288" t="s">
        <v>1805</v>
      </c>
      <c r="AE631" s="288" t="s">
        <v>1805</v>
      </c>
      <c r="AF631" s="288" t="s">
        <v>2479</v>
      </c>
      <c r="AG631" s="288" t="s">
        <v>2479</v>
      </c>
      <c r="AH631" s="288" t="s">
        <v>2479</v>
      </c>
      <c r="AI631" s="288" t="s">
        <v>2479</v>
      </c>
      <c r="AJ631" s="303" t="s">
        <v>2191</v>
      </c>
      <c r="AK631" s="288" t="s">
        <v>2479</v>
      </c>
      <c r="AL631" s="303" t="s">
        <v>2190</v>
      </c>
      <c r="AM631" s="288" t="s">
        <v>1975</v>
      </c>
      <c r="AN631" s="207" t="b">
        <v>0</v>
      </c>
      <c r="AY631" s="288" t="s">
        <v>2479</v>
      </c>
      <c r="AZ631" s="288" t="s">
        <v>2479</v>
      </c>
      <c r="BA631" s="288" t="s">
        <v>373</v>
      </c>
      <c r="BB631" s="288" t="s">
        <v>139</v>
      </c>
      <c r="BC631" s="288" t="s">
        <v>2192</v>
      </c>
    </row>
    <row r="632" spans="1:55" ht="45" customHeight="1">
      <c r="A632" s="269">
        <f t="shared" si="11"/>
        <v>631</v>
      </c>
      <c r="B632" s="284" t="s">
        <v>2756</v>
      </c>
      <c r="C632" s="270" t="s">
        <v>3876</v>
      </c>
      <c r="D632" s="270" t="s">
        <v>8</v>
      </c>
      <c r="E632" s="270" t="s">
        <v>13</v>
      </c>
      <c r="F632" s="270" t="s">
        <v>1569</v>
      </c>
      <c r="G632" s="302">
        <v>45087</v>
      </c>
      <c r="L632" s="270" t="s">
        <v>2479</v>
      </c>
      <c r="M632" s="270" t="s">
        <v>2479</v>
      </c>
      <c r="N632" s="272" t="s">
        <v>122</v>
      </c>
      <c r="O632" s="270" t="s">
        <v>2479</v>
      </c>
      <c r="P632" s="270" t="s">
        <v>1555</v>
      </c>
      <c r="Q632" s="270" t="s">
        <v>2198</v>
      </c>
      <c r="R632" s="306">
        <v>44992.450624999998</v>
      </c>
      <c r="S632" s="285">
        <v>2023</v>
      </c>
      <c r="T632" s="270" t="s">
        <v>2001</v>
      </c>
      <c r="U632" s="270" t="s">
        <v>678</v>
      </c>
      <c r="V632" s="270" t="s">
        <v>679</v>
      </c>
      <c r="W632" s="270" t="s">
        <v>145</v>
      </c>
      <c r="X632" s="270" t="s">
        <v>309</v>
      </c>
      <c r="Y632" s="273">
        <v>45078</v>
      </c>
      <c r="Z632" s="288" t="s">
        <v>1875</v>
      </c>
      <c r="AA632" s="288" t="s">
        <v>2479</v>
      </c>
      <c r="AB632" s="288" t="s">
        <v>139</v>
      </c>
      <c r="AC632" s="288" t="s">
        <v>1875</v>
      </c>
      <c r="AD632" s="288" t="s">
        <v>1805</v>
      </c>
      <c r="AE632" s="288" t="s">
        <v>1805</v>
      </c>
      <c r="AF632" s="288" t="s">
        <v>2479</v>
      </c>
      <c r="AG632" s="288" t="s">
        <v>2479</v>
      </c>
      <c r="AH632" s="288" t="s">
        <v>2479</v>
      </c>
      <c r="AI632" s="288" t="s">
        <v>2479</v>
      </c>
      <c r="AJ632" s="303" t="s">
        <v>2191</v>
      </c>
      <c r="AK632" s="288" t="s">
        <v>2479</v>
      </c>
      <c r="AL632" s="303" t="s">
        <v>2190</v>
      </c>
      <c r="AM632" s="288" t="s">
        <v>1975</v>
      </c>
      <c r="AN632" s="207" t="b">
        <v>0</v>
      </c>
      <c r="AY632" s="288" t="s">
        <v>2479</v>
      </c>
      <c r="AZ632" s="288" t="s">
        <v>2479</v>
      </c>
      <c r="BA632" s="288" t="s">
        <v>373</v>
      </c>
      <c r="BB632" s="288" t="s">
        <v>139</v>
      </c>
      <c r="BC632" s="288" t="s">
        <v>2192</v>
      </c>
    </row>
    <row r="633" spans="1:55" ht="45" customHeight="1">
      <c r="A633" s="269">
        <f t="shared" si="11"/>
        <v>632</v>
      </c>
      <c r="B633" s="276" t="s">
        <v>2695</v>
      </c>
      <c r="C633" s="277" t="s">
        <v>2696</v>
      </c>
      <c r="D633" s="277" t="s">
        <v>8</v>
      </c>
      <c r="E633" s="277" t="s">
        <v>13</v>
      </c>
      <c r="F633" s="277" t="s">
        <v>1570</v>
      </c>
      <c r="G633" s="307">
        <v>44667</v>
      </c>
      <c r="H633" s="308"/>
      <c r="I633" s="308"/>
      <c r="J633" s="277"/>
      <c r="K633" s="279"/>
      <c r="L633" s="277" t="s">
        <v>2479</v>
      </c>
      <c r="M633" s="277" t="s">
        <v>2479</v>
      </c>
      <c r="N633" s="277" t="s">
        <v>122</v>
      </c>
      <c r="O633" s="277" t="s">
        <v>2479</v>
      </c>
      <c r="P633" s="277" t="s">
        <v>1554</v>
      </c>
      <c r="Q633" s="277" t="s">
        <v>2198</v>
      </c>
      <c r="R633" s="279">
        <v>44630.453449074077</v>
      </c>
      <c r="S633" s="286">
        <v>2022</v>
      </c>
      <c r="T633" s="277" t="s">
        <v>2001</v>
      </c>
      <c r="U633" s="277" t="s">
        <v>678</v>
      </c>
      <c r="V633" s="277" t="s">
        <v>679</v>
      </c>
      <c r="W633" s="277" t="s">
        <v>145</v>
      </c>
      <c r="X633" s="277" t="s">
        <v>309</v>
      </c>
      <c r="Y633" s="278">
        <v>45078</v>
      </c>
      <c r="Z633" s="287" t="s">
        <v>1875</v>
      </c>
      <c r="AA633" s="287" t="s">
        <v>2479</v>
      </c>
      <c r="AB633" s="287" t="s">
        <v>139</v>
      </c>
      <c r="AC633" s="287" t="s">
        <v>1875</v>
      </c>
      <c r="AD633" s="287" t="s">
        <v>1805</v>
      </c>
      <c r="AE633" s="287" t="s">
        <v>1805</v>
      </c>
      <c r="AF633" s="287" t="s">
        <v>2479</v>
      </c>
      <c r="AG633" s="287" t="s">
        <v>2479</v>
      </c>
      <c r="AH633" s="287" t="s">
        <v>2479</v>
      </c>
      <c r="AI633" s="287" t="s">
        <v>2479</v>
      </c>
      <c r="AJ633" s="304" t="s">
        <v>2191</v>
      </c>
      <c r="AK633" s="287" t="s">
        <v>2479</v>
      </c>
      <c r="AL633" s="304" t="s">
        <v>2190</v>
      </c>
      <c r="AM633" s="289" t="s">
        <v>1975</v>
      </c>
      <c r="AN633" s="281" t="b">
        <v>0</v>
      </c>
      <c r="AO633" s="305"/>
      <c r="AP633" s="291"/>
      <c r="AQ633" s="291"/>
      <c r="AR633" s="291"/>
      <c r="AS633" s="291"/>
      <c r="AT633" s="291"/>
      <c r="AU633" s="291"/>
      <c r="AV633" s="305"/>
      <c r="AW633" s="281"/>
      <c r="AX633" s="281"/>
      <c r="AY633" s="289" t="s">
        <v>2479</v>
      </c>
      <c r="AZ633" s="289" t="s">
        <v>2479</v>
      </c>
      <c r="BA633" s="289" t="s">
        <v>373</v>
      </c>
      <c r="BB633" s="289" t="s">
        <v>1610</v>
      </c>
      <c r="BC633" s="292" t="s">
        <v>2192</v>
      </c>
    </row>
    <row r="634" spans="1:55" ht="45" customHeight="1">
      <c r="A634" s="269">
        <f t="shared" si="11"/>
        <v>633</v>
      </c>
      <c r="B634" s="284" t="s">
        <v>2645</v>
      </c>
      <c r="C634" s="270" t="s">
        <v>3539</v>
      </c>
      <c r="D634" s="270" t="s">
        <v>8</v>
      </c>
      <c r="E634" s="270" t="s">
        <v>13</v>
      </c>
      <c r="F634" s="270" t="s">
        <v>1571</v>
      </c>
      <c r="G634" s="302">
        <v>45009</v>
      </c>
      <c r="L634" s="270" t="s">
        <v>2479</v>
      </c>
      <c r="M634" s="270" t="s">
        <v>2479</v>
      </c>
      <c r="N634" s="272" t="s">
        <v>122</v>
      </c>
      <c r="O634" s="270" t="s">
        <v>2479</v>
      </c>
      <c r="P634" s="270" t="s">
        <v>1554</v>
      </c>
      <c r="Q634" s="270" t="s">
        <v>2198</v>
      </c>
      <c r="R634" s="306" t="s">
        <v>3540</v>
      </c>
      <c r="S634" s="285">
        <v>2023</v>
      </c>
      <c r="T634" s="270" t="s">
        <v>2001</v>
      </c>
      <c r="U634" s="270" t="s">
        <v>678</v>
      </c>
      <c r="V634" s="270" t="s">
        <v>679</v>
      </c>
      <c r="W634" s="270" t="s">
        <v>145</v>
      </c>
      <c r="X634" s="270" t="s">
        <v>309</v>
      </c>
      <c r="Y634" s="273">
        <v>45078</v>
      </c>
      <c r="Z634" s="288" t="s">
        <v>1875</v>
      </c>
      <c r="AA634" s="288" t="s">
        <v>2479</v>
      </c>
      <c r="AB634" s="288" t="s">
        <v>139</v>
      </c>
      <c r="AC634" s="288" t="s">
        <v>1875</v>
      </c>
      <c r="AD634" s="288" t="s">
        <v>1805</v>
      </c>
      <c r="AE634" s="288" t="s">
        <v>1805</v>
      </c>
      <c r="AF634" s="288" t="s">
        <v>2479</v>
      </c>
      <c r="AG634" s="288" t="s">
        <v>2479</v>
      </c>
      <c r="AH634" s="288" t="s">
        <v>2479</v>
      </c>
      <c r="AI634" s="288" t="s">
        <v>2479</v>
      </c>
      <c r="AJ634" s="303" t="s">
        <v>2191</v>
      </c>
      <c r="AK634" s="288" t="s">
        <v>2479</v>
      </c>
      <c r="AL634" s="303" t="s">
        <v>2190</v>
      </c>
      <c r="AM634" s="288" t="s">
        <v>1975</v>
      </c>
      <c r="AN634" s="207" t="b">
        <v>0</v>
      </c>
      <c r="AY634" s="288" t="s">
        <v>2479</v>
      </c>
      <c r="AZ634" s="288" t="s">
        <v>2479</v>
      </c>
      <c r="BA634" s="288" t="s">
        <v>373</v>
      </c>
      <c r="BB634" s="288" t="s">
        <v>1610</v>
      </c>
      <c r="BC634" s="288" t="s">
        <v>2192</v>
      </c>
    </row>
    <row r="635" spans="1:55" ht="45" customHeight="1">
      <c r="A635" s="269">
        <f t="shared" si="11"/>
        <v>634</v>
      </c>
      <c r="B635" s="284" t="s">
        <v>3963</v>
      </c>
      <c r="C635" s="270" t="s">
        <v>3964</v>
      </c>
      <c r="D635" s="270" t="s">
        <v>8</v>
      </c>
      <c r="E635" s="270" t="s">
        <v>13</v>
      </c>
      <c r="F635" s="270" t="s">
        <v>1575</v>
      </c>
      <c r="G635" s="302">
        <v>45076</v>
      </c>
      <c r="K635" s="306">
        <v>45080</v>
      </c>
      <c r="L635" s="270" t="s">
        <v>2193</v>
      </c>
      <c r="M635" s="270" t="s">
        <v>114</v>
      </c>
      <c r="N635" s="272" t="s">
        <v>2479</v>
      </c>
      <c r="O635" s="270" t="s">
        <v>2479</v>
      </c>
      <c r="P635" s="270" t="s">
        <v>1554</v>
      </c>
      <c r="Q635" s="270" t="s">
        <v>2198</v>
      </c>
      <c r="R635" s="306">
        <v>44992.579131944447</v>
      </c>
      <c r="S635" s="285">
        <v>2023</v>
      </c>
      <c r="T635" s="270" t="s">
        <v>2194</v>
      </c>
      <c r="U635" s="270" t="s">
        <v>678</v>
      </c>
      <c r="V635" s="270" t="s">
        <v>679</v>
      </c>
      <c r="W635" s="270" t="s">
        <v>145</v>
      </c>
      <c r="X635" s="270" t="s">
        <v>309</v>
      </c>
      <c r="Y635" s="273">
        <v>45078</v>
      </c>
      <c r="Z635" s="288" t="s">
        <v>1875</v>
      </c>
      <c r="AA635" s="288" t="s">
        <v>2479</v>
      </c>
      <c r="AB635" s="288" t="s">
        <v>139</v>
      </c>
      <c r="AC635" s="288" t="s">
        <v>1875</v>
      </c>
      <c r="AD635" s="288" t="s">
        <v>1805</v>
      </c>
      <c r="AE635" s="288" t="s">
        <v>1805</v>
      </c>
      <c r="AF635" s="288" t="s">
        <v>2479</v>
      </c>
      <c r="AG635" s="288" t="s">
        <v>2479</v>
      </c>
      <c r="AH635" s="288" t="s">
        <v>2479</v>
      </c>
      <c r="AI635" s="288" t="s">
        <v>2479</v>
      </c>
      <c r="AJ635" s="303" t="s">
        <v>2191</v>
      </c>
      <c r="AK635" s="288" t="s">
        <v>2479</v>
      </c>
      <c r="AL635" s="303" t="s">
        <v>2190</v>
      </c>
      <c r="AM635" s="288" t="s">
        <v>1975</v>
      </c>
      <c r="AN635" s="207" t="b">
        <v>0</v>
      </c>
      <c r="AY635" s="288" t="s">
        <v>2479</v>
      </c>
      <c r="AZ635" s="288" t="s">
        <v>2479</v>
      </c>
      <c r="BA635" s="288" t="s">
        <v>373</v>
      </c>
      <c r="BB635" s="288" t="s">
        <v>139</v>
      </c>
      <c r="BC635" s="288" t="s">
        <v>2861</v>
      </c>
    </row>
    <row r="636" spans="1:55" ht="45" customHeight="1">
      <c r="A636" s="269">
        <f t="shared" si="11"/>
        <v>635</v>
      </c>
      <c r="B636" s="284" t="s">
        <v>3965</v>
      </c>
      <c r="C636" s="270" t="s">
        <v>3966</v>
      </c>
      <c r="D636" s="270" t="s">
        <v>8</v>
      </c>
      <c r="E636" s="270" t="s">
        <v>13</v>
      </c>
      <c r="F636" s="270" t="s">
        <v>1575</v>
      </c>
      <c r="G636" s="302">
        <v>45072</v>
      </c>
      <c r="K636" s="306">
        <v>45097</v>
      </c>
      <c r="L636" s="270" t="s">
        <v>2193</v>
      </c>
      <c r="M636" s="270" t="s">
        <v>114</v>
      </c>
      <c r="N636" s="272" t="s">
        <v>2479</v>
      </c>
      <c r="O636" s="270" t="s">
        <v>2479</v>
      </c>
      <c r="P636" s="270" t="s">
        <v>1554</v>
      </c>
      <c r="Q636" s="270" t="s">
        <v>2198</v>
      </c>
      <c r="R636" s="306">
        <v>44992.60050925926</v>
      </c>
      <c r="S636" s="285">
        <v>2023</v>
      </c>
      <c r="T636" s="270" t="s">
        <v>2194</v>
      </c>
      <c r="U636" s="270" t="s">
        <v>678</v>
      </c>
      <c r="V636" s="270" t="s">
        <v>679</v>
      </c>
      <c r="W636" s="270" t="s">
        <v>145</v>
      </c>
      <c r="X636" s="270" t="s">
        <v>309</v>
      </c>
      <c r="Y636" s="273">
        <v>45078</v>
      </c>
      <c r="Z636" s="288" t="s">
        <v>1875</v>
      </c>
      <c r="AA636" s="288" t="s">
        <v>2479</v>
      </c>
      <c r="AB636" s="288" t="s">
        <v>139</v>
      </c>
      <c r="AC636" s="288" t="s">
        <v>1875</v>
      </c>
      <c r="AD636" s="288" t="s">
        <v>1805</v>
      </c>
      <c r="AE636" s="288" t="s">
        <v>1805</v>
      </c>
      <c r="AF636" s="288" t="s">
        <v>2479</v>
      </c>
      <c r="AG636" s="288" t="s">
        <v>2479</v>
      </c>
      <c r="AH636" s="288" t="s">
        <v>2479</v>
      </c>
      <c r="AI636" s="288" t="s">
        <v>2479</v>
      </c>
      <c r="AJ636" s="303" t="s">
        <v>2191</v>
      </c>
      <c r="AK636" s="288" t="s">
        <v>2479</v>
      </c>
      <c r="AL636" s="303" t="s">
        <v>2190</v>
      </c>
      <c r="AM636" s="288" t="s">
        <v>1975</v>
      </c>
      <c r="AN636" s="207" t="b">
        <v>0</v>
      </c>
      <c r="AY636" s="288" t="s">
        <v>2479</v>
      </c>
      <c r="AZ636" s="288" t="s">
        <v>2479</v>
      </c>
      <c r="BA636" s="288" t="s">
        <v>373</v>
      </c>
      <c r="BB636" s="288" t="s">
        <v>139</v>
      </c>
      <c r="BC636" s="288" t="s">
        <v>2862</v>
      </c>
    </row>
    <row r="637" spans="1:55" ht="45" customHeight="1">
      <c r="A637" s="269">
        <f t="shared" si="11"/>
        <v>636</v>
      </c>
      <c r="B637" s="284" t="s">
        <v>3977</v>
      </c>
      <c r="C637" s="270" t="s">
        <v>3891</v>
      </c>
      <c r="D637" s="270" t="s">
        <v>8</v>
      </c>
      <c r="E637" s="270" t="s">
        <v>13</v>
      </c>
      <c r="F637" s="270" t="s">
        <v>1575</v>
      </c>
      <c r="G637" s="302">
        <v>45076</v>
      </c>
      <c r="K637" s="306">
        <v>45082</v>
      </c>
      <c r="L637" s="270" t="s">
        <v>2193</v>
      </c>
      <c r="M637" s="270" t="s">
        <v>114</v>
      </c>
      <c r="N637" s="272" t="s">
        <v>2479</v>
      </c>
      <c r="O637" s="270" t="s">
        <v>2479</v>
      </c>
      <c r="P637" s="270" t="s">
        <v>1554</v>
      </c>
      <c r="Q637" s="270" t="s">
        <v>2198</v>
      </c>
      <c r="R637" s="306">
        <v>44992.649317129632</v>
      </c>
      <c r="S637" s="285">
        <v>2023</v>
      </c>
      <c r="T637" s="270" t="s">
        <v>2194</v>
      </c>
      <c r="U637" s="270" t="s">
        <v>678</v>
      </c>
      <c r="V637" s="270" t="s">
        <v>679</v>
      </c>
      <c r="W637" s="270" t="s">
        <v>145</v>
      </c>
      <c r="X637" s="270" t="s">
        <v>309</v>
      </c>
      <c r="Y637" s="273">
        <v>45078</v>
      </c>
      <c r="Z637" s="288" t="s">
        <v>1875</v>
      </c>
      <c r="AA637" s="288" t="s">
        <v>2479</v>
      </c>
      <c r="AB637" s="288" t="s">
        <v>139</v>
      </c>
      <c r="AC637" s="288" t="s">
        <v>1875</v>
      </c>
      <c r="AD637" s="288" t="s">
        <v>1805</v>
      </c>
      <c r="AE637" s="288" t="s">
        <v>1805</v>
      </c>
      <c r="AF637" s="288" t="s">
        <v>2479</v>
      </c>
      <c r="AG637" s="288" t="s">
        <v>2479</v>
      </c>
      <c r="AH637" s="288" t="s">
        <v>2479</v>
      </c>
      <c r="AI637" s="288" t="s">
        <v>2479</v>
      </c>
      <c r="AJ637" s="303" t="s">
        <v>2191</v>
      </c>
      <c r="AK637" s="288" t="s">
        <v>2479</v>
      </c>
      <c r="AL637" s="303" t="s">
        <v>2190</v>
      </c>
      <c r="AM637" s="288" t="s">
        <v>1975</v>
      </c>
      <c r="AN637" s="207" t="b">
        <v>0</v>
      </c>
      <c r="AY637" s="288" t="s">
        <v>2479</v>
      </c>
      <c r="AZ637" s="288" t="s">
        <v>2479</v>
      </c>
      <c r="BA637" s="288" t="s">
        <v>373</v>
      </c>
      <c r="BB637" s="288" t="s">
        <v>139</v>
      </c>
      <c r="BC637" s="288" t="s">
        <v>2861</v>
      </c>
    </row>
    <row r="638" spans="1:55" ht="45" customHeight="1">
      <c r="A638" s="269">
        <f t="shared" si="11"/>
        <v>637</v>
      </c>
      <c r="B638" s="284" t="s">
        <v>3507</v>
      </c>
      <c r="C638" s="270" t="s">
        <v>3508</v>
      </c>
      <c r="D638" s="270" t="s">
        <v>8</v>
      </c>
      <c r="E638" s="270" t="s">
        <v>13</v>
      </c>
      <c r="F638" s="270" t="s">
        <v>1575</v>
      </c>
      <c r="G638" s="302">
        <v>45001</v>
      </c>
      <c r="K638" s="306">
        <v>45104</v>
      </c>
      <c r="L638" s="270" t="s">
        <v>2193</v>
      </c>
      <c r="M638" s="270" t="s">
        <v>114</v>
      </c>
      <c r="N638" s="272" t="s">
        <v>2479</v>
      </c>
      <c r="O638" s="270" t="s">
        <v>2479</v>
      </c>
      <c r="P638" s="270" t="s">
        <v>1554</v>
      </c>
      <c r="Q638" s="270" t="s">
        <v>2198</v>
      </c>
      <c r="R638" s="306">
        <v>44992.644791666666</v>
      </c>
      <c r="S638" s="285">
        <v>2023</v>
      </c>
      <c r="T638" s="270" t="s">
        <v>2194</v>
      </c>
      <c r="U638" s="270" t="s">
        <v>678</v>
      </c>
      <c r="V638" s="270" t="s">
        <v>679</v>
      </c>
      <c r="W638" s="270" t="s">
        <v>145</v>
      </c>
      <c r="X638" s="270" t="s">
        <v>309</v>
      </c>
      <c r="Y638" s="273">
        <v>45078</v>
      </c>
      <c r="Z638" s="288" t="s">
        <v>1875</v>
      </c>
      <c r="AA638" s="288" t="s">
        <v>2479</v>
      </c>
      <c r="AB638" s="288" t="s">
        <v>139</v>
      </c>
      <c r="AC638" s="288" t="s">
        <v>1875</v>
      </c>
      <c r="AD638" s="288" t="s">
        <v>1805</v>
      </c>
      <c r="AE638" s="288" t="s">
        <v>1805</v>
      </c>
      <c r="AF638" s="288" t="s">
        <v>2479</v>
      </c>
      <c r="AG638" s="288" t="s">
        <v>2479</v>
      </c>
      <c r="AH638" s="288" t="s">
        <v>2479</v>
      </c>
      <c r="AI638" s="288" t="s">
        <v>2479</v>
      </c>
      <c r="AJ638" s="303" t="s">
        <v>2191</v>
      </c>
      <c r="AK638" s="288" t="s">
        <v>2479</v>
      </c>
      <c r="AL638" s="303" t="s">
        <v>2190</v>
      </c>
      <c r="AM638" s="288" t="s">
        <v>1975</v>
      </c>
      <c r="AN638" s="207" t="b">
        <v>0</v>
      </c>
      <c r="AY638" s="288" t="s">
        <v>2479</v>
      </c>
      <c r="AZ638" s="288" t="s">
        <v>2479</v>
      </c>
      <c r="BA638" s="288" t="s">
        <v>373</v>
      </c>
      <c r="BB638" s="288" t="s">
        <v>139</v>
      </c>
      <c r="BC638" s="288" t="s">
        <v>2862</v>
      </c>
    </row>
    <row r="639" spans="1:55" ht="45" customHeight="1">
      <c r="A639" s="269">
        <f t="shared" si="11"/>
        <v>638</v>
      </c>
      <c r="B639" s="284" t="s">
        <v>3710</v>
      </c>
      <c r="C639" s="270" t="s">
        <v>3711</v>
      </c>
      <c r="D639" s="270" t="s">
        <v>8</v>
      </c>
      <c r="E639" s="270" t="s">
        <v>13</v>
      </c>
      <c r="F639" s="270" t="s">
        <v>1575</v>
      </c>
      <c r="G639" s="302">
        <v>45027</v>
      </c>
      <c r="K639" s="306">
        <v>45089</v>
      </c>
      <c r="L639" s="270" t="s">
        <v>2193</v>
      </c>
      <c r="M639" s="270" t="s">
        <v>114</v>
      </c>
      <c r="N639" s="272" t="s">
        <v>2479</v>
      </c>
      <c r="O639" s="270" t="s">
        <v>2479</v>
      </c>
      <c r="P639" s="270" t="s">
        <v>1554</v>
      </c>
      <c r="Q639" s="270" t="s">
        <v>2198</v>
      </c>
      <c r="R639" s="306">
        <v>44992.64539351852</v>
      </c>
      <c r="S639" s="285">
        <v>2023</v>
      </c>
      <c r="T639" s="270" t="s">
        <v>2194</v>
      </c>
      <c r="U639" s="270" t="s">
        <v>678</v>
      </c>
      <c r="V639" s="270" t="s">
        <v>679</v>
      </c>
      <c r="W639" s="270" t="s">
        <v>145</v>
      </c>
      <c r="X639" s="270" t="s">
        <v>309</v>
      </c>
      <c r="Y639" s="273">
        <v>45078</v>
      </c>
      <c r="Z639" s="288" t="s">
        <v>1875</v>
      </c>
      <c r="AA639" s="288" t="s">
        <v>2479</v>
      </c>
      <c r="AB639" s="288" t="s">
        <v>139</v>
      </c>
      <c r="AC639" s="288" t="s">
        <v>1875</v>
      </c>
      <c r="AD639" s="288" t="s">
        <v>1805</v>
      </c>
      <c r="AE639" s="288" t="s">
        <v>1805</v>
      </c>
      <c r="AF639" s="288" t="s">
        <v>2479</v>
      </c>
      <c r="AG639" s="288" t="s">
        <v>2479</v>
      </c>
      <c r="AH639" s="288" t="s">
        <v>2479</v>
      </c>
      <c r="AI639" s="288" t="s">
        <v>2479</v>
      </c>
      <c r="AJ639" s="303" t="s">
        <v>2191</v>
      </c>
      <c r="AK639" s="288" t="s">
        <v>2479</v>
      </c>
      <c r="AL639" s="303" t="s">
        <v>2190</v>
      </c>
      <c r="AM639" s="288" t="s">
        <v>1975</v>
      </c>
      <c r="AN639" s="207" t="b">
        <v>0</v>
      </c>
      <c r="AY639" s="288" t="s">
        <v>2479</v>
      </c>
      <c r="AZ639" s="288" t="s">
        <v>2479</v>
      </c>
      <c r="BA639" s="288" t="s">
        <v>373</v>
      </c>
      <c r="BB639" s="288" t="s">
        <v>139</v>
      </c>
      <c r="BC639" s="288" t="s">
        <v>2861</v>
      </c>
    </row>
    <row r="640" spans="1:55" ht="45" customHeight="1">
      <c r="A640" s="269">
        <f t="shared" si="11"/>
        <v>639</v>
      </c>
      <c r="B640" s="284" t="s">
        <v>3712</v>
      </c>
      <c r="C640" s="270" t="s">
        <v>3713</v>
      </c>
      <c r="D640" s="270" t="s">
        <v>8</v>
      </c>
      <c r="E640" s="270" t="s">
        <v>13</v>
      </c>
      <c r="F640" s="270" t="s">
        <v>1575</v>
      </c>
      <c r="G640" s="302">
        <v>45027</v>
      </c>
      <c r="K640" s="306">
        <v>45082</v>
      </c>
      <c r="L640" s="270" t="s">
        <v>2193</v>
      </c>
      <c r="M640" s="270" t="s">
        <v>114</v>
      </c>
      <c r="N640" s="272" t="s">
        <v>2479</v>
      </c>
      <c r="O640" s="270" t="s">
        <v>2479</v>
      </c>
      <c r="P640" s="270" t="s">
        <v>1554</v>
      </c>
      <c r="Q640" s="270" t="s">
        <v>2198</v>
      </c>
      <c r="R640" s="306">
        <v>44992.574074074073</v>
      </c>
      <c r="S640" s="285">
        <v>2023</v>
      </c>
      <c r="T640" s="270" t="s">
        <v>2194</v>
      </c>
      <c r="U640" s="270" t="s">
        <v>678</v>
      </c>
      <c r="V640" s="270" t="s">
        <v>679</v>
      </c>
      <c r="W640" s="270" t="s">
        <v>145</v>
      </c>
      <c r="X640" s="270" t="s">
        <v>309</v>
      </c>
      <c r="Y640" s="273">
        <v>45078</v>
      </c>
      <c r="Z640" s="288" t="s">
        <v>1875</v>
      </c>
      <c r="AA640" s="288" t="s">
        <v>2479</v>
      </c>
      <c r="AB640" s="288" t="s">
        <v>139</v>
      </c>
      <c r="AC640" s="288" t="s">
        <v>1875</v>
      </c>
      <c r="AD640" s="288" t="s">
        <v>1805</v>
      </c>
      <c r="AE640" s="288" t="s">
        <v>1805</v>
      </c>
      <c r="AF640" s="288" t="s">
        <v>2479</v>
      </c>
      <c r="AG640" s="288" t="s">
        <v>2479</v>
      </c>
      <c r="AH640" s="288" t="s">
        <v>2479</v>
      </c>
      <c r="AI640" s="288" t="s">
        <v>2479</v>
      </c>
      <c r="AJ640" s="303" t="s">
        <v>2191</v>
      </c>
      <c r="AK640" s="288" t="s">
        <v>2479</v>
      </c>
      <c r="AL640" s="303" t="s">
        <v>2190</v>
      </c>
      <c r="AM640" s="288" t="s">
        <v>1975</v>
      </c>
      <c r="AN640" s="207" t="b">
        <v>0</v>
      </c>
      <c r="AY640" s="288" t="s">
        <v>2479</v>
      </c>
      <c r="AZ640" s="288" t="s">
        <v>2479</v>
      </c>
      <c r="BA640" s="288" t="s">
        <v>373</v>
      </c>
      <c r="BB640" s="288" t="s">
        <v>139</v>
      </c>
      <c r="BC640" s="288" t="s">
        <v>2861</v>
      </c>
    </row>
    <row r="641" spans="1:55" ht="45" customHeight="1">
      <c r="A641" s="269">
        <f t="shared" si="11"/>
        <v>640</v>
      </c>
      <c r="B641" s="284" t="s">
        <v>3714</v>
      </c>
      <c r="C641" s="270" t="s">
        <v>3715</v>
      </c>
      <c r="D641" s="270" t="s">
        <v>8</v>
      </c>
      <c r="E641" s="270" t="s">
        <v>13</v>
      </c>
      <c r="F641" s="270" t="s">
        <v>1575</v>
      </c>
      <c r="G641" s="302">
        <v>45034</v>
      </c>
      <c r="K641" s="306">
        <v>45095</v>
      </c>
      <c r="L641" s="270" t="s">
        <v>2193</v>
      </c>
      <c r="M641" s="270" t="s">
        <v>114</v>
      </c>
      <c r="N641" s="272" t="s">
        <v>2479</v>
      </c>
      <c r="O641" s="270" t="s">
        <v>2479</v>
      </c>
      <c r="P641" s="270" t="s">
        <v>1554</v>
      </c>
      <c r="Q641" s="270" t="s">
        <v>2198</v>
      </c>
      <c r="R641" s="306">
        <v>44992.645844907405</v>
      </c>
      <c r="S641" s="285">
        <v>2023</v>
      </c>
      <c r="T641" s="270" t="s">
        <v>2194</v>
      </c>
      <c r="U641" s="270" t="s">
        <v>678</v>
      </c>
      <c r="V641" s="270" t="s">
        <v>679</v>
      </c>
      <c r="W641" s="270" t="s">
        <v>145</v>
      </c>
      <c r="X641" s="270" t="s">
        <v>309</v>
      </c>
      <c r="Y641" s="273">
        <v>45078</v>
      </c>
      <c r="Z641" s="288" t="s">
        <v>1875</v>
      </c>
      <c r="AA641" s="288" t="s">
        <v>2479</v>
      </c>
      <c r="AB641" s="288" t="s">
        <v>139</v>
      </c>
      <c r="AC641" s="288" t="s">
        <v>1875</v>
      </c>
      <c r="AD641" s="288" t="s">
        <v>1805</v>
      </c>
      <c r="AE641" s="288" t="s">
        <v>1805</v>
      </c>
      <c r="AF641" s="288" t="s">
        <v>2479</v>
      </c>
      <c r="AG641" s="288" t="s">
        <v>2479</v>
      </c>
      <c r="AH641" s="288" t="s">
        <v>2479</v>
      </c>
      <c r="AI641" s="288" t="s">
        <v>2479</v>
      </c>
      <c r="AJ641" s="303" t="s">
        <v>2191</v>
      </c>
      <c r="AK641" s="288" t="s">
        <v>2479</v>
      </c>
      <c r="AL641" s="303" t="s">
        <v>2190</v>
      </c>
      <c r="AM641" s="288" t="s">
        <v>1975</v>
      </c>
      <c r="AN641" s="207" t="b">
        <v>0</v>
      </c>
      <c r="AY641" s="288" t="s">
        <v>2479</v>
      </c>
      <c r="AZ641" s="288" t="s">
        <v>2479</v>
      </c>
      <c r="BA641" s="288" t="s">
        <v>373</v>
      </c>
      <c r="BB641" s="288" t="s">
        <v>139</v>
      </c>
      <c r="BC641" s="288" t="s">
        <v>2861</v>
      </c>
    </row>
    <row r="642" spans="1:55" ht="45" customHeight="1">
      <c r="A642" s="269">
        <f t="shared" si="11"/>
        <v>641</v>
      </c>
      <c r="B642" s="284" t="s">
        <v>3716</v>
      </c>
      <c r="C642" s="270" t="s">
        <v>3717</v>
      </c>
      <c r="D642" s="270" t="s">
        <v>8</v>
      </c>
      <c r="E642" s="270" t="s">
        <v>13</v>
      </c>
      <c r="F642" s="270" t="s">
        <v>1575</v>
      </c>
      <c r="G642" s="302">
        <v>45042</v>
      </c>
      <c r="K642" s="306">
        <v>45104</v>
      </c>
      <c r="L642" s="270" t="s">
        <v>2193</v>
      </c>
      <c r="M642" s="270" t="s">
        <v>116</v>
      </c>
      <c r="N642" s="272" t="s">
        <v>2479</v>
      </c>
      <c r="O642" s="270" t="s">
        <v>2479</v>
      </c>
      <c r="P642" s="270" t="s">
        <v>1554</v>
      </c>
      <c r="Q642" s="270" t="s">
        <v>2198</v>
      </c>
      <c r="R642" s="306">
        <v>44992.646180555559</v>
      </c>
      <c r="S642" s="285">
        <v>2023</v>
      </c>
      <c r="T642" s="270" t="s">
        <v>2194</v>
      </c>
      <c r="U642" s="270" t="s">
        <v>678</v>
      </c>
      <c r="V642" s="270" t="s">
        <v>679</v>
      </c>
      <c r="W642" s="270" t="s">
        <v>145</v>
      </c>
      <c r="X642" s="270" t="s">
        <v>309</v>
      </c>
      <c r="Y642" s="273">
        <v>45078</v>
      </c>
      <c r="Z642" s="288" t="s">
        <v>1875</v>
      </c>
      <c r="AA642" s="288" t="s">
        <v>2479</v>
      </c>
      <c r="AB642" s="288" t="s">
        <v>139</v>
      </c>
      <c r="AC642" s="288" t="s">
        <v>1875</v>
      </c>
      <c r="AD642" s="288" t="s">
        <v>1805</v>
      </c>
      <c r="AE642" s="288" t="s">
        <v>1805</v>
      </c>
      <c r="AF642" s="288" t="s">
        <v>2479</v>
      </c>
      <c r="AG642" s="288" t="s">
        <v>2479</v>
      </c>
      <c r="AH642" s="288" t="s">
        <v>2479</v>
      </c>
      <c r="AI642" s="288" t="s">
        <v>2479</v>
      </c>
      <c r="AJ642" s="303" t="s">
        <v>2191</v>
      </c>
      <c r="AK642" s="288" t="s">
        <v>2479</v>
      </c>
      <c r="AL642" s="303" t="s">
        <v>2190</v>
      </c>
      <c r="AM642" s="288" t="s">
        <v>1975</v>
      </c>
      <c r="AN642" s="207" t="b">
        <v>0</v>
      </c>
      <c r="AY642" s="288" t="s">
        <v>2479</v>
      </c>
      <c r="AZ642" s="288" t="s">
        <v>2479</v>
      </c>
      <c r="BA642" s="288" t="s">
        <v>373</v>
      </c>
      <c r="BB642" s="288" t="s">
        <v>139</v>
      </c>
      <c r="BC642" s="288" t="s">
        <v>2862</v>
      </c>
    </row>
    <row r="643" spans="1:55" ht="45" customHeight="1">
      <c r="A643" s="269">
        <f t="shared" si="11"/>
        <v>642</v>
      </c>
      <c r="B643" s="284" t="s">
        <v>3880</v>
      </c>
      <c r="C643" s="270" t="s">
        <v>3881</v>
      </c>
      <c r="D643" s="270" t="s">
        <v>8</v>
      </c>
      <c r="E643" s="270" t="s">
        <v>13</v>
      </c>
      <c r="F643" s="270" t="s">
        <v>1575</v>
      </c>
      <c r="G643" s="302">
        <v>45082</v>
      </c>
      <c r="K643" s="306">
        <v>45087</v>
      </c>
      <c r="L643" s="270" t="s">
        <v>2193</v>
      </c>
      <c r="M643" s="270" t="s">
        <v>114</v>
      </c>
      <c r="N643" s="272" t="s">
        <v>2479</v>
      </c>
      <c r="O643" s="270" t="s">
        <v>2479</v>
      </c>
      <c r="P643" s="270" t="s">
        <v>1555</v>
      </c>
      <c r="Q643" s="270" t="s">
        <v>2198</v>
      </c>
      <c r="R643" s="306">
        <v>44992.581736111111</v>
      </c>
      <c r="S643" s="285">
        <v>2023</v>
      </c>
      <c r="T643" s="270" t="s">
        <v>2194</v>
      </c>
      <c r="U643" s="270" t="s">
        <v>678</v>
      </c>
      <c r="V643" s="270" t="s">
        <v>679</v>
      </c>
      <c r="W643" s="270" t="s">
        <v>145</v>
      </c>
      <c r="X643" s="270" t="s">
        <v>309</v>
      </c>
      <c r="Y643" s="273">
        <v>45078</v>
      </c>
      <c r="Z643" s="288" t="s">
        <v>1875</v>
      </c>
      <c r="AA643" s="288" t="s">
        <v>2479</v>
      </c>
      <c r="AB643" s="288" t="s">
        <v>139</v>
      </c>
      <c r="AC643" s="288" t="s">
        <v>1875</v>
      </c>
      <c r="AD643" s="288" t="s">
        <v>1805</v>
      </c>
      <c r="AE643" s="288" t="s">
        <v>1805</v>
      </c>
      <c r="AF643" s="288" t="s">
        <v>2479</v>
      </c>
      <c r="AG643" s="288" t="s">
        <v>2479</v>
      </c>
      <c r="AH643" s="288" t="s">
        <v>2479</v>
      </c>
      <c r="AI643" s="288" t="s">
        <v>2479</v>
      </c>
      <c r="AJ643" s="303" t="s">
        <v>2191</v>
      </c>
      <c r="AK643" s="288" t="s">
        <v>2479</v>
      </c>
      <c r="AL643" s="303" t="s">
        <v>2190</v>
      </c>
      <c r="AM643" s="288" t="s">
        <v>1975</v>
      </c>
      <c r="AN643" s="207" t="b">
        <v>0</v>
      </c>
      <c r="AY643" s="288" t="s">
        <v>2479</v>
      </c>
      <c r="AZ643" s="288" t="s">
        <v>2479</v>
      </c>
      <c r="BA643" s="288" t="s">
        <v>373</v>
      </c>
      <c r="BB643" s="288" t="s">
        <v>139</v>
      </c>
      <c r="BC643" s="288" t="s">
        <v>2861</v>
      </c>
    </row>
    <row r="644" spans="1:55" ht="45" customHeight="1">
      <c r="A644" s="269">
        <f t="shared" si="11"/>
        <v>643</v>
      </c>
      <c r="B644" s="284" t="s">
        <v>3882</v>
      </c>
      <c r="C644" s="270" t="s">
        <v>3883</v>
      </c>
      <c r="D644" s="270" t="s">
        <v>8</v>
      </c>
      <c r="E644" s="270" t="s">
        <v>13</v>
      </c>
      <c r="F644" s="270" t="s">
        <v>1575</v>
      </c>
      <c r="G644" s="302">
        <v>45084</v>
      </c>
      <c r="K644" s="306">
        <v>45101</v>
      </c>
      <c r="L644" s="270" t="s">
        <v>2193</v>
      </c>
      <c r="M644" s="270" t="s">
        <v>114</v>
      </c>
      <c r="N644" s="272" t="s">
        <v>2479</v>
      </c>
      <c r="O644" s="270" t="s">
        <v>2479</v>
      </c>
      <c r="P644" s="270" t="s">
        <v>1555</v>
      </c>
      <c r="Q644" s="270" t="s">
        <v>2198</v>
      </c>
      <c r="R644" s="306">
        <v>44992.608993055554</v>
      </c>
      <c r="S644" s="285">
        <v>2023</v>
      </c>
      <c r="T644" s="270" t="s">
        <v>2194</v>
      </c>
      <c r="U644" s="270" t="s">
        <v>678</v>
      </c>
      <c r="V644" s="270" t="s">
        <v>679</v>
      </c>
      <c r="W644" s="270" t="s">
        <v>145</v>
      </c>
      <c r="X644" s="270" t="s">
        <v>309</v>
      </c>
      <c r="Y644" s="273">
        <v>45078</v>
      </c>
      <c r="Z644" s="288" t="s">
        <v>1875</v>
      </c>
      <c r="AA644" s="288" t="s">
        <v>2479</v>
      </c>
      <c r="AB644" s="288" t="s">
        <v>139</v>
      </c>
      <c r="AC644" s="288" t="s">
        <v>1875</v>
      </c>
      <c r="AD644" s="288" t="s">
        <v>1805</v>
      </c>
      <c r="AE644" s="288" t="s">
        <v>1805</v>
      </c>
      <c r="AF644" s="288" t="s">
        <v>2479</v>
      </c>
      <c r="AG644" s="288" t="s">
        <v>2479</v>
      </c>
      <c r="AH644" s="288" t="s">
        <v>2479</v>
      </c>
      <c r="AI644" s="288" t="s">
        <v>2479</v>
      </c>
      <c r="AJ644" s="303" t="s">
        <v>2191</v>
      </c>
      <c r="AK644" s="288" t="s">
        <v>2479</v>
      </c>
      <c r="AL644" s="303" t="s">
        <v>2190</v>
      </c>
      <c r="AM644" s="288" t="s">
        <v>1975</v>
      </c>
      <c r="AN644" s="207" t="b">
        <v>0</v>
      </c>
      <c r="AY644" s="288" t="s">
        <v>2479</v>
      </c>
      <c r="AZ644" s="288" t="s">
        <v>2479</v>
      </c>
      <c r="BA644" s="288" t="s">
        <v>373</v>
      </c>
      <c r="BB644" s="288" t="s">
        <v>139</v>
      </c>
      <c r="BC644" s="288" t="s">
        <v>2861</v>
      </c>
    </row>
    <row r="645" spans="1:55" ht="45" customHeight="1">
      <c r="A645" s="269">
        <f t="shared" si="11"/>
        <v>644</v>
      </c>
      <c r="B645" s="284" t="s">
        <v>3884</v>
      </c>
      <c r="C645" s="270" t="s">
        <v>3885</v>
      </c>
      <c r="D645" s="270" t="s">
        <v>8</v>
      </c>
      <c r="E645" s="270" t="s">
        <v>13</v>
      </c>
      <c r="F645" s="270" t="s">
        <v>1575</v>
      </c>
      <c r="G645" s="302">
        <v>45084</v>
      </c>
      <c r="K645" s="306">
        <v>45101</v>
      </c>
      <c r="L645" s="270" t="s">
        <v>2193</v>
      </c>
      <c r="M645" s="270" t="s">
        <v>114</v>
      </c>
      <c r="N645" s="272" t="s">
        <v>2479</v>
      </c>
      <c r="O645" s="270" t="s">
        <v>2479</v>
      </c>
      <c r="P645" s="270" t="s">
        <v>1555</v>
      </c>
      <c r="Q645" s="270" t="s">
        <v>2198</v>
      </c>
      <c r="R645" s="306">
        <v>44992.605671296296</v>
      </c>
      <c r="S645" s="285">
        <v>2023</v>
      </c>
      <c r="T645" s="270" t="s">
        <v>2194</v>
      </c>
      <c r="U645" s="270" t="s">
        <v>678</v>
      </c>
      <c r="V645" s="270" t="s">
        <v>679</v>
      </c>
      <c r="W645" s="270" t="s">
        <v>145</v>
      </c>
      <c r="X645" s="270" t="s">
        <v>309</v>
      </c>
      <c r="Y645" s="273">
        <v>45078</v>
      </c>
      <c r="Z645" s="288" t="s">
        <v>1875</v>
      </c>
      <c r="AA645" s="288" t="s">
        <v>2479</v>
      </c>
      <c r="AB645" s="288" t="s">
        <v>139</v>
      </c>
      <c r="AC645" s="288" t="s">
        <v>1875</v>
      </c>
      <c r="AD645" s="288" t="s">
        <v>1805</v>
      </c>
      <c r="AE645" s="288" t="s">
        <v>1805</v>
      </c>
      <c r="AF645" s="288" t="s">
        <v>2479</v>
      </c>
      <c r="AG645" s="288" t="s">
        <v>2479</v>
      </c>
      <c r="AH645" s="288" t="s">
        <v>2479</v>
      </c>
      <c r="AI645" s="288" t="s">
        <v>2479</v>
      </c>
      <c r="AJ645" s="303" t="s">
        <v>2191</v>
      </c>
      <c r="AK645" s="288" t="s">
        <v>2479</v>
      </c>
      <c r="AL645" s="303" t="s">
        <v>2190</v>
      </c>
      <c r="AM645" s="288" t="s">
        <v>1975</v>
      </c>
      <c r="AN645" s="207" t="b">
        <v>0</v>
      </c>
      <c r="AY645" s="288" t="s">
        <v>2479</v>
      </c>
      <c r="AZ645" s="288" t="s">
        <v>2479</v>
      </c>
      <c r="BA645" s="288" t="s">
        <v>373</v>
      </c>
      <c r="BB645" s="288" t="s">
        <v>139</v>
      </c>
      <c r="BC645" s="288" t="s">
        <v>2861</v>
      </c>
    </row>
    <row r="646" spans="1:55" ht="45" customHeight="1">
      <c r="A646" s="269">
        <f t="shared" si="11"/>
        <v>645</v>
      </c>
      <c r="B646" s="284" t="s">
        <v>3886</v>
      </c>
      <c r="C646" s="270" t="s">
        <v>3887</v>
      </c>
      <c r="D646" s="270" t="s">
        <v>8</v>
      </c>
      <c r="E646" s="270" t="s">
        <v>13</v>
      </c>
      <c r="F646" s="270" t="s">
        <v>1575</v>
      </c>
      <c r="G646" s="302">
        <v>45085</v>
      </c>
      <c r="K646" s="306">
        <v>45101</v>
      </c>
      <c r="L646" s="270" t="s">
        <v>2193</v>
      </c>
      <c r="M646" s="270" t="s">
        <v>114</v>
      </c>
      <c r="N646" s="272" t="s">
        <v>2479</v>
      </c>
      <c r="O646" s="270" t="s">
        <v>2479</v>
      </c>
      <c r="P646" s="270" t="s">
        <v>1555</v>
      </c>
      <c r="Q646" s="270" t="s">
        <v>2198</v>
      </c>
      <c r="R646" s="306">
        <v>44992.605347222219</v>
      </c>
      <c r="S646" s="285">
        <v>2023</v>
      </c>
      <c r="T646" s="270" t="s">
        <v>2194</v>
      </c>
      <c r="U646" s="270" t="s">
        <v>678</v>
      </c>
      <c r="V646" s="270" t="s">
        <v>679</v>
      </c>
      <c r="W646" s="270" t="s">
        <v>145</v>
      </c>
      <c r="X646" s="270" t="s">
        <v>309</v>
      </c>
      <c r="Y646" s="273">
        <v>45078</v>
      </c>
      <c r="Z646" s="288" t="s">
        <v>1875</v>
      </c>
      <c r="AA646" s="288" t="s">
        <v>2479</v>
      </c>
      <c r="AB646" s="288" t="s">
        <v>139</v>
      </c>
      <c r="AC646" s="288" t="s">
        <v>1875</v>
      </c>
      <c r="AD646" s="288" t="s">
        <v>1805</v>
      </c>
      <c r="AE646" s="288" t="s">
        <v>1805</v>
      </c>
      <c r="AF646" s="288" t="s">
        <v>2479</v>
      </c>
      <c r="AG646" s="288" t="s">
        <v>2479</v>
      </c>
      <c r="AH646" s="288" t="s">
        <v>2479</v>
      </c>
      <c r="AI646" s="288" t="s">
        <v>2479</v>
      </c>
      <c r="AJ646" s="303" t="s">
        <v>2191</v>
      </c>
      <c r="AK646" s="288" t="s">
        <v>2479</v>
      </c>
      <c r="AL646" s="303" t="s">
        <v>2190</v>
      </c>
      <c r="AM646" s="288" t="s">
        <v>1975</v>
      </c>
      <c r="AN646" s="207" t="b">
        <v>0</v>
      </c>
      <c r="AY646" s="288" t="s">
        <v>2479</v>
      </c>
      <c r="AZ646" s="288" t="s">
        <v>2479</v>
      </c>
      <c r="BA646" s="288" t="s">
        <v>373</v>
      </c>
      <c r="BB646" s="288" t="s">
        <v>139</v>
      </c>
      <c r="BC646" s="288" t="s">
        <v>2862</v>
      </c>
    </row>
    <row r="647" spans="1:55" ht="45" customHeight="1">
      <c r="A647" s="269">
        <f t="shared" ref="A647:A678" si="12">ROW()-1</f>
        <v>646</v>
      </c>
      <c r="B647" s="284" t="s">
        <v>3888</v>
      </c>
      <c r="C647" s="270" t="s">
        <v>3889</v>
      </c>
      <c r="D647" s="270" t="s">
        <v>8</v>
      </c>
      <c r="E647" s="270" t="s">
        <v>13</v>
      </c>
      <c r="F647" s="270" t="s">
        <v>1575</v>
      </c>
      <c r="G647" s="302">
        <v>45086</v>
      </c>
      <c r="K647" s="306">
        <v>45093</v>
      </c>
      <c r="L647" s="270" t="s">
        <v>2193</v>
      </c>
      <c r="M647" s="270" t="s">
        <v>114</v>
      </c>
      <c r="N647" s="272" t="s">
        <v>2479</v>
      </c>
      <c r="O647" s="270" t="s">
        <v>2479</v>
      </c>
      <c r="P647" s="270" t="s">
        <v>1555</v>
      </c>
      <c r="Q647" s="270" t="s">
        <v>2198</v>
      </c>
      <c r="R647" s="306">
        <v>44992.583425925928</v>
      </c>
      <c r="S647" s="285">
        <v>2023</v>
      </c>
      <c r="T647" s="270" t="s">
        <v>2194</v>
      </c>
      <c r="U647" s="270" t="s">
        <v>678</v>
      </c>
      <c r="V647" s="270" t="s">
        <v>679</v>
      </c>
      <c r="W647" s="270" t="s">
        <v>145</v>
      </c>
      <c r="X647" s="270" t="s">
        <v>309</v>
      </c>
      <c r="Y647" s="273">
        <v>45078</v>
      </c>
      <c r="Z647" s="288" t="s">
        <v>1875</v>
      </c>
      <c r="AA647" s="288" t="s">
        <v>2479</v>
      </c>
      <c r="AB647" s="288" t="s">
        <v>139</v>
      </c>
      <c r="AC647" s="288" t="s">
        <v>1875</v>
      </c>
      <c r="AD647" s="288" t="s">
        <v>1805</v>
      </c>
      <c r="AE647" s="288" t="s">
        <v>1805</v>
      </c>
      <c r="AF647" s="288" t="s">
        <v>2479</v>
      </c>
      <c r="AG647" s="288" t="s">
        <v>2479</v>
      </c>
      <c r="AH647" s="288" t="s">
        <v>2479</v>
      </c>
      <c r="AI647" s="288" t="s">
        <v>2479</v>
      </c>
      <c r="AJ647" s="303" t="s">
        <v>2191</v>
      </c>
      <c r="AK647" s="288" t="s">
        <v>2479</v>
      </c>
      <c r="AL647" s="303" t="s">
        <v>2190</v>
      </c>
      <c r="AM647" s="288" t="s">
        <v>1975</v>
      </c>
      <c r="AN647" s="207" t="b">
        <v>0</v>
      </c>
      <c r="AY647" s="288" t="s">
        <v>2479</v>
      </c>
      <c r="AZ647" s="288" t="s">
        <v>2479</v>
      </c>
      <c r="BA647" s="288" t="s">
        <v>373</v>
      </c>
      <c r="BB647" s="288" t="s">
        <v>139</v>
      </c>
      <c r="BC647" s="288" t="s">
        <v>2861</v>
      </c>
    </row>
    <row r="648" spans="1:55" ht="45" customHeight="1">
      <c r="A648" s="269">
        <f t="shared" si="12"/>
        <v>647</v>
      </c>
      <c r="B648" s="284" t="s">
        <v>3890</v>
      </c>
      <c r="C648" s="270" t="s">
        <v>3891</v>
      </c>
      <c r="D648" s="270" t="s">
        <v>8</v>
      </c>
      <c r="E648" s="270" t="s">
        <v>13</v>
      </c>
      <c r="F648" s="270" t="s">
        <v>1575</v>
      </c>
      <c r="G648" s="302">
        <v>45086</v>
      </c>
      <c r="K648" s="306">
        <v>45087</v>
      </c>
      <c r="L648" s="270" t="s">
        <v>2193</v>
      </c>
      <c r="M648" s="270" t="s">
        <v>114</v>
      </c>
      <c r="N648" s="272" t="s">
        <v>2479</v>
      </c>
      <c r="O648" s="270" t="s">
        <v>2479</v>
      </c>
      <c r="P648" s="270" t="s">
        <v>1555</v>
      </c>
      <c r="Q648" s="270" t="s">
        <v>2198</v>
      </c>
      <c r="R648" s="306">
        <v>44992.574907407405</v>
      </c>
      <c r="S648" s="285">
        <v>2023</v>
      </c>
      <c r="T648" s="270" t="s">
        <v>2194</v>
      </c>
      <c r="U648" s="270" t="s">
        <v>678</v>
      </c>
      <c r="V648" s="270" t="s">
        <v>679</v>
      </c>
      <c r="W648" s="270" t="s">
        <v>145</v>
      </c>
      <c r="X648" s="270" t="s">
        <v>309</v>
      </c>
      <c r="Y648" s="273">
        <v>45078</v>
      </c>
      <c r="Z648" s="288" t="s">
        <v>1875</v>
      </c>
      <c r="AA648" s="288" t="s">
        <v>2479</v>
      </c>
      <c r="AB648" s="288" t="s">
        <v>139</v>
      </c>
      <c r="AC648" s="288" t="s">
        <v>1875</v>
      </c>
      <c r="AD648" s="288" t="s">
        <v>1805</v>
      </c>
      <c r="AE648" s="288" t="s">
        <v>1805</v>
      </c>
      <c r="AF648" s="288" t="s">
        <v>2479</v>
      </c>
      <c r="AG648" s="288" t="s">
        <v>2479</v>
      </c>
      <c r="AH648" s="288" t="s">
        <v>2479</v>
      </c>
      <c r="AI648" s="288" t="s">
        <v>2479</v>
      </c>
      <c r="AJ648" s="303" t="s">
        <v>2191</v>
      </c>
      <c r="AK648" s="288" t="s">
        <v>2479</v>
      </c>
      <c r="AL648" s="303" t="s">
        <v>2190</v>
      </c>
      <c r="AM648" s="288" t="s">
        <v>1975</v>
      </c>
      <c r="AN648" s="207" t="b">
        <v>0</v>
      </c>
      <c r="AY648" s="288" t="s">
        <v>2479</v>
      </c>
      <c r="AZ648" s="288" t="s">
        <v>2479</v>
      </c>
      <c r="BA648" s="288" t="s">
        <v>373</v>
      </c>
      <c r="BB648" s="288" t="s">
        <v>139</v>
      </c>
      <c r="BC648" s="288" t="s">
        <v>2861</v>
      </c>
    </row>
    <row r="649" spans="1:55" ht="45" customHeight="1">
      <c r="A649" s="269">
        <f t="shared" si="12"/>
        <v>648</v>
      </c>
      <c r="B649" s="284" t="s">
        <v>3892</v>
      </c>
      <c r="C649" s="270" t="s">
        <v>3893</v>
      </c>
      <c r="D649" s="270" t="s">
        <v>8</v>
      </c>
      <c r="E649" s="270" t="s">
        <v>13</v>
      </c>
      <c r="F649" s="270" t="s">
        <v>1575</v>
      </c>
      <c r="G649" s="302">
        <v>45086</v>
      </c>
      <c r="L649" s="270" t="s">
        <v>2479</v>
      </c>
      <c r="M649" s="270" t="s">
        <v>2479</v>
      </c>
      <c r="N649" s="272" t="s">
        <v>122</v>
      </c>
      <c r="O649" s="270" t="s">
        <v>2479</v>
      </c>
      <c r="P649" s="270" t="s">
        <v>1555</v>
      </c>
      <c r="Q649" s="270" t="s">
        <v>2198</v>
      </c>
      <c r="R649" s="306">
        <v>44992.463831018518</v>
      </c>
      <c r="S649" s="285">
        <v>2023</v>
      </c>
      <c r="T649" s="270" t="s">
        <v>2001</v>
      </c>
      <c r="U649" s="270" t="s">
        <v>678</v>
      </c>
      <c r="V649" s="270" t="s">
        <v>679</v>
      </c>
      <c r="W649" s="270" t="s">
        <v>145</v>
      </c>
      <c r="X649" s="270" t="s">
        <v>309</v>
      </c>
      <c r="Y649" s="273">
        <v>45078</v>
      </c>
      <c r="Z649" s="288" t="s">
        <v>1875</v>
      </c>
      <c r="AA649" s="288" t="s">
        <v>2479</v>
      </c>
      <c r="AB649" s="288" t="s">
        <v>139</v>
      </c>
      <c r="AC649" s="288" t="s">
        <v>1875</v>
      </c>
      <c r="AD649" s="288" t="s">
        <v>1805</v>
      </c>
      <c r="AE649" s="288" t="s">
        <v>1805</v>
      </c>
      <c r="AF649" s="288" t="s">
        <v>2479</v>
      </c>
      <c r="AG649" s="288" t="s">
        <v>2479</v>
      </c>
      <c r="AH649" s="288" t="s">
        <v>2479</v>
      </c>
      <c r="AI649" s="288" t="s">
        <v>2479</v>
      </c>
      <c r="AJ649" s="303" t="s">
        <v>2191</v>
      </c>
      <c r="AK649" s="288" t="s">
        <v>2479</v>
      </c>
      <c r="AL649" s="303" t="s">
        <v>2190</v>
      </c>
      <c r="AM649" s="288" t="s">
        <v>1975</v>
      </c>
      <c r="AN649" s="207" t="b">
        <v>0</v>
      </c>
      <c r="AY649" s="288" t="s">
        <v>2479</v>
      </c>
      <c r="AZ649" s="288" t="s">
        <v>2479</v>
      </c>
      <c r="BA649" s="288" t="s">
        <v>373</v>
      </c>
      <c r="BB649" s="288" t="s">
        <v>139</v>
      </c>
      <c r="BC649" s="288" t="s">
        <v>2192</v>
      </c>
    </row>
    <row r="650" spans="1:55" ht="45" customHeight="1">
      <c r="A650" s="269">
        <f t="shared" si="12"/>
        <v>649</v>
      </c>
      <c r="B650" s="284" t="s">
        <v>3894</v>
      </c>
      <c r="C650" s="270" t="s">
        <v>3895</v>
      </c>
      <c r="D650" s="270" t="s">
        <v>8</v>
      </c>
      <c r="E650" s="270" t="s">
        <v>13</v>
      </c>
      <c r="F650" s="270" t="s">
        <v>1575</v>
      </c>
      <c r="G650" s="302">
        <v>45086</v>
      </c>
      <c r="L650" s="270" t="s">
        <v>2479</v>
      </c>
      <c r="M650" s="270" t="s">
        <v>2479</v>
      </c>
      <c r="N650" s="272" t="s">
        <v>122</v>
      </c>
      <c r="O650" s="270" t="s">
        <v>2479</v>
      </c>
      <c r="P650" s="270" t="s">
        <v>1555</v>
      </c>
      <c r="Q650" s="270" t="s">
        <v>2198</v>
      </c>
      <c r="R650" s="306">
        <v>44992.464537037034</v>
      </c>
      <c r="S650" s="285">
        <v>2023</v>
      </c>
      <c r="T650" s="270" t="s">
        <v>2001</v>
      </c>
      <c r="U650" s="270" t="s">
        <v>678</v>
      </c>
      <c r="V650" s="270" t="s">
        <v>679</v>
      </c>
      <c r="W650" s="270" t="s">
        <v>145</v>
      </c>
      <c r="X650" s="270" t="s">
        <v>309</v>
      </c>
      <c r="Y650" s="273">
        <v>45078</v>
      </c>
      <c r="Z650" s="288" t="s">
        <v>1875</v>
      </c>
      <c r="AA650" s="288" t="s">
        <v>2479</v>
      </c>
      <c r="AB650" s="288" t="s">
        <v>139</v>
      </c>
      <c r="AC650" s="288" t="s">
        <v>1875</v>
      </c>
      <c r="AD650" s="288" t="s">
        <v>1805</v>
      </c>
      <c r="AE650" s="288" t="s">
        <v>1805</v>
      </c>
      <c r="AF650" s="288" t="s">
        <v>2479</v>
      </c>
      <c r="AG650" s="288" t="s">
        <v>2479</v>
      </c>
      <c r="AH650" s="288" t="s">
        <v>2479</v>
      </c>
      <c r="AI650" s="288" t="s">
        <v>2479</v>
      </c>
      <c r="AJ650" s="303" t="s">
        <v>2191</v>
      </c>
      <c r="AK650" s="288" t="s">
        <v>2479</v>
      </c>
      <c r="AL650" s="303" t="s">
        <v>2190</v>
      </c>
      <c r="AM650" s="288" t="s">
        <v>1975</v>
      </c>
      <c r="AN650" s="207" t="b">
        <v>0</v>
      </c>
      <c r="AY650" s="288" t="s">
        <v>2479</v>
      </c>
      <c r="AZ650" s="288" t="s">
        <v>2479</v>
      </c>
      <c r="BA650" s="288" t="s">
        <v>373</v>
      </c>
      <c r="BB650" s="288" t="s">
        <v>139</v>
      </c>
      <c r="BC650" s="288" t="s">
        <v>2192</v>
      </c>
    </row>
    <row r="651" spans="1:55" ht="45" customHeight="1">
      <c r="A651" s="269">
        <f t="shared" si="12"/>
        <v>650</v>
      </c>
      <c r="B651" s="284" t="s">
        <v>3896</v>
      </c>
      <c r="C651" s="270" t="s">
        <v>3897</v>
      </c>
      <c r="D651" s="270" t="s">
        <v>8</v>
      </c>
      <c r="E651" s="270" t="s">
        <v>13</v>
      </c>
      <c r="F651" s="270" t="s">
        <v>1575</v>
      </c>
      <c r="G651" s="302">
        <v>45093</v>
      </c>
      <c r="L651" s="270" t="s">
        <v>2479</v>
      </c>
      <c r="M651" s="270" t="s">
        <v>2479</v>
      </c>
      <c r="N651" s="272" t="s">
        <v>122</v>
      </c>
      <c r="O651" s="270" t="s">
        <v>2479</v>
      </c>
      <c r="P651" s="270" t="s">
        <v>1555</v>
      </c>
      <c r="Q651" s="270" t="s">
        <v>2198</v>
      </c>
      <c r="R651" s="306">
        <v>44992.467453703706</v>
      </c>
      <c r="S651" s="285">
        <v>2023</v>
      </c>
      <c r="T651" s="270" t="s">
        <v>2001</v>
      </c>
      <c r="U651" s="270" t="s">
        <v>678</v>
      </c>
      <c r="V651" s="270" t="s">
        <v>679</v>
      </c>
      <c r="W651" s="270" t="s">
        <v>145</v>
      </c>
      <c r="X651" s="270" t="s">
        <v>309</v>
      </c>
      <c r="Y651" s="273">
        <v>45078</v>
      </c>
      <c r="Z651" s="288" t="s">
        <v>1875</v>
      </c>
      <c r="AA651" s="288" t="s">
        <v>2479</v>
      </c>
      <c r="AB651" s="288" t="s">
        <v>139</v>
      </c>
      <c r="AC651" s="288" t="s">
        <v>1875</v>
      </c>
      <c r="AD651" s="288" t="s">
        <v>1805</v>
      </c>
      <c r="AE651" s="288" t="s">
        <v>1805</v>
      </c>
      <c r="AF651" s="288" t="s">
        <v>2479</v>
      </c>
      <c r="AG651" s="288" t="s">
        <v>2479</v>
      </c>
      <c r="AH651" s="288" t="s">
        <v>2479</v>
      </c>
      <c r="AI651" s="288" t="s">
        <v>2479</v>
      </c>
      <c r="AJ651" s="303" t="s">
        <v>2191</v>
      </c>
      <c r="AK651" s="288" t="s">
        <v>2479</v>
      </c>
      <c r="AL651" s="303" t="s">
        <v>2190</v>
      </c>
      <c r="AM651" s="288" t="s">
        <v>1975</v>
      </c>
      <c r="AN651" s="207" t="b">
        <v>0</v>
      </c>
      <c r="AY651" s="288" t="s">
        <v>2479</v>
      </c>
      <c r="AZ651" s="288" t="s">
        <v>2479</v>
      </c>
      <c r="BA651" s="288" t="s">
        <v>373</v>
      </c>
      <c r="BB651" s="288" t="s">
        <v>139</v>
      </c>
      <c r="BC651" s="288" t="s">
        <v>2192</v>
      </c>
    </row>
    <row r="652" spans="1:55" ht="45" customHeight="1">
      <c r="A652" s="269">
        <f t="shared" si="12"/>
        <v>651</v>
      </c>
      <c r="B652" s="284" t="s">
        <v>3898</v>
      </c>
      <c r="C652" s="270" t="s">
        <v>3899</v>
      </c>
      <c r="D652" s="270" t="s">
        <v>8</v>
      </c>
      <c r="E652" s="270" t="s">
        <v>13</v>
      </c>
      <c r="F652" s="270" t="s">
        <v>1575</v>
      </c>
      <c r="G652" s="302">
        <v>45093</v>
      </c>
      <c r="K652" s="306">
        <v>45097</v>
      </c>
      <c r="L652" s="270" t="s">
        <v>2193</v>
      </c>
      <c r="M652" s="270" t="s">
        <v>116</v>
      </c>
      <c r="N652" s="272" t="s">
        <v>2479</v>
      </c>
      <c r="O652" s="270" t="s">
        <v>2479</v>
      </c>
      <c r="P652" s="270" t="s">
        <v>1555</v>
      </c>
      <c r="Q652" s="270" t="s">
        <v>2198</v>
      </c>
      <c r="R652" s="306">
        <v>44992.606215277781</v>
      </c>
      <c r="S652" s="285">
        <v>2023</v>
      </c>
      <c r="T652" s="270" t="s">
        <v>2194</v>
      </c>
      <c r="U652" s="270" t="s">
        <v>678</v>
      </c>
      <c r="V652" s="270" t="s">
        <v>679</v>
      </c>
      <c r="W652" s="270" t="s">
        <v>145</v>
      </c>
      <c r="X652" s="270" t="s">
        <v>309</v>
      </c>
      <c r="Y652" s="273">
        <v>45078</v>
      </c>
      <c r="Z652" s="288" t="s">
        <v>1875</v>
      </c>
      <c r="AA652" s="288" t="s">
        <v>2479</v>
      </c>
      <c r="AB652" s="288" t="s">
        <v>139</v>
      </c>
      <c r="AC652" s="288" t="s">
        <v>1875</v>
      </c>
      <c r="AD652" s="288" t="s">
        <v>1805</v>
      </c>
      <c r="AE652" s="288" t="s">
        <v>1805</v>
      </c>
      <c r="AF652" s="288" t="s">
        <v>2479</v>
      </c>
      <c r="AG652" s="288" t="s">
        <v>2479</v>
      </c>
      <c r="AH652" s="288" t="s">
        <v>2479</v>
      </c>
      <c r="AI652" s="288" t="s">
        <v>2479</v>
      </c>
      <c r="AJ652" s="303" t="s">
        <v>2191</v>
      </c>
      <c r="AK652" s="288" t="s">
        <v>2479</v>
      </c>
      <c r="AL652" s="303" t="s">
        <v>2190</v>
      </c>
      <c r="AM652" s="288" t="s">
        <v>1975</v>
      </c>
      <c r="AN652" s="207" t="b">
        <v>0</v>
      </c>
      <c r="AY652" s="288" t="s">
        <v>2479</v>
      </c>
      <c r="AZ652" s="288" t="s">
        <v>2479</v>
      </c>
      <c r="BA652" s="288" t="s">
        <v>373</v>
      </c>
      <c r="BB652" s="288" t="s">
        <v>139</v>
      </c>
      <c r="BC652" s="288" t="s">
        <v>2862</v>
      </c>
    </row>
    <row r="653" spans="1:55" ht="45" customHeight="1">
      <c r="A653" s="269">
        <f t="shared" si="12"/>
        <v>652</v>
      </c>
      <c r="B653" s="284" t="s">
        <v>3900</v>
      </c>
      <c r="C653" s="270" t="s">
        <v>3901</v>
      </c>
      <c r="D653" s="270" t="s">
        <v>8</v>
      </c>
      <c r="E653" s="270" t="s">
        <v>13</v>
      </c>
      <c r="F653" s="270" t="s">
        <v>1575</v>
      </c>
      <c r="G653" s="302">
        <v>45094</v>
      </c>
      <c r="L653" s="270" t="s">
        <v>2479</v>
      </c>
      <c r="M653" s="270" t="s">
        <v>2479</v>
      </c>
      <c r="N653" s="272" t="s">
        <v>122</v>
      </c>
      <c r="O653" s="270" t="s">
        <v>2479</v>
      </c>
      <c r="P653" s="270" t="s">
        <v>1555</v>
      </c>
      <c r="Q653" s="270" t="s">
        <v>2198</v>
      </c>
      <c r="R653" s="306">
        <v>44992.468344907407</v>
      </c>
      <c r="S653" s="285">
        <v>2023</v>
      </c>
      <c r="T653" s="270" t="s">
        <v>2001</v>
      </c>
      <c r="U653" s="270" t="s">
        <v>678</v>
      </c>
      <c r="V653" s="270" t="s">
        <v>679</v>
      </c>
      <c r="W653" s="270" t="s">
        <v>145</v>
      </c>
      <c r="X653" s="270" t="s">
        <v>309</v>
      </c>
      <c r="Y653" s="273">
        <v>45078</v>
      </c>
      <c r="Z653" s="288" t="s">
        <v>1875</v>
      </c>
      <c r="AA653" s="288" t="s">
        <v>2479</v>
      </c>
      <c r="AB653" s="288" t="s">
        <v>139</v>
      </c>
      <c r="AC653" s="288" t="s">
        <v>1875</v>
      </c>
      <c r="AD653" s="288" t="s">
        <v>1805</v>
      </c>
      <c r="AE653" s="288" t="s">
        <v>1805</v>
      </c>
      <c r="AF653" s="288" t="s">
        <v>2479</v>
      </c>
      <c r="AG653" s="288" t="s">
        <v>2479</v>
      </c>
      <c r="AH653" s="288" t="s">
        <v>2479</v>
      </c>
      <c r="AI653" s="288" t="s">
        <v>2479</v>
      </c>
      <c r="AJ653" s="303" t="s">
        <v>2191</v>
      </c>
      <c r="AK653" s="288" t="s">
        <v>2479</v>
      </c>
      <c r="AL653" s="303" t="s">
        <v>2190</v>
      </c>
      <c r="AM653" s="288" t="s">
        <v>1975</v>
      </c>
      <c r="AN653" s="207" t="b">
        <v>0</v>
      </c>
      <c r="AY653" s="288" t="s">
        <v>2479</v>
      </c>
      <c r="AZ653" s="288" t="s">
        <v>2479</v>
      </c>
      <c r="BA653" s="288" t="s">
        <v>373</v>
      </c>
      <c r="BB653" s="288" t="s">
        <v>139</v>
      </c>
      <c r="BC653" s="288" t="s">
        <v>2192</v>
      </c>
    </row>
    <row r="654" spans="1:55" ht="45" customHeight="1">
      <c r="A654" s="269">
        <f t="shared" si="12"/>
        <v>653</v>
      </c>
      <c r="B654" s="284" t="s">
        <v>3902</v>
      </c>
      <c r="C654" s="270" t="s">
        <v>3903</v>
      </c>
      <c r="D654" s="270" t="s">
        <v>8</v>
      </c>
      <c r="E654" s="270" t="s">
        <v>13</v>
      </c>
      <c r="F654" s="270" t="s">
        <v>1575</v>
      </c>
      <c r="G654" s="302">
        <v>45096</v>
      </c>
      <c r="L654" s="270" t="s">
        <v>2479</v>
      </c>
      <c r="M654" s="270" t="s">
        <v>2479</v>
      </c>
      <c r="N654" s="272" t="s">
        <v>122</v>
      </c>
      <c r="O654" s="270" t="s">
        <v>2479</v>
      </c>
      <c r="P654" s="270" t="s">
        <v>1555</v>
      </c>
      <c r="Q654" s="270" t="s">
        <v>2198</v>
      </c>
      <c r="R654" s="306">
        <v>44992.469050925924</v>
      </c>
      <c r="S654" s="285">
        <v>2023</v>
      </c>
      <c r="T654" s="270" t="s">
        <v>2001</v>
      </c>
      <c r="U654" s="270" t="s">
        <v>678</v>
      </c>
      <c r="V654" s="270" t="s">
        <v>679</v>
      </c>
      <c r="W654" s="270" t="s">
        <v>145</v>
      </c>
      <c r="X654" s="270" t="s">
        <v>309</v>
      </c>
      <c r="Y654" s="273">
        <v>45078</v>
      </c>
      <c r="Z654" s="288" t="s">
        <v>1875</v>
      </c>
      <c r="AA654" s="288" t="s">
        <v>2479</v>
      </c>
      <c r="AB654" s="288" t="s">
        <v>139</v>
      </c>
      <c r="AC654" s="288" t="s">
        <v>1875</v>
      </c>
      <c r="AD654" s="288" t="s">
        <v>1805</v>
      </c>
      <c r="AE654" s="288" t="s">
        <v>1805</v>
      </c>
      <c r="AF654" s="288" t="s">
        <v>2479</v>
      </c>
      <c r="AG654" s="288" t="s">
        <v>2479</v>
      </c>
      <c r="AH654" s="288" t="s">
        <v>2479</v>
      </c>
      <c r="AI654" s="288" t="s">
        <v>2479</v>
      </c>
      <c r="AJ654" s="303" t="s">
        <v>2191</v>
      </c>
      <c r="AK654" s="288" t="s">
        <v>2479</v>
      </c>
      <c r="AL654" s="303" t="s">
        <v>2190</v>
      </c>
      <c r="AM654" s="288" t="s">
        <v>1975</v>
      </c>
      <c r="AN654" s="207" t="b">
        <v>0</v>
      </c>
      <c r="AY654" s="288" t="s">
        <v>2479</v>
      </c>
      <c r="AZ654" s="288" t="s">
        <v>2479</v>
      </c>
      <c r="BA654" s="288" t="s">
        <v>373</v>
      </c>
      <c r="BB654" s="288" t="s">
        <v>139</v>
      </c>
      <c r="BC654" s="288" t="s">
        <v>2192</v>
      </c>
    </row>
    <row r="655" spans="1:55" ht="45" customHeight="1">
      <c r="A655" s="269">
        <f t="shared" si="12"/>
        <v>654</v>
      </c>
      <c r="B655" s="284" t="s">
        <v>3904</v>
      </c>
      <c r="C655" s="270" t="s">
        <v>3719</v>
      </c>
      <c r="D655" s="270" t="s">
        <v>8</v>
      </c>
      <c r="E655" s="270" t="s">
        <v>13</v>
      </c>
      <c r="F655" s="270" t="s">
        <v>1575</v>
      </c>
      <c r="G655" s="302">
        <v>45096</v>
      </c>
      <c r="L655" s="270" t="s">
        <v>2479</v>
      </c>
      <c r="M655" s="270" t="s">
        <v>2479</v>
      </c>
      <c r="N655" s="272" t="s">
        <v>122</v>
      </c>
      <c r="O655" s="270" t="s">
        <v>2479</v>
      </c>
      <c r="P655" s="270" t="s">
        <v>1555</v>
      </c>
      <c r="Q655" s="270" t="s">
        <v>2198</v>
      </c>
      <c r="R655" s="306">
        <v>44992.469768518517</v>
      </c>
      <c r="S655" s="285">
        <v>2023</v>
      </c>
      <c r="T655" s="270" t="s">
        <v>2001</v>
      </c>
      <c r="U655" s="270" t="s">
        <v>678</v>
      </c>
      <c r="V655" s="270" t="s">
        <v>679</v>
      </c>
      <c r="W655" s="270" t="s">
        <v>145</v>
      </c>
      <c r="X655" s="270" t="s">
        <v>309</v>
      </c>
      <c r="Y655" s="273">
        <v>45078</v>
      </c>
      <c r="Z655" s="288" t="s">
        <v>1875</v>
      </c>
      <c r="AA655" s="288" t="s">
        <v>2479</v>
      </c>
      <c r="AB655" s="288" t="s">
        <v>139</v>
      </c>
      <c r="AC655" s="288" t="s">
        <v>1875</v>
      </c>
      <c r="AD655" s="288" t="s">
        <v>1805</v>
      </c>
      <c r="AE655" s="288" t="s">
        <v>1805</v>
      </c>
      <c r="AF655" s="288" t="s">
        <v>2479</v>
      </c>
      <c r="AG655" s="288" t="s">
        <v>2479</v>
      </c>
      <c r="AH655" s="288" t="s">
        <v>2479</v>
      </c>
      <c r="AI655" s="288" t="s">
        <v>2479</v>
      </c>
      <c r="AJ655" s="303" t="s">
        <v>2191</v>
      </c>
      <c r="AK655" s="288" t="s">
        <v>2479</v>
      </c>
      <c r="AL655" s="303" t="s">
        <v>2190</v>
      </c>
      <c r="AM655" s="288" t="s">
        <v>1975</v>
      </c>
      <c r="AN655" s="207" t="b">
        <v>0</v>
      </c>
      <c r="AY655" s="288" t="s">
        <v>2479</v>
      </c>
      <c r="AZ655" s="288" t="s">
        <v>2479</v>
      </c>
      <c r="BA655" s="288" t="s">
        <v>373</v>
      </c>
      <c r="BB655" s="288" t="s">
        <v>139</v>
      </c>
      <c r="BC655" s="288" t="s">
        <v>2192</v>
      </c>
    </row>
    <row r="656" spans="1:55" ht="45" customHeight="1">
      <c r="A656" s="269">
        <f t="shared" si="12"/>
        <v>655</v>
      </c>
      <c r="B656" s="284" t="s">
        <v>3905</v>
      </c>
      <c r="C656" s="270" t="s">
        <v>3906</v>
      </c>
      <c r="D656" s="270" t="s">
        <v>8</v>
      </c>
      <c r="E656" s="270" t="s">
        <v>13</v>
      </c>
      <c r="F656" s="270" t="s">
        <v>1575</v>
      </c>
      <c r="G656" s="302">
        <v>45096</v>
      </c>
      <c r="K656" s="306">
        <v>45101</v>
      </c>
      <c r="L656" s="270" t="s">
        <v>2193</v>
      </c>
      <c r="M656" s="270" t="s">
        <v>114</v>
      </c>
      <c r="N656" s="272" t="s">
        <v>2479</v>
      </c>
      <c r="O656" s="270" t="s">
        <v>2479</v>
      </c>
      <c r="P656" s="270" t="s">
        <v>1555</v>
      </c>
      <c r="Q656" s="270" t="s">
        <v>2198</v>
      </c>
      <c r="R656" s="306">
        <v>44992.606516203705</v>
      </c>
      <c r="S656" s="285">
        <v>2023</v>
      </c>
      <c r="T656" s="270" t="s">
        <v>2194</v>
      </c>
      <c r="U656" s="270" t="s">
        <v>678</v>
      </c>
      <c r="V656" s="270" t="s">
        <v>679</v>
      </c>
      <c r="W656" s="270" t="s">
        <v>145</v>
      </c>
      <c r="X656" s="270" t="s">
        <v>309</v>
      </c>
      <c r="Y656" s="273">
        <v>45078</v>
      </c>
      <c r="Z656" s="288" t="s">
        <v>1875</v>
      </c>
      <c r="AA656" s="288" t="s">
        <v>2479</v>
      </c>
      <c r="AB656" s="288" t="s">
        <v>139</v>
      </c>
      <c r="AC656" s="288" t="s">
        <v>1875</v>
      </c>
      <c r="AD656" s="288" t="s">
        <v>1805</v>
      </c>
      <c r="AE656" s="288" t="s">
        <v>1805</v>
      </c>
      <c r="AF656" s="288" t="s">
        <v>2479</v>
      </c>
      <c r="AG656" s="288" t="s">
        <v>2479</v>
      </c>
      <c r="AH656" s="288" t="s">
        <v>2479</v>
      </c>
      <c r="AI656" s="288" t="s">
        <v>2479</v>
      </c>
      <c r="AJ656" s="303" t="s">
        <v>2191</v>
      </c>
      <c r="AK656" s="288" t="s">
        <v>2479</v>
      </c>
      <c r="AL656" s="303" t="s">
        <v>2190</v>
      </c>
      <c r="AM656" s="288" t="s">
        <v>1975</v>
      </c>
      <c r="AN656" s="207" t="b">
        <v>0</v>
      </c>
      <c r="AY656" s="288" t="s">
        <v>2479</v>
      </c>
      <c r="AZ656" s="288" t="s">
        <v>2479</v>
      </c>
      <c r="BA656" s="288" t="s">
        <v>373</v>
      </c>
      <c r="BB656" s="288" t="s">
        <v>139</v>
      </c>
      <c r="BC656" s="288" t="s">
        <v>2862</v>
      </c>
    </row>
    <row r="657" spans="1:55" ht="45" customHeight="1">
      <c r="A657" s="269">
        <f t="shared" si="12"/>
        <v>656</v>
      </c>
      <c r="B657" s="284" t="s">
        <v>3907</v>
      </c>
      <c r="C657" s="270" t="s">
        <v>3908</v>
      </c>
      <c r="D657" s="270" t="s">
        <v>8</v>
      </c>
      <c r="E657" s="270" t="s">
        <v>13</v>
      </c>
      <c r="F657" s="270" t="s">
        <v>1575</v>
      </c>
      <c r="G657" s="302">
        <v>45093</v>
      </c>
      <c r="K657" s="306">
        <v>45094</v>
      </c>
      <c r="L657" s="270" t="s">
        <v>2193</v>
      </c>
      <c r="M657" s="270" t="s">
        <v>114</v>
      </c>
      <c r="N657" s="272" t="s">
        <v>2479</v>
      </c>
      <c r="O657" s="270" t="s">
        <v>2479</v>
      </c>
      <c r="P657" s="270" t="s">
        <v>1555</v>
      </c>
      <c r="Q657" s="270" t="s">
        <v>2198</v>
      </c>
      <c r="R657" s="306">
        <v>44992.583831018521</v>
      </c>
      <c r="S657" s="285">
        <v>2023</v>
      </c>
      <c r="T657" s="270" t="s">
        <v>2194</v>
      </c>
      <c r="U657" s="270" t="s">
        <v>678</v>
      </c>
      <c r="V657" s="270" t="s">
        <v>679</v>
      </c>
      <c r="W657" s="270" t="s">
        <v>145</v>
      </c>
      <c r="X657" s="270" t="s">
        <v>309</v>
      </c>
      <c r="Y657" s="273">
        <v>45078</v>
      </c>
      <c r="Z657" s="288" t="s">
        <v>1875</v>
      </c>
      <c r="AA657" s="288" t="s">
        <v>2479</v>
      </c>
      <c r="AB657" s="288" t="s">
        <v>139</v>
      </c>
      <c r="AC657" s="288" t="s">
        <v>1875</v>
      </c>
      <c r="AD657" s="288" t="s">
        <v>1805</v>
      </c>
      <c r="AE657" s="288" t="s">
        <v>1805</v>
      </c>
      <c r="AF657" s="288" t="s">
        <v>2479</v>
      </c>
      <c r="AG657" s="288" t="s">
        <v>2479</v>
      </c>
      <c r="AH657" s="288" t="s">
        <v>2479</v>
      </c>
      <c r="AI657" s="288" t="s">
        <v>2479</v>
      </c>
      <c r="AJ657" s="303" t="s">
        <v>2191</v>
      </c>
      <c r="AK657" s="288" t="s">
        <v>2479</v>
      </c>
      <c r="AL657" s="303" t="s">
        <v>2190</v>
      </c>
      <c r="AM657" s="288" t="s">
        <v>1975</v>
      </c>
      <c r="AN657" s="207" t="b">
        <v>0</v>
      </c>
      <c r="AY657" s="288" t="s">
        <v>2479</v>
      </c>
      <c r="AZ657" s="288" t="s">
        <v>2479</v>
      </c>
      <c r="BA657" s="288" t="s">
        <v>373</v>
      </c>
      <c r="BB657" s="288" t="s">
        <v>139</v>
      </c>
      <c r="BC657" s="288" t="s">
        <v>2861</v>
      </c>
    </row>
    <row r="658" spans="1:55" ht="45" customHeight="1">
      <c r="A658" s="269">
        <f t="shared" si="12"/>
        <v>657</v>
      </c>
      <c r="B658" s="284" t="s">
        <v>3909</v>
      </c>
      <c r="C658" s="270" t="s">
        <v>3910</v>
      </c>
      <c r="D658" s="270" t="s">
        <v>8</v>
      </c>
      <c r="E658" s="270" t="s">
        <v>13</v>
      </c>
      <c r="F658" s="270" t="s">
        <v>1575</v>
      </c>
      <c r="G658" s="302">
        <v>45093</v>
      </c>
      <c r="K658" s="306">
        <v>45094</v>
      </c>
      <c r="L658" s="270" t="s">
        <v>2193</v>
      </c>
      <c r="M658" s="270" t="s">
        <v>114</v>
      </c>
      <c r="N658" s="272" t="s">
        <v>2479</v>
      </c>
      <c r="O658" s="270" t="s">
        <v>2479</v>
      </c>
      <c r="P658" s="270" t="s">
        <v>1555</v>
      </c>
      <c r="Q658" s="270" t="s">
        <v>2198</v>
      </c>
      <c r="R658" s="306">
        <v>44992.58421296296</v>
      </c>
      <c r="S658" s="285">
        <v>2023</v>
      </c>
      <c r="T658" s="270" t="s">
        <v>2194</v>
      </c>
      <c r="U658" s="270" t="s">
        <v>678</v>
      </c>
      <c r="V658" s="270" t="s">
        <v>679</v>
      </c>
      <c r="W658" s="270" t="s">
        <v>145</v>
      </c>
      <c r="X658" s="270" t="s">
        <v>309</v>
      </c>
      <c r="Y658" s="273">
        <v>45078</v>
      </c>
      <c r="Z658" s="288" t="s">
        <v>1875</v>
      </c>
      <c r="AA658" s="288" t="s">
        <v>2479</v>
      </c>
      <c r="AB658" s="288" t="s">
        <v>139</v>
      </c>
      <c r="AC658" s="288" t="s">
        <v>1875</v>
      </c>
      <c r="AD658" s="288" t="s">
        <v>1805</v>
      </c>
      <c r="AE658" s="288" t="s">
        <v>1805</v>
      </c>
      <c r="AF658" s="288" t="s">
        <v>2479</v>
      </c>
      <c r="AG658" s="288" t="s">
        <v>2479</v>
      </c>
      <c r="AH658" s="288" t="s">
        <v>2479</v>
      </c>
      <c r="AI658" s="288" t="s">
        <v>2479</v>
      </c>
      <c r="AJ658" s="303" t="s">
        <v>2191</v>
      </c>
      <c r="AK658" s="288" t="s">
        <v>2479</v>
      </c>
      <c r="AL658" s="303" t="s">
        <v>2190</v>
      </c>
      <c r="AM658" s="288" t="s">
        <v>1975</v>
      </c>
      <c r="AN658" s="207" t="b">
        <v>0</v>
      </c>
      <c r="AY658" s="288" t="s">
        <v>2479</v>
      </c>
      <c r="AZ658" s="288" t="s">
        <v>2479</v>
      </c>
      <c r="BA658" s="288" t="s">
        <v>373</v>
      </c>
      <c r="BB658" s="288" t="s">
        <v>139</v>
      </c>
      <c r="BC658" s="288" t="s">
        <v>2862</v>
      </c>
    </row>
    <row r="659" spans="1:55" ht="45" customHeight="1">
      <c r="A659" s="269">
        <f t="shared" si="12"/>
        <v>658</v>
      </c>
      <c r="B659" s="284" t="s">
        <v>3911</v>
      </c>
      <c r="C659" s="270" t="s">
        <v>3912</v>
      </c>
      <c r="D659" s="270" t="s">
        <v>8</v>
      </c>
      <c r="E659" s="270" t="s">
        <v>13</v>
      </c>
      <c r="F659" s="270" t="s">
        <v>1575</v>
      </c>
      <c r="G659" s="302">
        <v>45093</v>
      </c>
      <c r="K659" s="306">
        <v>45094</v>
      </c>
      <c r="L659" s="270" t="s">
        <v>2193</v>
      </c>
      <c r="M659" s="270" t="s">
        <v>114</v>
      </c>
      <c r="N659" s="272" t="s">
        <v>2479</v>
      </c>
      <c r="O659" s="270" t="s">
        <v>2479</v>
      </c>
      <c r="P659" s="270" t="s">
        <v>1555</v>
      </c>
      <c r="Q659" s="270" t="s">
        <v>2198</v>
      </c>
      <c r="R659" s="306">
        <v>44992.584629629629</v>
      </c>
      <c r="S659" s="285">
        <v>2023</v>
      </c>
      <c r="T659" s="270" t="s">
        <v>2194</v>
      </c>
      <c r="U659" s="270" t="s">
        <v>678</v>
      </c>
      <c r="V659" s="270" t="s">
        <v>679</v>
      </c>
      <c r="W659" s="270" t="s">
        <v>145</v>
      </c>
      <c r="X659" s="270" t="s">
        <v>309</v>
      </c>
      <c r="Y659" s="273">
        <v>45078</v>
      </c>
      <c r="Z659" s="288" t="s">
        <v>1875</v>
      </c>
      <c r="AA659" s="288" t="s">
        <v>2479</v>
      </c>
      <c r="AB659" s="288" t="s">
        <v>139</v>
      </c>
      <c r="AC659" s="288" t="s">
        <v>1875</v>
      </c>
      <c r="AD659" s="288" t="s">
        <v>1805</v>
      </c>
      <c r="AE659" s="288" t="s">
        <v>1805</v>
      </c>
      <c r="AF659" s="288" t="s">
        <v>2479</v>
      </c>
      <c r="AG659" s="288" t="s">
        <v>2479</v>
      </c>
      <c r="AH659" s="288" t="s">
        <v>2479</v>
      </c>
      <c r="AI659" s="288" t="s">
        <v>2479</v>
      </c>
      <c r="AJ659" s="303" t="s">
        <v>2191</v>
      </c>
      <c r="AK659" s="288" t="s">
        <v>2479</v>
      </c>
      <c r="AL659" s="303" t="s">
        <v>2190</v>
      </c>
      <c r="AM659" s="288" t="s">
        <v>1975</v>
      </c>
      <c r="AN659" s="207" t="b">
        <v>0</v>
      </c>
      <c r="AY659" s="288" t="s">
        <v>2479</v>
      </c>
      <c r="AZ659" s="288" t="s">
        <v>2479</v>
      </c>
      <c r="BA659" s="288" t="s">
        <v>373</v>
      </c>
      <c r="BB659" s="288" t="s">
        <v>139</v>
      </c>
      <c r="BC659" s="288" t="s">
        <v>2861</v>
      </c>
    </row>
    <row r="660" spans="1:55" ht="45" customHeight="1">
      <c r="A660" s="269">
        <f t="shared" si="12"/>
        <v>659</v>
      </c>
      <c r="B660" s="284" t="s">
        <v>3913</v>
      </c>
      <c r="C660" s="270" t="s">
        <v>3914</v>
      </c>
      <c r="D660" s="270" t="s">
        <v>8</v>
      </c>
      <c r="E660" s="270" t="s">
        <v>13</v>
      </c>
      <c r="F660" s="270" t="s">
        <v>1575</v>
      </c>
      <c r="G660" s="302">
        <v>45097</v>
      </c>
      <c r="L660" s="270" t="s">
        <v>2479</v>
      </c>
      <c r="M660" s="270" t="s">
        <v>2479</v>
      </c>
      <c r="N660" s="272" t="s">
        <v>122</v>
      </c>
      <c r="O660" s="270" t="s">
        <v>2479</v>
      </c>
      <c r="P660" s="270" t="s">
        <v>1555</v>
      </c>
      <c r="Q660" s="270" t="s">
        <v>2198</v>
      </c>
      <c r="R660" s="306">
        <v>44992.474965277775</v>
      </c>
      <c r="S660" s="285">
        <v>2023</v>
      </c>
      <c r="T660" s="270" t="s">
        <v>2001</v>
      </c>
      <c r="U660" s="270" t="s">
        <v>678</v>
      </c>
      <c r="V660" s="270" t="s">
        <v>679</v>
      </c>
      <c r="W660" s="270" t="s">
        <v>145</v>
      </c>
      <c r="X660" s="270" t="s">
        <v>309</v>
      </c>
      <c r="Y660" s="273">
        <v>45078</v>
      </c>
      <c r="Z660" s="288" t="s">
        <v>1875</v>
      </c>
      <c r="AA660" s="288" t="s">
        <v>2479</v>
      </c>
      <c r="AB660" s="288" t="s">
        <v>139</v>
      </c>
      <c r="AC660" s="288" t="s">
        <v>1875</v>
      </c>
      <c r="AD660" s="288" t="s">
        <v>1805</v>
      </c>
      <c r="AE660" s="288" t="s">
        <v>1805</v>
      </c>
      <c r="AF660" s="288" t="s">
        <v>2479</v>
      </c>
      <c r="AG660" s="288" t="s">
        <v>2479</v>
      </c>
      <c r="AH660" s="288" t="s">
        <v>2479</v>
      </c>
      <c r="AI660" s="288" t="s">
        <v>2479</v>
      </c>
      <c r="AJ660" s="303" t="s">
        <v>2191</v>
      </c>
      <c r="AK660" s="288" t="s">
        <v>2479</v>
      </c>
      <c r="AL660" s="303" t="s">
        <v>2190</v>
      </c>
      <c r="AM660" s="288" t="s">
        <v>1975</v>
      </c>
      <c r="AN660" s="207" t="b">
        <v>0</v>
      </c>
      <c r="AY660" s="288" t="s">
        <v>2479</v>
      </c>
      <c r="AZ660" s="288" t="s">
        <v>2479</v>
      </c>
      <c r="BA660" s="288" t="s">
        <v>373</v>
      </c>
      <c r="BB660" s="288" t="s">
        <v>139</v>
      </c>
      <c r="BC660" s="288" t="s">
        <v>2192</v>
      </c>
    </row>
    <row r="661" spans="1:55" ht="45" customHeight="1">
      <c r="A661" s="269">
        <f t="shared" si="12"/>
        <v>660</v>
      </c>
      <c r="B661" s="284" t="s">
        <v>3915</v>
      </c>
      <c r="C661" s="270" t="s">
        <v>3916</v>
      </c>
      <c r="D661" s="270" t="s">
        <v>8</v>
      </c>
      <c r="E661" s="270" t="s">
        <v>13</v>
      </c>
      <c r="F661" s="270" t="s">
        <v>1575</v>
      </c>
      <c r="G661" s="302">
        <v>45098</v>
      </c>
      <c r="L661" s="270" t="s">
        <v>2479</v>
      </c>
      <c r="M661" s="270" t="s">
        <v>2479</v>
      </c>
      <c r="N661" s="272" t="s">
        <v>122</v>
      </c>
      <c r="O661" s="270" t="s">
        <v>2479</v>
      </c>
      <c r="P661" s="270" t="s">
        <v>1555</v>
      </c>
      <c r="Q661" s="270" t="s">
        <v>2198</v>
      </c>
      <c r="R661" s="306">
        <v>44992.475462962961</v>
      </c>
      <c r="S661" s="285">
        <v>2023</v>
      </c>
      <c r="T661" s="270" t="s">
        <v>2001</v>
      </c>
      <c r="U661" s="270" t="s">
        <v>678</v>
      </c>
      <c r="V661" s="270" t="s">
        <v>679</v>
      </c>
      <c r="W661" s="270" t="s">
        <v>145</v>
      </c>
      <c r="X661" s="270" t="s">
        <v>309</v>
      </c>
      <c r="Y661" s="273">
        <v>45078</v>
      </c>
      <c r="Z661" s="288" t="s">
        <v>1875</v>
      </c>
      <c r="AA661" s="288" t="s">
        <v>2479</v>
      </c>
      <c r="AB661" s="288" t="s">
        <v>139</v>
      </c>
      <c r="AC661" s="288" t="s">
        <v>1875</v>
      </c>
      <c r="AD661" s="288" t="s">
        <v>1805</v>
      </c>
      <c r="AE661" s="288" t="s">
        <v>1805</v>
      </c>
      <c r="AF661" s="288" t="s">
        <v>2479</v>
      </c>
      <c r="AG661" s="288" t="s">
        <v>2479</v>
      </c>
      <c r="AH661" s="288" t="s">
        <v>2479</v>
      </c>
      <c r="AI661" s="288" t="s">
        <v>2479</v>
      </c>
      <c r="AJ661" s="303" t="s">
        <v>2191</v>
      </c>
      <c r="AK661" s="288" t="s">
        <v>2479</v>
      </c>
      <c r="AL661" s="303" t="s">
        <v>2190</v>
      </c>
      <c r="AM661" s="288" t="s">
        <v>1975</v>
      </c>
      <c r="AN661" s="207" t="b">
        <v>0</v>
      </c>
      <c r="AY661" s="288" t="s">
        <v>2479</v>
      </c>
      <c r="AZ661" s="288" t="s">
        <v>2479</v>
      </c>
      <c r="BA661" s="288" t="s">
        <v>373</v>
      </c>
      <c r="BB661" s="288" t="s">
        <v>139</v>
      </c>
      <c r="BC661" s="288" t="s">
        <v>2192</v>
      </c>
    </row>
    <row r="662" spans="1:55" ht="45" customHeight="1">
      <c r="A662" s="269">
        <f t="shared" si="12"/>
        <v>661</v>
      </c>
      <c r="B662" s="284" t="s">
        <v>3917</v>
      </c>
      <c r="C662" s="270" t="s">
        <v>3916</v>
      </c>
      <c r="D662" s="270" t="s">
        <v>8</v>
      </c>
      <c r="E662" s="270" t="s">
        <v>13</v>
      </c>
      <c r="F662" s="270" t="s">
        <v>1575</v>
      </c>
      <c r="G662" s="302">
        <v>45098</v>
      </c>
      <c r="L662" s="270" t="s">
        <v>2479</v>
      </c>
      <c r="M662" s="270" t="s">
        <v>2479</v>
      </c>
      <c r="N662" s="272" t="s">
        <v>122</v>
      </c>
      <c r="O662" s="270" t="s">
        <v>2479</v>
      </c>
      <c r="P662" s="270" t="s">
        <v>1555</v>
      </c>
      <c r="Q662" s="270" t="s">
        <v>2198</v>
      </c>
      <c r="R662" s="306">
        <v>44992.475995370369</v>
      </c>
      <c r="S662" s="285">
        <v>2023</v>
      </c>
      <c r="T662" s="270" t="s">
        <v>2001</v>
      </c>
      <c r="U662" s="270" t="s">
        <v>678</v>
      </c>
      <c r="V662" s="270" t="s">
        <v>679</v>
      </c>
      <c r="W662" s="270" t="s">
        <v>145</v>
      </c>
      <c r="X662" s="270" t="s">
        <v>309</v>
      </c>
      <c r="Y662" s="273">
        <v>45078</v>
      </c>
      <c r="Z662" s="288" t="s">
        <v>1875</v>
      </c>
      <c r="AA662" s="288" t="s">
        <v>2479</v>
      </c>
      <c r="AB662" s="288" t="s">
        <v>139</v>
      </c>
      <c r="AC662" s="288" t="s">
        <v>1875</v>
      </c>
      <c r="AD662" s="288" t="s">
        <v>1805</v>
      </c>
      <c r="AE662" s="288" t="s">
        <v>1805</v>
      </c>
      <c r="AF662" s="288" t="s">
        <v>2479</v>
      </c>
      <c r="AG662" s="288" t="s">
        <v>2479</v>
      </c>
      <c r="AH662" s="288" t="s">
        <v>2479</v>
      </c>
      <c r="AI662" s="288" t="s">
        <v>2479</v>
      </c>
      <c r="AJ662" s="303" t="s">
        <v>2191</v>
      </c>
      <c r="AK662" s="288" t="s">
        <v>2479</v>
      </c>
      <c r="AL662" s="303" t="s">
        <v>2190</v>
      </c>
      <c r="AM662" s="288" t="s">
        <v>1975</v>
      </c>
      <c r="AN662" s="207" t="b">
        <v>0</v>
      </c>
      <c r="AY662" s="288" t="s">
        <v>2479</v>
      </c>
      <c r="AZ662" s="288" t="s">
        <v>2479</v>
      </c>
      <c r="BA662" s="288" t="s">
        <v>373</v>
      </c>
      <c r="BB662" s="288" t="s">
        <v>139</v>
      </c>
      <c r="BC662" s="288" t="s">
        <v>2192</v>
      </c>
    </row>
    <row r="663" spans="1:55" ht="45" customHeight="1">
      <c r="A663" s="269">
        <f t="shared" si="12"/>
        <v>662</v>
      </c>
      <c r="B663" s="284" t="s">
        <v>3918</v>
      </c>
      <c r="C663" s="270" t="s">
        <v>3919</v>
      </c>
      <c r="D663" s="270" t="s">
        <v>8</v>
      </c>
      <c r="E663" s="270" t="s">
        <v>13</v>
      </c>
      <c r="F663" s="270" t="s">
        <v>1575</v>
      </c>
      <c r="G663" s="302">
        <v>45098</v>
      </c>
      <c r="L663" s="270" t="s">
        <v>2479</v>
      </c>
      <c r="M663" s="270" t="s">
        <v>2479</v>
      </c>
      <c r="N663" s="272" t="s">
        <v>122</v>
      </c>
      <c r="O663" s="270" t="s">
        <v>2479</v>
      </c>
      <c r="P663" s="270" t="s">
        <v>1555</v>
      </c>
      <c r="Q663" s="270" t="s">
        <v>2198</v>
      </c>
      <c r="R663" s="306">
        <v>44992.479618055557</v>
      </c>
      <c r="S663" s="285">
        <v>2023</v>
      </c>
      <c r="T663" s="270" t="s">
        <v>2001</v>
      </c>
      <c r="U663" s="270" t="s">
        <v>678</v>
      </c>
      <c r="V663" s="270" t="s">
        <v>679</v>
      </c>
      <c r="W663" s="270" t="s">
        <v>145</v>
      </c>
      <c r="X663" s="270" t="s">
        <v>309</v>
      </c>
      <c r="Y663" s="273">
        <v>45078</v>
      </c>
      <c r="Z663" s="288" t="s">
        <v>1875</v>
      </c>
      <c r="AA663" s="288" t="s">
        <v>2479</v>
      </c>
      <c r="AB663" s="288" t="s">
        <v>139</v>
      </c>
      <c r="AC663" s="288" t="s">
        <v>1875</v>
      </c>
      <c r="AD663" s="288" t="s">
        <v>1805</v>
      </c>
      <c r="AE663" s="288" t="s">
        <v>1805</v>
      </c>
      <c r="AF663" s="288" t="s">
        <v>2479</v>
      </c>
      <c r="AG663" s="288" t="s">
        <v>2479</v>
      </c>
      <c r="AH663" s="288" t="s">
        <v>2479</v>
      </c>
      <c r="AI663" s="288" t="s">
        <v>2479</v>
      </c>
      <c r="AJ663" s="303" t="s">
        <v>2191</v>
      </c>
      <c r="AK663" s="288" t="s">
        <v>2479</v>
      </c>
      <c r="AL663" s="303" t="s">
        <v>2190</v>
      </c>
      <c r="AM663" s="288" t="s">
        <v>1975</v>
      </c>
      <c r="AN663" s="207" t="b">
        <v>0</v>
      </c>
      <c r="AY663" s="288" t="s">
        <v>2479</v>
      </c>
      <c r="AZ663" s="288" t="s">
        <v>2479</v>
      </c>
      <c r="BA663" s="288" t="s">
        <v>373</v>
      </c>
      <c r="BB663" s="288" t="s">
        <v>139</v>
      </c>
      <c r="BC663" s="288" t="s">
        <v>2192</v>
      </c>
    </row>
    <row r="664" spans="1:55" ht="45" customHeight="1">
      <c r="A664" s="269">
        <f t="shared" si="12"/>
        <v>663</v>
      </c>
      <c r="B664" s="284" t="s">
        <v>3920</v>
      </c>
      <c r="C664" s="270" t="s">
        <v>3921</v>
      </c>
      <c r="D664" s="270" t="s">
        <v>8</v>
      </c>
      <c r="E664" s="270" t="s">
        <v>13</v>
      </c>
      <c r="F664" s="270" t="s">
        <v>1575</v>
      </c>
      <c r="G664" s="302">
        <v>45098</v>
      </c>
      <c r="L664" s="270" t="s">
        <v>2479</v>
      </c>
      <c r="M664" s="270" t="s">
        <v>2479</v>
      </c>
      <c r="N664" s="272" t="s">
        <v>122</v>
      </c>
      <c r="O664" s="270" t="s">
        <v>2479</v>
      </c>
      <c r="P664" s="270" t="s">
        <v>1555</v>
      </c>
      <c r="Q664" s="270" t="s">
        <v>2198</v>
      </c>
      <c r="R664" s="306">
        <v>44992.480104166665</v>
      </c>
      <c r="S664" s="285">
        <v>2023</v>
      </c>
      <c r="T664" s="270" t="s">
        <v>2001</v>
      </c>
      <c r="U664" s="270" t="s">
        <v>678</v>
      </c>
      <c r="V664" s="270" t="s">
        <v>679</v>
      </c>
      <c r="W664" s="270" t="s">
        <v>145</v>
      </c>
      <c r="X664" s="270" t="s">
        <v>309</v>
      </c>
      <c r="Y664" s="273">
        <v>45078</v>
      </c>
      <c r="Z664" s="288" t="s">
        <v>1875</v>
      </c>
      <c r="AA664" s="288" t="s">
        <v>2479</v>
      </c>
      <c r="AB664" s="288" t="s">
        <v>139</v>
      </c>
      <c r="AC664" s="288" t="s">
        <v>1875</v>
      </c>
      <c r="AD664" s="288" t="s">
        <v>1805</v>
      </c>
      <c r="AE664" s="288" t="s">
        <v>1805</v>
      </c>
      <c r="AF664" s="288" t="s">
        <v>2479</v>
      </c>
      <c r="AG664" s="288" t="s">
        <v>2479</v>
      </c>
      <c r="AH664" s="288" t="s">
        <v>2479</v>
      </c>
      <c r="AI664" s="288" t="s">
        <v>2479</v>
      </c>
      <c r="AJ664" s="303" t="s">
        <v>2191</v>
      </c>
      <c r="AK664" s="288" t="s">
        <v>2479</v>
      </c>
      <c r="AL664" s="303" t="s">
        <v>2190</v>
      </c>
      <c r="AM664" s="288" t="s">
        <v>1975</v>
      </c>
      <c r="AN664" s="207" t="b">
        <v>0</v>
      </c>
      <c r="AY664" s="288" t="s">
        <v>2479</v>
      </c>
      <c r="AZ664" s="288" t="s">
        <v>2479</v>
      </c>
      <c r="BA664" s="288" t="s">
        <v>373</v>
      </c>
      <c r="BB664" s="288" t="s">
        <v>139</v>
      </c>
      <c r="BC664" s="288" t="s">
        <v>2192</v>
      </c>
    </row>
    <row r="665" spans="1:55" ht="45" customHeight="1">
      <c r="A665" s="269">
        <f t="shared" si="12"/>
        <v>664</v>
      </c>
      <c r="B665" s="284" t="s">
        <v>3924</v>
      </c>
      <c r="C665" s="270" t="s">
        <v>3925</v>
      </c>
      <c r="D665" s="270" t="s">
        <v>8</v>
      </c>
      <c r="E665" s="270" t="s">
        <v>13</v>
      </c>
      <c r="F665" s="270" t="s">
        <v>1575</v>
      </c>
      <c r="G665" s="302">
        <v>45098</v>
      </c>
      <c r="L665" s="270" t="s">
        <v>2479</v>
      </c>
      <c r="M665" s="270" t="s">
        <v>2479</v>
      </c>
      <c r="N665" s="272" t="s">
        <v>122</v>
      </c>
      <c r="O665" s="270" t="s">
        <v>2479</v>
      </c>
      <c r="P665" s="270" t="s">
        <v>1555</v>
      </c>
      <c r="Q665" s="270" t="s">
        <v>2198</v>
      </c>
      <c r="R665" s="306">
        <v>44992.481053240743</v>
      </c>
      <c r="S665" s="285">
        <v>2023</v>
      </c>
      <c r="T665" s="270" t="s">
        <v>2001</v>
      </c>
      <c r="U665" s="270" t="s">
        <v>678</v>
      </c>
      <c r="V665" s="270" t="s">
        <v>679</v>
      </c>
      <c r="W665" s="270" t="s">
        <v>145</v>
      </c>
      <c r="X665" s="270" t="s">
        <v>309</v>
      </c>
      <c r="Y665" s="273">
        <v>45078</v>
      </c>
      <c r="Z665" s="288" t="s">
        <v>1875</v>
      </c>
      <c r="AA665" s="288" t="s">
        <v>2479</v>
      </c>
      <c r="AB665" s="288" t="s">
        <v>139</v>
      </c>
      <c r="AC665" s="288" t="s">
        <v>1875</v>
      </c>
      <c r="AD665" s="288" t="s">
        <v>1805</v>
      </c>
      <c r="AE665" s="288" t="s">
        <v>1805</v>
      </c>
      <c r="AF665" s="288" t="s">
        <v>2479</v>
      </c>
      <c r="AG665" s="288" t="s">
        <v>2479</v>
      </c>
      <c r="AH665" s="288" t="s">
        <v>2479</v>
      </c>
      <c r="AI665" s="288" t="s">
        <v>2479</v>
      </c>
      <c r="AJ665" s="303" t="s">
        <v>2191</v>
      </c>
      <c r="AK665" s="288" t="s">
        <v>2479</v>
      </c>
      <c r="AL665" s="303" t="s">
        <v>2190</v>
      </c>
      <c r="AM665" s="288" t="s">
        <v>1975</v>
      </c>
      <c r="AN665" s="207" t="b">
        <v>0</v>
      </c>
      <c r="AY665" s="288" t="s">
        <v>2479</v>
      </c>
      <c r="AZ665" s="288" t="s">
        <v>2479</v>
      </c>
      <c r="BA665" s="288" t="s">
        <v>373</v>
      </c>
      <c r="BB665" s="288" t="s">
        <v>139</v>
      </c>
      <c r="BC665" s="288" t="s">
        <v>2192</v>
      </c>
    </row>
    <row r="666" spans="1:55" ht="45" customHeight="1">
      <c r="A666" s="269">
        <f t="shared" si="12"/>
        <v>665</v>
      </c>
      <c r="B666" s="284" t="s">
        <v>3926</v>
      </c>
      <c r="C666" s="270" t="s">
        <v>3899</v>
      </c>
      <c r="D666" s="270" t="s">
        <v>8</v>
      </c>
      <c r="E666" s="270" t="s">
        <v>13</v>
      </c>
      <c r="F666" s="270" t="s">
        <v>1575</v>
      </c>
      <c r="G666" s="302">
        <v>45100</v>
      </c>
      <c r="L666" s="270" t="s">
        <v>2479</v>
      </c>
      <c r="M666" s="270" t="s">
        <v>2479</v>
      </c>
      <c r="N666" s="272" t="s">
        <v>122</v>
      </c>
      <c r="O666" s="270" t="s">
        <v>2479</v>
      </c>
      <c r="P666" s="270" t="s">
        <v>1555</v>
      </c>
      <c r="Q666" s="270" t="s">
        <v>2198</v>
      </c>
      <c r="R666" s="306">
        <v>44992.481481481482</v>
      </c>
      <c r="S666" s="285">
        <v>2023</v>
      </c>
      <c r="T666" s="270" t="s">
        <v>2001</v>
      </c>
      <c r="U666" s="270" t="s">
        <v>678</v>
      </c>
      <c r="V666" s="270" t="s">
        <v>679</v>
      </c>
      <c r="W666" s="270" t="s">
        <v>145</v>
      </c>
      <c r="X666" s="270" t="s">
        <v>309</v>
      </c>
      <c r="Y666" s="273">
        <v>45078</v>
      </c>
      <c r="Z666" s="288" t="s">
        <v>1875</v>
      </c>
      <c r="AA666" s="288" t="s">
        <v>2479</v>
      </c>
      <c r="AB666" s="288" t="s">
        <v>139</v>
      </c>
      <c r="AC666" s="288" t="s">
        <v>1875</v>
      </c>
      <c r="AD666" s="288" t="s">
        <v>1805</v>
      </c>
      <c r="AE666" s="288" t="s">
        <v>1805</v>
      </c>
      <c r="AF666" s="288" t="s">
        <v>2479</v>
      </c>
      <c r="AG666" s="288" t="s">
        <v>2479</v>
      </c>
      <c r="AH666" s="288" t="s">
        <v>2479</v>
      </c>
      <c r="AI666" s="288" t="s">
        <v>2479</v>
      </c>
      <c r="AJ666" s="303" t="s">
        <v>2191</v>
      </c>
      <c r="AK666" s="288" t="s">
        <v>2479</v>
      </c>
      <c r="AL666" s="303" t="s">
        <v>2190</v>
      </c>
      <c r="AM666" s="288" t="s">
        <v>1975</v>
      </c>
      <c r="AN666" s="207" t="b">
        <v>0</v>
      </c>
      <c r="AY666" s="288" t="s">
        <v>2479</v>
      </c>
      <c r="AZ666" s="288" t="s">
        <v>2479</v>
      </c>
      <c r="BA666" s="288" t="s">
        <v>373</v>
      </c>
      <c r="BB666" s="288" t="s">
        <v>139</v>
      </c>
      <c r="BC666" s="288" t="s">
        <v>2192</v>
      </c>
    </row>
    <row r="667" spans="1:55" ht="45" customHeight="1">
      <c r="A667" s="269">
        <f t="shared" si="12"/>
        <v>666</v>
      </c>
      <c r="B667" s="284" t="s">
        <v>3927</v>
      </c>
      <c r="C667" s="270" t="s">
        <v>3928</v>
      </c>
      <c r="D667" s="270" t="s">
        <v>8</v>
      </c>
      <c r="E667" s="270" t="s">
        <v>13</v>
      </c>
      <c r="F667" s="270" t="s">
        <v>1575</v>
      </c>
      <c r="G667" s="302">
        <v>45101</v>
      </c>
      <c r="L667" s="270" t="s">
        <v>2479</v>
      </c>
      <c r="M667" s="270" t="s">
        <v>2479</v>
      </c>
      <c r="N667" s="272" t="s">
        <v>122</v>
      </c>
      <c r="O667" s="270" t="s">
        <v>2479</v>
      </c>
      <c r="P667" s="270" t="s">
        <v>1555</v>
      </c>
      <c r="Q667" s="270" t="s">
        <v>2198</v>
      </c>
      <c r="R667" s="306">
        <v>44992.482071759259</v>
      </c>
      <c r="S667" s="285">
        <v>2023</v>
      </c>
      <c r="T667" s="270" t="s">
        <v>2001</v>
      </c>
      <c r="U667" s="270" t="s">
        <v>678</v>
      </c>
      <c r="V667" s="270" t="s">
        <v>679</v>
      </c>
      <c r="W667" s="270" t="s">
        <v>145</v>
      </c>
      <c r="X667" s="270" t="s">
        <v>309</v>
      </c>
      <c r="Y667" s="273">
        <v>45078</v>
      </c>
      <c r="Z667" s="288" t="s">
        <v>1875</v>
      </c>
      <c r="AA667" s="288" t="s">
        <v>2479</v>
      </c>
      <c r="AB667" s="288" t="s">
        <v>139</v>
      </c>
      <c r="AC667" s="288" t="s">
        <v>1875</v>
      </c>
      <c r="AD667" s="288" t="s">
        <v>1805</v>
      </c>
      <c r="AE667" s="288" t="s">
        <v>1805</v>
      </c>
      <c r="AF667" s="288" t="s">
        <v>2479</v>
      </c>
      <c r="AG667" s="288" t="s">
        <v>2479</v>
      </c>
      <c r="AH667" s="288" t="s">
        <v>2479</v>
      </c>
      <c r="AI667" s="288" t="s">
        <v>2479</v>
      </c>
      <c r="AJ667" s="303" t="s">
        <v>2191</v>
      </c>
      <c r="AK667" s="288" t="s">
        <v>2479</v>
      </c>
      <c r="AL667" s="303" t="s">
        <v>2190</v>
      </c>
      <c r="AM667" s="288" t="s">
        <v>1975</v>
      </c>
      <c r="AN667" s="207" t="b">
        <v>0</v>
      </c>
      <c r="AY667" s="288" t="s">
        <v>2479</v>
      </c>
      <c r="AZ667" s="288" t="s">
        <v>2479</v>
      </c>
      <c r="BA667" s="288" t="s">
        <v>373</v>
      </c>
      <c r="BB667" s="288" t="s">
        <v>139</v>
      </c>
      <c r="BC667" s="288" t="s">
        <v>2192</v>
      </c>
    </row>
    <row r="668" spans="1:55" ht="45" customHeight="1">
      <c r="A668" s="269">
        <f t="shared" si="12"/>
        <v>667</v>
      </c>
      <c r="B668" s="284" t="s">
        <v>3929</v>
      </c>
      <c r="C668" s="270" t="s">
        <v>2782</v>
      </c>
      <c r="D668" s="270" t="s">
        <v>8</v>
      </c>
      <c r="E668" s="270" t="s">
        <v>13</v>
      </c>
      <c r="F668" s="270" t="s">
        <v>1575</v>
      </c>
      <c r="G668" s="302">
        <v>45100</v>
      </c>
      <c r="L668" s="270" t="s">
        <v>2479</v>
      </c>
      <c r="M668" s="270" t="s">
        <v>2479</v>
      </c>
      <c r="N668" s="272" t="s">
        <v>122</v>
      </c>
      <c r="O668" s="270" t="s">
        <v>2479</v>
      </c>
      <c r="P668" s="270" t="s">
        <v>1555</v>
      </c>
      <c r="Q668" s="270" t="s">
        <v>2198</v>
      </c>
      <c r="R668" s="306">
        <v>44992.482488425929</v>
      </c>
      <c r="S668" s="285">
        <v>2023</v>
      </c>
      <c r="T668" s="270" t="s">
        <v>2001</v>
      </c>
      <c r="U668" s="270" t="s">
        <v>678</v>
      </c>
      <c r="V668" s="270" t="s">
        <v>679</v>
      </c>
      <c r="W668" s="270" t="s">
        <v>145</v>
      </c>
      <c r="X668" s="270" t="s">
        <v>309</v>
      </c>
      <c r="Y668" s="273">
        <v>45078</v>
      </c>
      <c r="Z668" s="288" t="s">
        <v>1875</v>
      </c>
      <c r="AA668" s="288" t="s">
        <v>2479</v>
      </c>
      <c r="AB668" s="288" t="s">
        <v>139</v>
      </c>
      <c r="AC668" s="288" t="s">
        <v>1875</v>
      </c>
      <c r="AD668" s="288" t="s">
        <v>1805</v>
      </c>
      <c r="AE668" s="288" t="s">
        <v>1805</v>
      </c>
      <c r="AF668" s="288" t="s">
        <v>2479</v>
      </c>
      <c r="AG668" s="288" t="s">
        <v>2479</v>
      </c>
      <c r="AH668" s="288" t="s">
        <v>2479</v>
      </c>
      <c r="AI668" s="288" t="s">
        <v>2479</v>
      </c>
      <c r="AJ668" s="303" t="s">
        <v>2191</v>
      </c>
      <c r="AK668" s="288" t="s">
        <v>2479</v>
      </c>
      <c r="AL668" s="303" t="s">
        <v>2190</v>
      </c>
      <c r="AM668" s="288" t="s">
        <v>1975</v>
      </c>
      <c r="AN668" s="207" t="b">
        <v>0</v>
      </c>
      <c r="AY668" s="288" t="s">
        <v>2479</v>
      </c>
      <c r="AZ668" s="288" t="s">
        <v>2479</v>
      </c>
      <c r="BA668" s="288" t="s">
        <v>373</v>
      </c>
      <c r="BB668" s="288" t="s">
        <v>139</v>
      </c>
      <c r="BC668" s="288" t="s">
        <v>2192</v>
      </c>
    </row>
    <row r="669" spans="1:55" ht="45" customHeight="1">
      <c r="A669" s="269">
        <f t="shared" si="12"/>
        <v>668</v>
      </c>
      <c r="B669" s="284" t="s">
        <v>3930</v>
      </c>
      <c r="C669" s="270" t="s">
        <v>3424</v>
      </c>
      <c r="D669" s="270" t="s">
        <v>8</v>
      </c>
      <c r="E669" s="270" t="s">
        <v>13</v>
      </c>
      <c r="F669" s="270" t="s">
        <v>1575</v>
      </c>
      <c r="G669" s="302">
        <v>45099</v>
      </c>
      <c r="K669" s="306">
        <v>45099</v>
      </c>
      <c r="L669" s="270" t="s">
        <v>2193</v>
      </c>
      <c r="M669" s="270" t="s">
        <v>114</v>
      </c>
      <c r="N669" s="272" t="s">
        <v>2479</v>
      </c>
      <c r="O669" s="270" t="s">
        <v>2479</v>
      </c>
      <c r="P669" s="270" t="s">
        <v>1555</v>
      </c>
      <c r="Q669" s="270" t="s">
        <v>2198</v>
      </c>
      <c r="R669" s="306">
        <v>44992.604386574072</v>
      </c>
      <c r="S669" s="285">
        <v>2023</v>
      </c>
      <c r="T669" s="270" t="s">
        <v>2194</v>
      </c>
      <c r="U669" s="270" t="s">
        <v>678</v>
      </c>
      <c r="V669" s="270" t="s">
        <v>679</v>
      </c>
      <c r="W669" s="270" t="s">
        <v>145</v>
      </c>
      <c r="X669" s="270" t="s">
        <v>309</v>
      </c>
      <c r="Y669" s="273">
        <v>45078</v>
      </c>
      <c r="Z669" s="288" t="s">
        <v>1875</v>
      </c>
      <c r="AA669" s="288" t="s">
        <v>2479</v>
      </c>
      <c r="AB669" s="288" t="s">
        <v>139</v>
      </c>
      <c r="AC669" s="288" t="s">
        <v>1875</v>
      </c>
      <c r="AD669" s="288" t="s">
        <v>1805</v>
      </c>
      <c r="AE669" s="288" t="s">
        <v>1805</v>
      </c>
      <c r="AF669" s="288" t="s">
        <v>2479</v>
      </c>
      <c r="AG669" s="288" t="s">
        <v>2479</v>
      </c>
      <c r="AH669" s="288" t="s">
        <v>2479</v>
      </c>
      <c r="AI669" s="288" t="s">
        <v>2479</v>
      </c>
      <c r="AJ669" s="303" t="s">
        <v>2191</v>
      </c>
      <c r="AK669" s="288" t="s">
        <v>2479</v>
      </c>
      <c r="AL669" s="303" t="s">
        <v>2190</v>
      </c>
      <c r="AM669" s="288" t="s">
        <v>1975</v>
      </c>
      <c r="AN669" s="207" t="b">
        <v>0</v>
      </c>
      <c r="AY669" s="288" t="s">
        <v>2479</v>
      </c>
      <c r="AZ669" s="288" t="s">
        <v>2479</v>
      </c>
      <c r="BA669" s="288" t="s">
        <v>373</v>
      </c>
      <c r="BB669" s="288" t="s">
        <v>139</v>
      </c>
      <c r="BC669" s="288" t="s">
        <v>2861</v>
      </c>
    </row>
    <row r="670" spans="1:55" ht="45" customHeight="1">
      <c r="A670" s="269">
        <f t="shared" si="12"/>
        <v>669</v>
      </c>
      <c r="B670" s="284" t="s">
        <v>3931</v>
      </c>
      <c r="C670" s="270" t="s">
        <v>3932</v>
      </c>
      <c r="D670" s="270" t="s">
        <v>8</v>
      </c>
      <c r="E670" s="270" t="s">
        <v>13</v>
      </c>
      <c r="F670" s="270" t="s">
        <v>1575</v>
      </c>
      <c r="G670" s="302">
        <v>45103</v>
      </c>
      <c r="L670" s="270" t="s">
        <v>2479</v>
      </c>
      <c r="M670" s="270" t="s">
        <v>2479</v>
      </c>
      <c r="N670" s="272" t="s">
        <v>122</v>
      </c>
      <c r="O670" s="270" t="s">
        <v>2479</v>
      </c>
      <c r="P670" s="270" t="s">
        <v>1555</v>
      </c>
      <c r="Q670" s="270" t="s">
        <v>2198</v>
      </c>
      <c r="R670" s="306">
        <v>44992.483425925922</v>
      </c>
      <c r="S670" s="285">
        <v>2023</v>
      </c>
      <c r="T670" s="270" t="s">
        <v>2001</v>
      </c>
      <c r="U670" s="270" t="s">
        <v>678</v>
      </c>
      <c r="V670" s="270" t="s">
        <v>679</v>
      </c>
      <c r="W670" s="270" t="s">
        <v>145</v>
      </c>
      <c r="X670" s="270" t="s">
        <v>309</v>
      </c>
      <c r="Y670" s="273">
        <v>45078</v>
      </c>
      <c r="Z670" s="288" t="s">
        <v>1875</v>
      </c>
      <c r="AA670" s="288" t="s">
        <v>2479</v>
      </c>
      <c r="AB670" s="288" t="s">
        <v>139</v>
      </c>
      <c r="AC670" s="288" t="s">
        <v>1875</v>
      </c>
      <c r="AD670" s="288" t="s">
        <v>1805</v>
      </c>
      <c r="AE670" s="288" t="s">
        <v>1805</v>
      </c>
      <c r="AF670" s="288" t="s">
        <v>2479</v>
      </c>
      <c r="AG670" s="288" t="s">
        <v>2479</v>
      </c>
      <c r="AH670" s="288" t="s">
        <v>2479</v>
      </c>
      <c r="AI670" s="288" t="s">
        <v>2479</v>
      </c>
      <c r="AJ670" s="303" t="s">
        <v>2191</v>
      </c>
      <c r="AK670" s="288" t="s">
        <v>2479</v>
      </c>
      <c r="AL670" s="303" t="s">
        <v>2190</v>
      </c>
      <c r="AM670" s="288" t="s">
        <v>1975</v>
      </c>
      <c r="AN670" s="207" t="b">
        <v>0</v>
      </c>
      <c r="AY670" s="288" t="s">
        <v>2479</v>
      </c>
      <c r="AZ670" s="288" t="s">
        <v>2479</v>
      </c>
      <c r="BA670" s="288" t="s">
        <v>373</v>
      </c>
      <c r="BB670" s="288" t="s">
        <v>139</v>
      </c>
      <c r="BC670" s="288" t="s">
        <v>2192</v>
      </c>
    </row>
    <row r="671" spans="1:55" ht="45" customHeight="1">
      <c r="A671" s="269">
        <f t="shared" si="12"/>
        <v>670</v>
      </c>
      <c r="B671" s="284" t="s">
        <v>3953</v>
      </c>
      <c r="C671" s="270" t="s">
        <v>3954</v>
      </c>
      <c r="D671" s="270" t="s">
        <v>8</v>
      </c>
      <c r="E671" s="270" t="s">
        <v>13</v>
      </c>
      <c r="F671" s="270" t="s">
        <v>1575</v>
      </c>
      <c r="G671" s="302">
        <v>45103</v>
      </c>
      <c r="L671" s="270" t="s">
        <v>2479</v>
      </c>
      <c r="M671" s="270" t="s">
        <v>2479</v>
      </c>
      <c r="N671" s="272" t="s">
        <v>122</v>
      </c>
      <c r="O671" s="270" t="s">
        <v>2479</v>
      </c>
      <c r="P671" s="270" t="s">
        <v>1555</v>
      </c>
      <c r="Q671" s="270" t="s">
        <v>2198</v>
      </c>
      <c r="R671" s="306">
        <v>44992.513622685183</v>
      </c>
      <c r="S671" s="285">
        <v>2023</v>
      </c>
      <c r="T671" s="270" t="s">
        <v>2001</v>
      </c>
      <c r="U671" s="270" t="s">
        <v>678</v>
      </c>
      <c r="V671" s="270" t="s">
        <v>679</v>
      </c>
      <c r="W671" s="270" t="s">
        <v>145</v>
      </c>
      <c r="X671" s="270" t="s">
        <v>309</v>
      </c>
      <c r="Y671" s="273">
        <v>45078</v>
      </c>
      <c r="Z671" s="288" t="s">
        <v>1875</v>
      </c>
      <c r="AA671" s="288" t="s">
        <v>2479</v>
      </c>
      <c r="AB671" s="288" t="s">
        <v>139</v>
      </c>
      <c r="AC671" s="288" t="s">
        <v>1875</v>
      </c>
      <c r="AD671" s="288" t="s">
        <v>1805</v>
      </c>
      <c r="AE671" s="288" t="s">
        <v>1805</v>
      </c>
      <c r="AF671" s="288" t="s">
        <v>2479</v>
      </c>
      <c r="AG671" s="288" t="s">
        <v>2479</v>
      </c>
      <c r="AH671" s="288" t="s">
        <v>2479</v>
      </c>
      <c r="AI671" s="288" t="s">
        <v>2479</v>
      </c>
      <c r="AJ671" s="303" t="s">
        <v>2191</v>
      </c>
      <c r="AK671" s="288" t="s">
        <v>2479</v>
      </c>
      <c r="AL671" s="303" t="s">
        <v>2190</v>
      </c>
      <c r="AM671" s="288" t="s">
        <v>1975</v>
      </c>
      <c r="AN671" s="207" t="b">
        <v>0</v>
      </c>
      <c r="AY671" s="288" t="s">
        <v>2479</v>
      </c>
      <c r="AZ671" s="288" t="s">
        <v>2479</v>
      </c>
      <c r="BA671" s="288" t="s">
        <v>373</v>
      </c>
      <c r="BB671" s="288" t="s">
        <v>139</v>
      </c>
      <c r="BC671" s="288" t="s">
        <v>2192</v>
      </c>
    </row>
    <row r="672" spans="1:55" ht="45" customHeight="1">
      <c r="A672" s="269">
        <f t="shared" si="12"/>
        <v>671</v>
      </c>
      <c r="B672" s="284" t="s">
        <v>2785</v>
      </c>
      <c r="C672" s="270" t="s">
        <v>3718</v>
      </c>
      <c r="D672" s="270" t="s">
        <v>8</v>
      </c>
      <c r="E672" s="270" t="s">
        <v>13</v>
      </c>
      <c r="F672" s="270" t="s">
        <v>1576</v>
      </c>
      <c r="G672" s="302">
        <v>45083</v>
      </c>
      <c r="K672" s="306">
        <v>45083</v>
      </c>
      <c r="L672" s="270" t="s">
        <v>2193</v>
      </c>
      <c r="M672" s="270" t="s">
        <v>114</v>
      </c>
      <c r="N672" s="272" t="s">
        <v>2479</v>
      </c>
      <c r="O672" s="270" t="s">
        <v>2479</v>
      </c>
      <c r="P672" s="270" t="s">
        <v>1555</v>
      </c>
      <c r="Q672" s="270" t="s">
        <v>2198</v>
      </c>
      <c r="R672" s="306">
        <v>44992.580254629633</v>
      </c>
      <c r="S672" s="285">
        <v>2023</v>
      </c>
      <c r="T672" s="270" t="s">
        <v>2194</v>
      </c>
      <c r="U672" s="270" t="s">
        <v>678</v>
      </c>
      <c r="V672" s="270" t="s">
        <v>679</v>
      </c>
      <c r="W672" s="270" t="s">
        <v>145</v>
      </c>
      <c r="X672" s="270" t="s">
        <v>309</v>
      </c>
      <c r="Y672" s="273">
        <v>45078</v>
      </c>
      <c r="Z672" s="288" t="s">
        <v>1875</v>
      </c>
      <c r="AA672" s="288" t="s">
        <v>2479</v>
      </c>
      <c r="AB672" s="288" t="s">
        <v>139</v>
      </c>
      <c r="AC672" s="288" t="s">
        <v>1875</v>
      </c>
      <c r="AD672" s="288" t="s">
        <v>1805</v>
      </c>
      <c r="AE672" s="288" t="s">
        <v>1805</v>
      </c>
      <c r="AF672" s="288" t="s">
        <v>2479</v>
      </c>
      <c r="AG672" s="288" t="s">
        <v>2479</v>
      </c>
      <c r="AH672" s="288" t="s">
        <v>2479</v>
      </c>
      <c r="AI672" s="288" t="s">
        <v>2479</v>
      </c>
      <c r="AJ672" s="303" t="s">
        <v>2191</v>
      </c>
      <c r="AK672" s="288" t="s">
        <v>2479</v>
      </c>
      <c r="AL672" s="303" t="s">
        <v>2190</v>
      </c>
      <c r="AM672" s="288" t="s">
        <v>1975</v>
      </c>
      <c r="AN672" s="207" t="b">
        <v>0</v>
      </c>
      <c r="AY672" s="288" t="s">
        <v>2479</v>
      </c>
      <c r="AZ672" s="288" t="s">
        <v>2479</v>
      </c>
      <c r="BA672" s="288" t="s">
        <v>373</v>
      </c>
      <c r="BB672" s="288" t="s">
        <v>139</v>
      </c>
      <c r="BC672" s="288" t="s">
        <v>2861</v>
      </c>
    </row>
    <row r="673" spans="1:55" ht="45" customHeight="1">
      <c r="A673" s="269">
        <f t="shared" si="12"/>
        <v>672</v>
      </c>
      <c r="B673" s="284" t="s">
        <v>3922</v>
      </c>
      <c r="C673" s="270" t="s">
        <v>3923</v>
      </c>
      <c r="D673" s="270" t="s">
        <v>8</v>
      </c>
      <c r="E673" s="270" t="s">
        <v>13</v>
      </c>
      <c r="F673" s="270" t="s">
        <v>1576</v>
      </c>
      <c r="G673" s="302">
        <v>45098</v>
      </c>
      <c r="L673" s="270" t="s">
        <v>2479</v>
      </c>
      <c r="M673" s="270" t="s">
        <v>2479</v>
      </c>
      <c r="N673" s="272" t="s">
        <v>122</v>
      </c>
      <c r="O673" s="270" t="s">
        <v>2479</v>
      </c>
      <c r="P673" s="270" t="s">
        <v>1555</v>
      </c>
      <c r="Q673" s="270" t="s">
        <v>2198</v>
      </c>
      <c r="R673" s="306">
        <v>44992.48060185185</v>
      </c>
      <c r="S673" s="285">
        <v>2023</v>
      </c>
      <c r="T673" s="270" t="s">
        <v>2001</v>
      </c>
      <c r="U673" s="270" t="s">
        <v>678</v>
      </c>
      <c r="V673" s="270" t="s">
        <v>679</v>
      </c>
      <c r="W673" s="270" t="s">
        <v>145</v>
      </c>
      <c r="X673" s="270" t="s">
        <v>309</v>
      </c>
      <c r="Y673" s="273">
        <v>45078</v>
      </c>
      <c r="Z673" s="288" t="s">
        <v>1875</v>
      </c>
      <c r="AA673" s="288" t="s">
        <v>2479</v>
      </c>
      <c r="AB673" s="288" t="s">
        <v>139</v>
      </c>
      <c r="AC673" s="288" t="s">
        <v>1875</v>
      </c>
      <c r="AD673" s="288" t="s">
        <v>1805</v>
      </c>
      <c r="AE673" s="288" t="s">
        <v>1805</v>
      </c>
      <c r="AF673" s="288" t="s">
        <v>2479</v>
      </c>
      <c r="AG673" s="288" t="s">
        <v>2479</v>
      </c>
      <c r="AH673" s="288" t="s">
        <v>2479</v>
      </c>
      <c r="AI673" s="288" t="s">
        <v>2479</v>
      </c>
      <c r="AJ673" s="303" t="s">
        <v>2191</v>
      </c>
      <c r="AK673" s="288" t="s">
        <v>2479</v>
      </c>
      <c r="AL673" s="303" t="s">
        <v>2190</v>
      </c>
      <c r="AM673" s="288" t="s">
        <v>1975</v>
      </c>
      <c r="AN673" s="207" t="b">
        <v>0</v>
      </c>
      <c r="AY673" s="288" t="s">
        <v>2479</v>
      </c>
      <c r="AZ673" s="288" t="s">
        <v>2479</v>
      </c>
      <c r="BA673" s="288" t="s">
        <v>373</v>
      </c>
      <c r="BB673" s="288" t="s">
        <v>139</v>
      </c>
      <c r="BC673" s="288" t="s">
        <v>2192</v>
      </c>
    </row>
    <row r="674" spans="1:55" ht="45" customHeight="1">
      <c r="A674" s="269">
        <f t="shared" si="12"/>
        <v>673</v>
      </c>
      <c r="B674" s="284" t="s">
        <v>2630</v>
      </c>
      <c r="C674" s="270" t="s">
        <v>2631</v>
      </c>
      <c r="D674" s="270" t="s">
        <v>8</v>
      </c>
      <c r="E674" s="270" t="s">
        <v>13</v>
      </c>
      <c r="F674" s="270" t="s">
        <v>1578</v>
      </c>
      <c r="G674" s="302">
        <v>44109</v>
      </c>
      <c r="L674" s="270" t="s">
        <v>2479</v>
      </c>
      <c r="M674" s="270" t="s">
        <v>2479</v>
      </c>
      <c r="N674" s="272" t="s">
        <v>126</v>
      </c>
      <c r="O674" s="270" t="s">
        <v>2479</v>
      </c>
      <c r="P674" s="270" t="s">
        <v>1554</v>
      </c>
      <c r="Q674" s="270" t="s">
        <v>2198</v>
      </c>
      <c r="R674" s="306">
        <v>44630.426828703705</v>
      </c>
      <c r="S674" s="285">
        <v>2020</v>
      </c>
      <c r="T674" s="270" t="s">
        <v>2001</v>
      </c>
      <c r="U674" s="270" t="s">
        <v>678</v>
      </c>
      <c r="V674" s="270" t="s">
        <v>679</v>
      </c>
      <c r="W674" s="270" t="s">
        <v>145</v>
      </c>
      <c r="X674" s="270" t="s">
        <v>309</v>
      </c>
      <c r="Y674" s="273">
        <v>45078</v>
      </c>
      <c r="Z674" s="288" t="s">
        <v>1875</v>
      </c>
      <c r="AA674" s="288" t="s">
        <v>2479</v>
      </c>
      <c r="AB674" s="288" t="s">
        <v>139</v>
      </c>
      <c r="AC674" s="288" t="s">
        <v>1875</v>
      </c>
      <c r="AD674" s="288" t="s">
        <v>1805</v>
      </c>
      <c r="AE674" s="288" t="s">
        <v>1805</v>
      </c>
      <c r="AF674" s="288" t="s">
        <v>2479</v>
      </c>
      <c r="AG674" s="288" t="s">
        <v>2479</v>
      </c>
      <c r="AH674" s="288" t="s">
        <v>2479</v>
      </c>
      <c r="AI674" s="288" t="s">
        <v>2479</v>
      </c>
      <c r="AJ674" s="303" t="s">
        <v>2191</v>
      </c>
      <c r="AK674" s="288" t="s">
        <v>2479</v>
      </c>
      <c r="AL674" s="303" t="s">
        <v>2190</v>
      </c>
      <c r="AM674" s="288" t="s">
        <v>1975</v>
      </c>
      <c r="AN674" s="207" t="b">
        <v>0</v>
      </c>
      <c r="AY674" s="288" t="s">
        <v>2479</v>
      </c>
      <c r="AZ674" s="288" t="s">
        <v>2479</v>
      </c>
      <c r="BA674" s="288" t="s">
        <v>373</v>
      </c>
      <c r="BB674" s="288" t="s">
        <v>1610</v>
      </c>
      <c r="BC674" s="288" t="s">
        <v>2192</v>
      </c>
    </row>
    <row r="675" spans="1:55" ht="45" customHeight="1">
      <c r="A675" s="269">
        <f t="shared" si="12"/>
        <v>674</v>
      </c>
      <c r="B675" s="276" t="s">
        <v>3163</v>
      </c>
      <c r="C675" s="277" t="s">
        <v>3164</v>
      </c>
      <c r="D675" s="277" t="s">
        <v>8</v>
      </c>
      <c r="E675" s="277" t="s">
        <v>13</v>
      </c>
      <c r="F675" s="277" t="s">
        <v>1578</v>
      </c>
      <c r="G675" s="307">
        <v>44844</v>
      </c>
      <c r="H675" s="308">
        <v>44901</v>
      </c>
      <c r="I675" s="308"/>
      <c r="J675" s="277" t="s">
        <v>3165</v>
      </c>
      <c r="K675" s="279"/>
      <c r="L675" s="277" t="s">
        <v>2479</v>
      </c>
      <c r="M675" s="277" t="s">
        <v>2479</v>
      </c>
      <c r="N675" s="277" t="s">
        <v>122</v>
      </c>
      <c r="O675" s="277" t="s">
        <v>2479</v>
      </c>
      <c r="P675" s="277" t="s">
        <v>1554</v>
      </c>
      <c r="Q675" s="277" t="s">
        <v>2198</v>
      </c>
      <c r="R675" s="279" t="s">
        <v>3166</v>
      </c>
      <c r="S675" s="286">
        <v>2022</v>
      </c>
      <c r="T675" s="277" t="s">
        <v>2001</v>
      </c>
      <c r="U675" s="277" t="s">
        <v>678</v>
      </c>
      <c r="V675" s="277" t="s">
        <v>679</v>
      </c>
      <c r="W675" s="277" t="s">
        <v>145</v>
      </c>
      <c r="X675" s="277" t="s">
        <v>309</v>
      </c>
      <c r="Y675" s="278">
        <v>45078</v>
      </c>
      <c r="Z675" s="287" t="s">
        <v>1875</v>
      </c>
      <c r="AA675" s="287" t="s">
        <v>2479</v>
      </c>
      <c r="AB675" s="287" t="s">
        <v>139</v>
      </c>
      <c r="AC675" s="287" t="s">
        <v>1875</v>
      </c>
      <c r="AD675" s="287" t="s">
        <v>1805</v>
      </c>
      <c r="AE675" s="287" t="s">
        <v>1805</v>
      </c>
      <c r="AF675" s="287" t="s">
        <v>2479</v>
      </c>
      <c r="AG675" s="287" t="s">
        <v>2479</v>
      </c>
      <c r="AH675" s="287" t="s">
        <v>2479</v>
      </c>
      <c r="AI675" s="287" t="s">
        <v>2479</v>
      </c>
      <c r="AJ675" s="304" t="s">
        <v>2191</v>
      </c>
      <c r="AK675" s="287" t="s">
        <v>2479</v>
      </c>
      <c r="AL675" s="304" t="s">
        <v>2190</v>
      </c>
      <c r="AM675" s="289" t="s">
        <v>1975</v>
      </c>
      <c r="AN675" s="281" t="b">
        <v>0</v>
      </c>
      <c r="AO675" s="305"/>
      <c r="AP675" s="291"/>
      <c r="AQ675" s="291"/>
      <c r="AR675" s="291"/>
      <c r="AS675" s="291"/>
      <c r="AT675" s="291"/>
      <c r="AU675" s="291"/>
      <c r="AV675" s="305"/>
      <c r="AW675" s="281"/>
      <c r="AX675" s="281"/>
      <c r="AY675" s="289" t="s">
        <v>2479</v>
      </c>
      <c r="AZ675" s="289" t="s">
        <v>2479</v>
      </c>
      <c r="BA675" s="289" t="s">
        <v>373</v>
      </c>
      <c r="BB675" s="289" t="s">
        <v>1610</v>
      </c>
      <c r="BC675" s="292" t="s">
        <v>2192</v>
      </c>
    </row>
    <row r="676" spans="1:55" ht="45" customHeight="1">
      <c r="A676" s="269">
        <f t="shared" si="12"/>
        <v>675</v>
      </c>
      <c r="B676" s="276" t="s">
        <v>2891</v>
      </c>
      <c r="C676" s="277" t="s">
        <v>2892</v>
      </c>
      <c r="D676" s="277" t="s">
        <v>8</v>
      </c>
      <c r="E676" s="277" t="s">
        <v>13</v>
      </c>
      <c r="F676" s="277" t="s">
        <v>1580</v>
      </c>
      <c r="G676" s="307">
        <v>44840</v>
      </c>
      <c r="H676" s="308"/>
      <c r="I676" s="308"/>
      <c r="J676" s="277"/>
      <c r="K676" s="279"/>
      <c r="L676" s="277" t="s">
        <v>2479</v>
      </c>
      <c r="M676" s="277" t="s">
        <v>2479</v>
      </c>
      <c r="N676" s="277" t="s">
        <v>122</v>
      </c>
      <c r="O676" s="277" t="s">
        <v>2479</v>
      </c>
      <c r="P676" s="277" t="s">
        <v>1554</v>
      </c>
      <c r="Q676" s="277" t="s">
        <v>2198</v>
      </c>
      <c r="R676" s="279" t="s">
        <v>2893</v>
      </c>
      <c r="S676" s="286">
        <v>2022</v>
      </c>
      <c r="T676" s="277" t="s">
        <v>2001</v>
      </c>
      <c r="U676" s="277" t="s">
        <v>678</v>
      </c>
      <c r="V676" s="277" t="s">
        <v>679</v>
      </c>
      <c r="W676" s="277" t="s">
        <v>145</v>
      </c>
      <c r="X676" s="277" t="s">
        <v>309</v>
      </c>
      <c r="Y676" s="278">
        <v>45078</v>
      </c>
      <c r="Z676" s="287" t="s">
        <v>1875</v>
      </c>
      <c r="AA676" s="287" t="s">
        <v>2479</v>
      </c>
      <c r="AB676" s="287" t="s">
        <v>139</v>
      </c>
      <c r="AC676" s="287" t="s">
        <v>1875</v>
      </c>
      <c r="AD676" s="287" t="s">
        <v>1805</v>
      </c>
      <c r="AE676" s="287" t="s">
        <v>1805</v>
      </c>
      <c r="AF676" s="287" t="s">
        <v>2479</v>
      </c>
      <c r="AG676" s="287" t="s">
        <v>2479</v>
      </c>
      <c r="AH676" s="287" t="s">
        <v>2479</v>
      </c>
      <c r="AI676" s="287" t="s">
        <v>2894</v>
      </c>
      <c r="AJ676" s="304" t="s">
        <v>2191</v>
      </c>
      <c r="AK676" s="287" t="s">
        <v>2479</v>
      </c>
      <c r="AL676" s="304" t="s">
        <v>2190</v>
      </c>
      <c r="AM676" s="289" t="s">
        <v>1975</v>
      </c>
      <c r="AN676" s="281" t="b">
        <v>0</v>
      </c>
      <c r="AO676" s="305"/>
      <c r="AP676" s="291"/>
      <c r="AQ676" s="291"/>
      <c r="AR676" s="291"/>
      <c r="AS676" s="291"/>
      <c r="AT676" s="291"/>
      <c r="AU676" s="291"/>
      <c r="AV676" s="305"/>
      <c r="AW676" s="281"/>
      <c r="AX676" s="281"/>
      <c r="AY676" s="289" t="s">
        <v>2479</v>
      </c>
      <c r="AZ676" s="289" t="s">
        <v>2479</v>
      </c>
      <c r="BA676" s="289" t="s">
        <v>373</v>
      </c>
      <c r="BB676" s="289" t="s">
        <v>1610</v>
      </c>
      <c r="BC676" s="292" t="s">
        <v>2192</v>
      </c>
    </row>
    <row r="677" spans="1:55" ht="45" customHeight="1">
      <c r="A677" s="269">
        <f t="shared" si="12"/>
        <v>676</v>
      </c>
      <c r="B677" s="284" t="s">
        <v>3237</v>
      </c>
      <c r="C677" s="270" t="s">
        <v>3238</v>
      </c>
      <c r="D677" s="270" t="s">
        <v>8</v>
      </c>
      <c r="E677" s="270" t="s">
        <v>13</v>
      </c>
      <c r="F677" s="270" t="s">
        <v>1580</v>
      </c>
      <c r="G677" s="302">
        <v>44900</v>
      </c>
      <c r="K677" s="306">
        <v>45094</v>
      </c>
      <c r="L677" s="270" t="s">
        <v>2193</v>
      </c>
      <c r="M677" s="270" t="s">
        <v>114</v>
      </c>
      <c r="N677" s="272" t="s">
        <v>2479</v>
      </c>
      <c r="O677" s="270" t="s">
        <v>2479</v>
      </c>
      <c r="P677" s="270" t="s">
        <v>1554</v>
      </c>
      <c r="Q677" s="270" t="s">
        <v>2198</v>
      </c>
      <c r="R677" s="306">
        <v>44992.602187500001</v>
      </c>
      <c r="S677" s="285">
        <v>2022</v>
      </c>
      <c r="T677" s="270" t="s">
        <v>2194</v>
      </c>
      <c r="U677" s="270" t="s">
        <v>678</v>
      </c>
      <c r="V677" s="270" t="s">
        <v>679</v>
      </c>
      <c r="W677" s="270" t="s">
        <v>145</v>
      </c>
      <c r="X677" s="270" t="s">
        <v>309</v>
      </c>
      <c r="Y677" s="273">
        <v>45078</v>
      </c>
      <c r="Z677" s="288" t="s">
        <v>1875</v>
      </c>
      <c r="AA677" s="288" t="s">
        <v>2479</v>
      </c>
      <c r="AB677" s="288" t="s">
        <v>139</v>
      </c>
      <c r="AC677" s="288" t="s">
        <v>1875</v>
      </c>
      <c r="AD677" s="288" t="s">
        <v>1805</v>
      </c>
      <c r="AE677" s="288" t="s">
        <v>1805</v>
      </c>
      <c r="AF677" s="288" t="s">
        <v>2479</v>
      </c>
      <c r="AG677" s="288" t="s">
        <v>2479</v>
      </c>
      <c r="AH677" s="288" t="s">
        <v>2479</v>
      </c>
      <c r="AI677" s="288" t="s">
        <v>2479</v>
      </c>
      <c r="AJ677" s="303" t="s">
        <v>2191</v>
      </c>
      <c r="AK677" s="288" t="s">
        <v>2479</v>
      </c>
      <c r="AL677" s="303" t="s">
        <v>2190</v>
      </c>
      <c r="AM677" s="288" t="s">
        <v>1975</v>
      </c>
      <c r="AN677" s="207" t="b">
        <v>0</v>
      </c>
      <c r="AY677" s="288" t="s">
        <v>2479</v>
      </c>
      <c r="AZ677" s="288" t="s">
        <v>2479</v>
      </c>
      <c r="BA677" s="288" t="s">
        <v>373</v>
      </c>
      <c r="BB677" s="288" t="s">
        <v>139</v>
      </c>
      <c r="BC677" s="288" t="s">
        <v>2862</v>
      </c>
    </row>
    <row r="678" spans="1:55" ht="45" customHeight="1">
      <c r="A678" s="269">
        <f t="shared" si="12"/>
        <v>677</v>
      </c>
      <c r="B678" s="284" t="s">
        <v>3239</v>
      </c>
      <c r="C678" s="270" t="s">
        <v>3240</v>
      </c>
      <c r="D678" s="270" t="s">
        <v>8</v>
      </c>
      <c r="E678" s="270" t="s">
        <v>13</v>
      </c>
      <c r="F678" s="270" t="s">
        <v>1580</v>
      </c>
      <c r="G678" s="302">
        <v>44914</v>
      </c>
      <c r="L678" s="270" t="s">
        <v>2479</v>
      </c>
      <c r="M678" s="270" t="s">
        <v>2479</v>
      </c>
      <c r="N678" s="272" t="s">
        <v>122</v>
      </c>
      <c r="O678" s="270" t="s">
        <v>2479</v>
      </c>
      <c r="P678" s="270" t="s">
        <v>1554</v>
      </c>
      <c r="Q678" s="270" t="s">
        <v>2198</v>
      </c>
      <c r="R678" s="306" t="s">
        <v>3241</v>
      </c>
      <c r="S678" s="285">
        <v>2022</v>
      </c>
      <c r="T678" s="270" t="s">
        <v>2001</v>
      </c>
      <c r="U678" s="270" t="s">
        <v>678</v>
      </c>
      <c r="V678" s="270" t="s">
        <v>679</v>
      </c>
      <c r="W678" s="270" t="s">
        <v>145</v>
      </c>
      <c r="X678" s="270" t="s">
        <v>309</v>
      </c>
      <c r="Y678" s="273">
        <v>45078</v>
      </c>
      <c r="Z678" s="288" t="s">
        <v>1875</v>
      </c>
      <c r="AA678" s="288" t="s">
        <v>2479</v>
      </c>
      <c r="AB678" s="288" t="s">
        <v>139</v>
      </c>
      <c r="AC678" s="288" t="s">
        <v>1875</v>
      </c>
      <c r="AD678" s="288" t="s">
        <v>1805</v>
      </c>
      <c r="AE678" s="288" t="s">
        <v>1805</v>
      </c>
      <c r="AF678" s="288" t="s">
        <v>2479</v>
      </c>
      <c r="AG678" s="288" t="s">
        <v>2479</v>
      </c>
      <c r="AH678" s="288" t="s">
        <v>2479</v>
      </c>
      <c r="AI678" s="288" t="s">
        <v>2479</v>
      </c>
      <c r="AJ678" s="303" t="s">
        <v>2191</v>
      </c>
      <c r="AK678" s="288" t="s">
        <v>2479</v>
      </c>
      <c r="AL678" s="303" t="s">
        <v>2190</v>
      </c>
      <c r="AM678" s="288" t="s">
        <v>1975</v>
      </c>
      <c r="AN678" s="207" t="b">
        <v>0</v>
      </c>
      <c r="AY678" s="288" t="s">
        <v>2479</v>
      </c>
      <c r="AZ678" s="288" t="s">
        <v>2479</v>
      </c>
      <c r="BA678" s="288" t="s">
        <v>373</v>
      </c>
      <c r="BB678" s="288" t="s">
        <v>1610</v>
      </c>
      <c r="BC678" s="288" t="s">
        <v>2192</v>
      </c>
    </row>
    <row r="679" spans="1:55" ht="45" customHeight="1">
      <c r="A679" s="269">
        <f t="shared" ref="A679:A694" si="13">ROW()-1</f>
        <v>678</v>
      </c>
      <c r="B679" s="284" t="s">
        <v>3967</v>
      </c>
      <c r="C679" s="270" t="s">
        <v>3968</v>
      </c>
      <c r="D679" s="270" t="s">
        <v>8</v>
      </c>
      <c r="E679" s="270" t="s">
        <v>13</v>
      </c>
      <c r="F679" s="270" t="s">
        <v>1580</v>
      </c>
      <c r="G679" s="302">
        <v>44884</v>
      </c>
      <c r="K679" s="306">
        <v>45097</v>
      </c>
      <c r="L679" s="270" t="s">
        <v>2193</v>
      </c>
      <c r="M679" s="270" t="s">
        <v>114</v>
      </c>
      <c r="N679" s="272" t="s">
        <v>2479</v>
      </c>
      <c r="O679" s="270" t="s">
        <v>2479</v>
      </c>
      <c r="P679" s="270" t="s">
        <v>1554</v>
      </c>
      <c r="Q679" s="270" t="s">
        <v>2198</v>
      </c>
      <c r="R679" s="306">
        <v>44992.604050925926</v>
      </c>
      <c r="S679" s="285">
        <v>2022</v>
      </c>
      <c r="T679" s="270" t="s">
        <v>2194</v>
      </c>
      <c r="U679" s="270" t="s">
        <v>678</v>
      </c>
      <c r="V679" s="270" t="s">
        <v>679</v>
      </c>
      <c r="W679" s="270" t="s">
        <v>145</v>
      </c>
      <c r="X679" s="270" t="s">
        <v>309</v>
      </c>
      <c r="Y679" s="273">
        <v>45078</v>
      </c>
      <c r="Z679" s="288" t="s">
        <v>1875</v>
      </c>
      <c r="AA679" s="288" t="s">
        <v>2479</v>
      </c>
      <c r="AB679" s="288" t="s">
        <v>139</v>
      </c>
      <c r="AC679" s="288" t="s">
        <v>1875</v>
      </c>
      <c r="AD679" s="288" t="s">
        <v>1805</v>
      </c>
      <c r="AE679" s="288" t="s">
        <v>1805</v>
      </c>
      <c r="AF679" s="288" t="s">
        <v>2479</v>
      </c>
      <c r="AG679" s="288" t="s">
        <v>2479</v>
      </c>
      <c r="AH679" s="288" t="s">
        <v>2479</v>
      </c>
      <c r="AI679" s="288" t="s">
        <v>2479</v>
      </c>
      <c r="AJ679" s="303" t="s">
        <v>2191</v>
      </c>
      <c r="AK679" s="288" t="s">
        <v>2479</v>
      </c>
      <c r="AL679" s="303" t="s">
        <v>2190</v>
      </c>
      <c r="AM679" s="288" t="s">
        <v>1975</v>
      </c>
      <c r="AN679" s="207" t="b">
        <v>0</v>
      </c>
      <c r="AY679" s="288" t="s">
        <v>2479</v>
      </c>
      <c r="AZ679" s="288" t="s">
        <v>2479</v>
      </c>
      <c r="BA679" s="288" t="s">
        <v>373</v>
      </c>
      <c r="BB679" s="288" t="s">
        <v>139</v>
      </c>
      <c r="BC679" s="288" t="s">
        <v>2861</v>
      </c>
    </row>
    <row r="680" spans="1:55" ht="45" customHeight="1">
      <c r="A680" s="269">
        <f t="shared" si="13"/>
        <v>679</v>
      </c>
      <c r="B680" s="284" t="s">
        <v>3306</v>
      </c>
      <c r="C680" s="270" t="s">
        <v>3307</v>
      </c>
      <c r="D680" s="270" t="s">
        <v>8</v>
      </c>
      <c r="E680" s="270" t="s">
        <v>13</v>
      </c>
      <c r="F680" s="270" t="s">
        <v>1580</v>
      </c>
      <c r="G680" s="302">
        <v>44949</v>
      </c>
      <c r="K680" s="306">
        <v>45083</v>
      </c>
      <c r="L680" s="270" t="s">
        <v>2193</v>
      </c>
      <c r="M680" s="270" t="s">
        <v>114</v>
      </c>
      <c r="N680" s="272" t="s">
        <v>2479</v>
      </c>
      <c r="O680" s="270" t="s">
        <v>2479</v>
      </c>
      <c r="P680" s="270" t="s">
        <v>1554</v>
      </c>
      <c r="Q680" s="270" t="s">
        <v>2198</v>
      </c>
      <c r="R680" s="306">
        <v>44992.580972222226</v>
      </c>
      <c r="S680" s="285">
        <v>2023</v>
      </c>
      <c r="T680" s="270" t="s">
        <v>2194</v>
      </c>
      <c r="U680" s="270" t="s">
        <v>678</v>
      </c>
      <c r="V680" s="270" t="s">
        <v>679</v>
      </c>
      <c r="W680" s="270" t="s">
        <v>145</v>
      </c>
      <c r="X680" s="270" t="s">
        <v>309</v>
      </c>
      <c r="Y680" s="273">
        <v>45078</v>
      </c>
      <c r="Z680" s="288" t="s">
        <v>1875</v>
      </c>
      <c r="AA680" s="288" t="s">
        <v>2479</v>
      </c>
      <c r="AB680" s="288" t="s">
        <v>139</v>
      </c>
      <c r="AC680" s="288" t="s">
        <v>1875</v>
      </c>
      <c r="AD680" s="288" t="s">
        <v>1805</v>
      </c>
      <c r="AE680" s="288" t="s">
        <v>1805</v>
      </c>
      <c r="AF680" s="288" t="s">
        <v>2479</v>
      </c>
      <c r="AG680" s="288" t="s">
        <v>2479</v>
      </c>
      <c r="AH680" s="288" t="s">
        <v>2479</v>
      </c>
      <c r="AI680" s="288" t="s">
        <v>2479</v>
      </c>
      <c r="AJ680" s="303" t="s">
        <v>2191</v>
      </c>
      <c r="AK680" s="288" t="s">
        <v>2479</v>
      </c>
      <c r="AL680" s="303" t="s">
        <v>2190</v>
      </c>
      <c r="AM680" s="288" t="s">
        <v>1975</v>
      </c>
      <c r="AN680" s="207" t="b">
        <v>0</v>
      </c>
      <c r="AY680" s="288" t="s">
        <v>2479</v>
      </c>
      <c r="AZ680" s="288" t="s">
        <v>2479</v>
      </c>
      <c r="BA680" s="288" t="s">
        <v>373</v>
      </c>
      <c r="BB680" s="288" t="s">
        <v>139</v>
      </c>
      <c r="BC680" s="288" t="s">
        <v>2861</v>
      </c>
    </row>
    <row r="681" spans="1:55" ht="45" customHeight="1">
      <c r="A681" s="269">
        <f t="shared" si="13"/>
        <v>680</v>
      </c>
      <c r="B681" s="284" t="s">
        <v>2404</v>
      </c>
      <c r="C681" s="270" t="s">
        <v>3425</v>
      </c>
      <c r="D681" s="270" t="s">
        <v>8</v>
      </c>
      <c r="E681" s="270" t="s">
        <v>13</v>
      </c>
      <c r="F681" s="270" t="s">
        <v>1580</v>
      </c>
      <c r="G681" s="302">
        <v>44959</v>
      </c>
      <c r="L681" s="270" t="s">
        <v>2479</v>
      </c>
      <c r="M681" s="270" t="s">
        <v>2479</v>
      </c>
      <c r="N681" s="272" t="s">
        <v>122</v>
      </c>
      <c r="O681" s="270" t="s">
        <v>2479</v>
      </c>
      <c r="P681" s="270" t="s">
        <v>1554</v>
      </c>
      <c r="Q681" s="270" t="s">
        <v>2198</v>
      </c>
      <c r="R681" s="306" t="s">
        <v>3426</v>
      </c>
      <c r="S681" s="285">
        <v>2023</v>
      </c>
      <c r="T681" s="270" t="s">
        <v>2001</v>
      </c>
      <c r="U681" s="270" t="s">
        <v>678</v>
      </c>
      <c r="V681" s="270" t="s">
        <v>679</v>
      </c>
      <c r="W681" s="270" t="s">
        <v>145</v>
      </c>
      <c r="X681" s="270" t="s">
        <v>309</v>
      </c>
      <c r="Y681" s="273">
        <v>45078</v>
      </c>
      <c r="Z681" s="288" t="s">
        <v>1875</v>
      </c>
      <c r="AA681" s="288" t="s">
        <v>2479</v>
      </c>
      <c r="AB681" s="288" t="s">
        <v>139</v>
      </c>
      <c r="AC681" s="288" t="s">
        <v>1875</v>
      </c>
      <c r="AD681" s="288" t="s">
        <v>1805</v>
      </c>
      <c r="AE681" s="288" t="s">
        <v>1805</v>
      </c>
      <c r="AF681" s="288" t="s">
        <v>2479</v>
      </c>
      <c r="AG681" s="288" t="s">
        <v>2479</v>
      </c>
      <c r="AH681" s="288" t="s">
        <v>2479</v>
      </c>
      <c r="AI681" s="288" t="s">
        <v>2479</v>
      </c>
      <c r="AJ681" s="303" t="s">
        <v>2191</v>
      </c>
      <c r="AK681" s="288" t="s">
        <v>2479</v>
      </c>
      <c r="AL681" s="303" t="s">
        <v>2190</v>
      </c>
      <c r="AM681" s="288" t="s">
        <v>1975</v>
      </c>
      <c r="AN681" s="207" t="b">
        <v>0</v>
      </c>
      <c r="AY681" s="288" t="s">
        <v>2479</v>
      </c>
      <c r="AZ681" s="288" t="s">
        <v>2479</v>
      </c>
      <c r="BA681" s="288" t="s">
        <v>373</v>
      </c>
      <c r="BB681" s="288" t="s">
        <v>1610</v>
      </c>
      <c r="BC681" s="288" t="s">
        <v>2192</v>
      </c>
    </row>
    <row r="682" spans="1:55" ht="45" customHeight="1">
      <c r="A682" s="269">
        <f t="shared" si="13"/>
        <v>681</v>
      </c>
      <c r="B682" s="284" t="s">
        <v>3492</v>
      </c>
      <c r="C682" s="270" t="s">
        <v>3493</v>
      </c>
      <c r="D682" s="270" t="s">
        <v>8</v>
      </c>
      <c r="E682" s="270" t="s">
        <v>13</v>
      </c>
      <c r="F682" s="270" t="s">
        <v>1580</v>
      </c>
      <c r="G682" s="302">
        <v>44984</v>
      </c>
      <c r="L682" s="270" t="s">
        <v>2479</v>
      </c>
      <c r="M682" s="270" t="s">
        <v>2479</v>
      </c>
      <c r="N682" s="272" t="s">
        <v>122</v>
      </c>
      <c r="O682" s="270" t="s">
        <v>2479</v>
      </c>
      <c r="P682" s="270" t="s">
        <v>1554</v>
      </c>
      <c r="Q682" s="270" t="s">
        <v>2198</v>
      </c>
      <c r="R682" s="306">
        <v>44929.436759259261</v>
      </c>
      <c r="S682" s="285">
        <v>2023</v>
      </c>
      <c r="T682" s="270" t="s">
        <v>2001</v>
      </c>
      <c r="U682" s="270" t="s">
        <v>678</v>
      </c>
      <c r="V682" s="270" t="s">
        <v>679</v>
      </c>
      <c r="W682" s="270" t="s">
        <v>145</v>
      </c>
      <c r="X682" s="270" t="s">
        <v>309</v>
      </c>
      <c r="Y682" s="273">
        <v>45078</v>
      </c>
      <c r="Z682" s="288" t="s">
        <v>1875</v>
      </c>
      <c r="AA682" s="288" t="s">
        <v>2479</v>
      </c>
      <c r="AB682" s="288" t="s">
        <v>139</v>
      </c>
      <c r="AC682" s="288" t="s">
        <v>1875</v>
      </c>
      <c r="AD682" s="288" t="s">
        <v>1805</v>
      </c>
      <c r="AE682" s="288" t="s">
        <v>1805</v>
      </c>
      <c r="AF682" s="288" t="s">
        <v>2479</v>
      </c>
      <c r="AG682" s="288" t="s">
        <v>2479</v>
      </c>
      <c r="AH682" s="288" t="s">
        <v>2479</v>
      </c>
      <c r="AI682" s="288" t="s">
        <v>2479</v>
      </c>
      <c r="AJ682" s="303" t="s">
        <v>2191</v>
      </c>
      <c r="AK682" s="288" t="s">
        <v>2479</v>
      </c>
      <c r="AL682" s="303" t="s">
        <v>2190</v>
      </c>
      <c r="AM682" s="288" t="s">
        <v>1975</v>
      </c>
      <c r="AN682" s="207" t="b">
        <v>0</v>
      </c>
      <c r="AY682" s="288" t="s">
        <v>2479</v>
      </c>
      <c r="AZ682" s="288" t="s">
        <v>2479</v>
      </c>
      <c r="BA682" s="288" t="s">
        <v>373</v>
      </c>
      <c r="BB682" s="288" t="s">
        <v>1610</v>
      </c>
      <c r="BC682" s="288" t="s">
        <v>2192</v>
      </c>
    </row>
    <row r="683" spans="1:55" ht="45" customHeight="1">
      <c r="A683" s="269">
        <f t="shared" si="13"/>
        <v>682</v>
      </c>
      <c r="B683" s="284" t="s">
        <v>3541</v>
      </c>
      <c r="C683" s="270" t="s">
        <v>3542</v>
      </c>
      <c r="D683" s="270" t="s">
        <v>8</v>
      </c>
      <c r="E683" s="270" t="s">
        <v>13</v>
      </c>
      <c r="F683" s="270" t="s">
        <v>1580</v>
      </c>
      <c r="G683" s="302">
        <v>44996</v>
      </c>
      <c r="L683" s="270" t="s">
        <v>2479</v>
      </c>
      <c r="M683" s="270" t="s">
        <v>2479</v>
      </c>
      <c r="N683" s="272" t="s">
        <v>122</v>
      </c>
      <c r="O683" s="270" t="s">
        <v>2479</v>
      </c>
      <c r="P683" s="270" t="s">
        <v>1554</v>
      </c>
      <c r="Q683" s="270" t="s">
        <v>2198</v>
      </c>
      <c r="R683" s="306" t="s">
        <v>3543</v>
      </c>
      <c r="S683" s="285">
        <v>2023</v>
      </c>
      <c r="T683" s="270" t="s">
        <v>2001</v>
      </c>
      <c r="U683" s="270" t="s">
        <v>678</v>
      </c>
      <c r="V683" s="270" t="s">
        <v>679</v>
      </c>
      <c r="W683" s="270" t="s">
        <v>145</v>
      </c>
      <c r="X683" s="270" t="s">
        <v>309</v>
      </c>
      <c r="Y683" s="273">
        <v>45078</v>
      </c>
      <c r="Z683" s="288" t="s">
        <v>1875</v>
      </c>
      <c r="AA683" s="288" t="s">
        <v>2479</v>
      </c>
      <c r="AB683" s="288" t="s">
        <v>139</v>
      </c>
      <c r="AC683" s="288" t="s">
        <v>1875</v>
      </c>
      <c r="AD683" s="288" t="s">
        <v>1805</v>
      </c>
      <c r="AE683" s="288" t="s">
        <v>1805</v>
      </c>
      <c r="AF683" s="288" t="s">
        <v>2479</v>
      </c>
      <c r="AG683" s="288" t="s">
        <v>2479</v>
      </c>
      <c r="AH683" s="288" t="s">
        <v>2479</v>
      </c>
      <c r="AI683" s="288" t="s">
        <v>2479</v>
      </c>
      <c r="AJ683" s="303" t="s">
        <v>2191</v>
      </c>
      <c r="AK683" s="288" t="s">
        <v>2479</v>
      </c>
      <c r="AL683" s="303" t="s">
        <v>2190</v>
      </c>
      <c r="AM683" s="288" t="s">
        <v>1975</v>
      </c>
      <c r="AN683" s="207" t="b">
        <v>0</v>
      </c>
      <c r="AY683" s="288" t="s">
        <v>2479</v>
      </c>
      <c r="AZ683" s="288" t="s">
        <v>2479</v>
      </c>
      <c r="BA683" s="288" t="s">
        <v>373</v>
      </c>
      <c r="BB683" s="288" t="s">
        <v>1610</v>
      </c>
      <c r="BC683" s="288" t="s">
        <v>2192</v>
      </c>
    </row>
    <row r="684" spans="1:55" ht="45" customHeight="1">
      <c r="A684" s="269">
        <f t="shared" si="13"/>
        <v>683</v>
      </c>
      <c r="B684" s="284" t="s">
        <v>3544</v>
      </c>
      <c r="C684" s="270" t="s">
        <v>3545</v>
      </c>
      <c r="D684" s="270" t="s">
        <v>8</v>
      </c>
      <c r="E684" s="270" t="s">
        <v>13</v>
      </c>
      <c r="F684" s="270" t="s">
        <v>1580</v>
      </c>
      <c r="G684" s="302">
        <v>45005</v>
      </c>
      <c r="L684" s="270" t="s">
        <v>2479</v>
      </c>
      <c r="M684" s="270" t="s">
        <v>2479</v>
      </c>
      <c r="N684" s="272" t="s">
        <v>122</v>
      </c>
      <c r="O684" s="270" t="s">
        <v>2479</v>
      </c>
      <c r="P684" s="270" t="s">
        <v>1554</v>
      </c>
      <c r="Q684" s="270" t="s">
        <v>2198</v>
      </c>
      <c r="R684" s="306">
        <v>44989.436736111114</v>
      </c>
      <c r="S684" s="285">
        <v>2023</v>
      </c>
      <c r="T684" s="270" t="s">
        <v>2001</v>
      </c>
      <c r="U684" s="270" t="s">
        <v>678</v>
      </c>
      <c r="V684" s="270" t="s">
        <v>679</v>
      </c>
      <c r="W684" s="270" t="s">
        <v>145</v>
      </c>
      <c r="X684" s="270" t="s">
        <v>309</v>
      </c>
      <c r="Y684" s="273">
        <v>45078</v>
      </c>
      <c r="Z684" s="288" t="s">
        <v>1875</v>
      </c>
      <c r="AA684" s="288" t="s">
        <v>2479</v>
      </c>
      <c r="AB684" s="288" t="s">
        <v>139</v>
      </c>
      <c r="AC684" s="288" t="s">
        <v>1875</v>
      </c>
      <c r="AD684" s="288" t="s">
        <v>1805</v>
      </c>
      <c r="AE684" s="288" t="s">
        <v>1805</v>
      </c>
      <c r="AF684" s="288" t="s">
        <v>2479</v>
      </c>
      <c r="AG684" s="288" t="s">
        <v>2479</v>
      </c>
      <c r="AH684" s="288" t="s">
        <v>2479</v>
      </c>
      <c r="AI684" s="288" t="s">
        <v>2479</v>
      </c>
      <c r="AJ684" s="303" t="s">
        <v>2191</v>
      </c>
      <c r="AK684" s="288" t="s">
        <v>2479</v>
      </c>
      <c r="AL684" s="303" t="s">
        <v>2190</v>
      </c>
      <c r="AM684" s="288" t="s">
        <v>1975</v>
      </c>
      <c r="AN684" s="207" t="b">
        <v>0</v>
      </c>
      <c r="AY684" s="288" t="s">
        <v>2479</v>
      </c>
      <c r="AZ684" s="288" t="s">
        <v>2479</v>
      </c>
      <c r="BA684" s="288" t="s">
        <v>373</v>
      </c>
      <c r="BB684" s="288" t="s">
        <v>1610</v>
      </c>
      <c r="BC684" s="288" t="s">
        <v>2192</v>
      </c>
    </row>
    <row r="685" spans="1:55" ht="45" customHeight="1">
      <c r="A685" s="269">
        <f t="shared" si="13"/>
        <v>684</v>
      </c>
      <c r="B685" s="284" t="s">
        <v>3546</v>
      </c>
      <c r="C685" s="270" t="s">
        <v>3547</v>
      </c>
      <c r="D685" s="270" t="s">
        <v>8</v>
      </c>
      <c r="E685" s="270" t="s">
        <v>13</v>
      </c>
      <c r="F685" s="270" t="s">
        <v>1580</v>
      </c>
      <c r="G685" s="302">
        <v>45007</v>
      </c>
      <c r="K685" s="306">
        <v>45091</v>
      </c>
      <c r="L685" s="270" t="s">
        <v>2193</v>
      </c>
      <c r="M685" s="270" t="s">
        <v>114</v>
      </c>
      <c r="N685" s="272" t="s">
        <v>2479</v>
      </c>
      <c r="O685" s="270" t="s">
        <v>2479</v>
      </c>
      <c r="P685" s="270" t="s">
        <v>1554</v>
      </c>
      <c r="Q685" s="270" t="s">
        <v>2198</v>
      </c>
      <c r="R685" s="306">
        <v>44992.601018518515</v>
      </c>
      <c r="S685" s="285">
        <v>2023</v>
      </c>
      <c r="T685" s="270" t="s">
        <v>2194</v>
      </c>
      <c r="U685" s="270" t="s">
        <v>678</v>
      </c>
      <c r="V685" s="270" t="s">
        <v>679</v>
      </c>
      <c r="W685" s="270" t="s">
        <v>145</v>
      </c>
      <c r="X685" s="270" t="s">
        <v>309</v>
      </c>
      <c r="Y685" s="273">
        <v>45078</v>
      </c>
      <c r="Z685" s="288" t="s">
        <v>1875</v>
      </c>
      <c r="AA685" s="288" t="s">
        <v>2479</v>
      </c>
      <c r="AB685" s="288" t="s">
        <v>139</v>
      </c>
      <c r="AC685" s="288" t="s">
        <v>1875</v>
      </c>
      <c r="AD685" s="288" t="s">
        <v>1805</v>
      </c>
      <c r="AE685" s="288" t="s">
        <v>1805</v>
      </c>
      <c r="AF685" s="288" t="s">
        <v>2479</v>
      </c>
      <c r="AG685" s="288" t="s">
        <v>2479</v>
      </c>
      <c r="AH685" s="288" t="s">
        <v>2479</v>
      </c>
      <c r="AI685" s="288" t="s">
        <v>2479</v>
      </c>
      <c r="AJ685" s="303" t="s">
        <v>2191</v>
      </c>
      <c r="AK685" s="288" t="s">
        <v>2479</v>
      </c>
      <c r="AL685" s="303" t="s">
        <v>2190</v>
      </c>
      <c r="AM685" s="288" t="s">
        <v>1975</v>
      </c>
      <c r="AN685" s="207" t="b">
        <v>0</v>
      </c>
      <c r="AY685" s="288" t="s">
        <v>2479</v>
      </c>
      <c r="AZ685" s="288" t="s">
        <v>2479</v>
      </c>
      <c r="BA685" s="288" t="s">
        <v>373</v>
      </c>
      <c r="BB685" s="288" t="s">
        <v>139</v>
      </c>
      <c r="BC685" s="288" t="s">
        <v>2862</v>
      </c>
    </row>
    <row r="686" spans="1:55" ht="45" customHeight="1">
      <c r="A686" s="269">
        <f t="shared" si="13"/>
        <v>685</v>
      </c>
      <c r="B686" s="284" t="s">
        <v>3548</v>
      </c>
      <c r="C686" s="270" t="s">
        <v>3549</v>
      </c>
      <c r="D686" s="270" t="s">
        <v>8</v>
      </c>
      <c r="E686" s="270" t="s">
        <v>13</v>
      </c>
      <c r="F686" s="270" t="s">
        <v>1580</v>
      </c>
      <c r="G686" s="302">
        <v>45007</v>
      </c>
      <c r="K686" s="306">
        <v>45091</v>
      </c>
      <c r="L686" s="270" t="s">
        <v>2193</v>
      </c>
      <c r="M686" s="270" t="s">
        <v>114</v>
      </c>
      <c r="N686" s="272" t="s">
        <v>2479</v>
      </c>
      <c r="O686" s="270" t="s">
        <v>2479</v>
      </c>
      <c r="P686" s="270" t="s">
        <v>1554</v>
      </c>
      <c r="Q686" s="270" t="s">
        <v>2198</v>
      </c>
      <c r="R686" s="306">
        <v>44992.601412037038</v>
      </c>
      <c r="S686" s="285">
        <v>2023</v>
      </c>
      <c r="T686" s="270" t="s">
        <v>2194</v>
      </c>
      <c r="U686" s="270" t="s">
        <v>678</v>
      </c>
      <c r="V686" s="270" t="s">
        <v>679</v>
      </c>
      <c r="W686" s="270" t="s">
        <v>145</v>
      </c>
      <c r="X686" s="270" t="s">
        <v>309</v>
      </c>
      <c r="Y686" s="273">
        <v>45078</v>
      </c>
      <c r="Z686" s="288" t="s">
        <v>1875</v>
      </c>
      <c r="AA686" s="288" t="s">
        <v>2479</v>
      </c>
      <c r="AB686" s="288" t="s">
        <v>139</v>
      </c>
      <c r="AC686" s="288" t="s">
        <v>1875</v>
      </c>
      <c r="AD686" s="288" t="s">
        <v>1805</v>
      </c>
      <c r="AE686" s="288" t="s">
        <v>1805</v>
      </c>
      <c r="AF686" s="288" t="s">
        <v>2479</v>
      </c>
      <c r="AG686" s="288" t="s">
        <v>2479</v>
      </c>
      <c r="AH686" s="288" t="s">
        <v>2479</v>
      </c>
      <c r="AI686" s="288" t="s">
        <v>2479</v>
      </c>
      <c r="AJ686" s="303" t="s">
        <v>2191</v>
      </c>
      <c r="AK686" s="288" t="s">
        <v>2479</v>
      </c>
      <c r="AL686" s="303" t="s">
        <v>2190</v>
      </c>
      <c r="AM686" s="288" t="s">
        <v>1975</v>
      </c>
      <c r="AN686" s="207" t="b">
        <v>0</v>
      </c>
      <c r="AY686" s="288" t="s">
        <v>2479</v>
      </c>
      <c r="AZ686" s="288" t="s">
        <v>2479</v>
      </c>
      <c r="BA686" s="288" t="s">
        <v>373</v>
      </c>
      <c r="BB686" s="288" t="s">
        <v>139</v>
      </c>
      <c r="BC686" s="288" t="s">
        <v>2862</v>
      </c>
    </row>
    <row r="687" spans="1:55" ht="45" customHeight="1">
      <c r="A687" s="269">
        <f t="shared" si="13"/>
        <v>686</v>
      </c>
      <c r="B687" s="284" t="s">
        <v>2392</v>
      </c>
      <c r="C687" s="270" t="s">
        <v>3651</v>
      </c>
      <c r="D687" s="270" t="s">
        <v>8</v>
      </c>
      <c r="E687" s="270" t="s">
        <v>13</v>
      </c>
      <c r="F687" s="270" t="s">
        <v>1580</v>
      </c>
      <c r="G687" s="302">
        <v>45028</v>
      </c>
      <c r="K687" s="306">
        <v>45083</v>
      </c>
      <c r="L687" s="270" t="s">
        <v>2193</v>
      </c>
      <c r="M687" s="270" t="s">
        <v>115</v>
      </c>
      <c r="N687" s="272" t="s">
        <v>2479</v>
      </c>
      <c r="O687" s="270" t="s">
        <v>2479</v>
      </c>
      <c r="P687" s="270" t="s">
        <v>1554</v>
      </c>
      <c r="Q687" s="270" t="s">
        <v>2198</v>
      </c>
      <c r="R687" s="306">
        <v>44992.579733796294</v>
      </c>
      <c r="S687" s="285">
        <v>2023</v>
      </c>
      <c r="T687" s="270" t="s">
        <v>2194</v>
      </c>
      <c r="U687" s="270" t="s">
        <v>678</v>
      </c>
      <c r="V687" s="270" t="s">
        <v>679</v>
      </c>
      <c r="W687" s="270" t="s">
        <v>145</v>
      </c>
      <c r="X687" s="270" t="s">
        <v>309</v>
      </c>
      <c r="Y687" s="273">
        <v>45078</v>
      </c>
      <c r="Z687" s="288" t="s">
        <v>1875</v>
      </c>
      <c r="AA687" s="288" t="s">
        <v>2479</v>
      </c>
      <c r="AB687" s="288" t="s">
        <v>139</v>
      </c>
      <c r="AC687" s="288" t="s">
        <v>1875</v>
      </c>
      <c r="AD687" s="288" t="s">
        <v>1805</v>
      </c>
      <c r="AE687" s="288" t="s">
        <v>1805</v>
      </c>
      <c r="AF687" s="288" t="s">
        <v>2479</v>
      </c>
      <c r="AG687" s="288" t="s">
        <v>2479</v>
      </c>
      <c r="AH687" s="288" t="s">
        <v>2479</v>
      </c>
      <c r="AI687" s="288" t="s">
        <v>2479</v>
      </c>
      <c r="AJ687" s="303" t="s">
        <v>2191</v>
      </c>
      <c r="AK687" s="288" t="s">
        <v>2479</v>
      </c>
      <c r="AL687" s="303" t="s">
        <v>2190</v>
      </c>
      <c r="AM687" s="288" t="s">
        <v>1975</v>
      </c>
      <c r="AN687" s="207" t="b">
        <v>0</v>
      </c>
      <c r="AY687" s="288" t="s">
        <v>2479</v>
      </c>
      <c r="AZ687" s="288" t="s">
        <v>2479</v>
      </c>
      <c r="BA687" s="288" t="s">
        <v>373</v>
      </c>
      <c r="BB687" s="288" t="s">
        <v>139</v>
      </c>
      <c r="BC687" s="288" t="s">
        <v>2862</v>
      </c>
    </row>
    <row r="688" spans="1:55" ht="45" customHeight="1">
      <c r="A688" s="269">
        <f t="shared" si="13"/>
        <v>687</v>
      </c>
      <c r="B688" s="284" t="s">
        <v>3750</v>
      </c>
      <c r="C688" s="270" t="s">
        <v>3751</v>
      </c>
      <c r="D688" s="270" t="s">
        <v>8</v>
      </c>
      <c r="E688" s="270" t="s">
        <v>13</v>
      </c>
      <c r="F688" s="270" t="s">
        <v>1580</v>
      </c>
      <c r="G688" s="302">
        <v>45064</v>
      </c>
      <c r="K688" s="306">
        <v>45093</v>
      </c>
      <c r="L688" s="270" t="s">
        <v>2193</v>
      </c>
      <c r="M688" s="270" t="s">
        <v>114</v>
      </c>
      <c r="N688" s="272" t="s">
        <v>2479</v>
      </c>
      <c r="O688" s="270" t="s">
        <v>2479</v>
      </c>
      <c r="P688" s="270" t="s">
        <v>1554</v>
      </c>
      <c r="Q688" s="270" t="s">
        <v>2198</v>
      </c>
      <c r="R688" s="306">
        <v>44992.601793981485</v>
      </c>
      <c r="S688" s="285">
        <v>2023</v>
      </c>
      <c r="T688" s="270" t="s">
        <v>2194</v>
      </c>
      <c r="U688" s="270" t="s">
        <v>678</v>
      </c>
      <c r="V688" s="270" t="s">
        <v>679</v>
      </c>
      <c r="W688" s="270" t="s">
        <v>145</v>
      </c>
      <c r="X688" s="270" t="s">
        <v>309</v>
      </c>
      <c r="Y688" s="273">
        <v>45078</v>
      </c>
      <c r="Z688" s="288" t="s">
        <v>1875</v>
      </c>
      <c r="AA688" s="288" t="s">
        <v>2479</v>
      </c>
      <c r="AB688" s="288" t="s">
        <v>139</v>
      </c>
      <c r="AC688" s="288" t="s">
        <v>1875</v>
      </c>
      <c r="AD688" s="288" t="s">
        <v>1805</v>
      </c>
      <c r="AE688" s="288" t="s">
        <v>1805</v>
      </c>
      <c r="AF688" s="288" t="s">
        <v>2479</v>
      </c>
      <c r="AG688" s="288" t="s">
        <v>2479</v>
      </c>
      <c r="AH688" s="288" t="s">
        <v>2479</v>
      </c>
      <c r="AI688" s="288" t="s">
        <v>2479</v>
      </c>
      <c r="AJ688" s="303" t="s">
        <v>2191</v>
      </c>
      <c r="AK688" s="288" t="s">
        <v>2479</v>
      </c>
      <c r="AL688" s="303" t="s">
        <v>2190</v>
      </c>
      <c r="AM688" s="288" t="s">
        <v>1975</v>
      </c>
      <c r="AN688" s="207" t="b">
        <v>0</v>
      </c>
      <c r="AY688" s="288" t="s">
        <v>2479</v>
      </c>
      <c r="AZ688" s="288" t="s">
        <v>2479</v>
      </c>
      <c r="BA688" s="288" t="s">
        <v>373</v>
      </c>
      <c r="BB688" s="288" t="s">
        <v>139</v>
      </c>
      <c r="BC688" s="288" t="s">
        <v>2862</v>
      </c>
    </row>
    <row r="689" spans="1:55" ht="45" customHeight="1">
      <c r="A689" s="269">
        <f t="shared" si="13"/>
        <v>688</v>
      </c>
      <c r="B689" s="284" t="s">
        <v>3878</v>
      </c>
      <c r="C689" s="270" t="s">
        <v>3879</v>
      </c>
      <c r="D689" s="270" t="s">
        <v>8</v>
      </c>
      <c r="E689" s="270" t="s">
        <v>13</v>
      </c>
      <c r="F689" s="270" t="s">
        <v>1580</v>
      </c>
      <c r="G689" s="302">
        <v>45097</v>
      </c>
      <c r="L689" s="270" t="s">
        <v>2479</v>
      </c>
      <c r="M689" s="270" t="s">
        <v>2479</v>
      </c>
      <c r="N689" s="272" t="s">
        <v>122</v>
      </c>
      <c r="O689" s="270" t="s">
        <v>2479</v>
      </c>
      <c r="P689" s="270" t="s">
        <v>1555</v>
      </c>
      <c r="Q689" s="270" t="s">
        <v>2198</v>
      </c>
      <c r="R689" s="306">
        <v>44992.453344907408</v>
      </c>
      <c r="S689" s="285">
        <v>2023</v>
      </c>
      <c r="T689" s="270" t="s">
        <v>2001</v>
      </c>
      <c r="U689" s="270" t="s">
        <v>678</v>
      </c>
      <c r="V689" s="270" t="s">
        <v>679</v>
      </c>
      <c r="W689" s="270" t="s">
        <v>145</v>
      </c>
      <c r="X689" s="270" t="s">
        <v>309</v>
      </c>
      <c r="Y689" s="273">
        <v>45078</v>
      </c>
      <c r="Z689" s="288" t="s">
        <v>1875</v>
      </c>
      <c r="AA689" s="288" t="s">
        <v>2479</v>
      </c>
      <c r="AB689" s="288" t="s">
        <v>139</v>
      </c>
      <c r="AC689" s="288" t="s">
        <v>1875</v>
      </c>
      <c r="AD689" s="288" t="s">
        <v>1805</v>
      </c>
      <c r="AE689" s="288" t="s">
        <v>1805</v>
      </c>
      <c r="AF689" s="288" t="s">
        <v>2479</v>
      </c>
      <c r="AG689" s="288" t="s">
        <v>2479</v>
      </c>
      <c r="AH689" s="288" t="s">
        <v>2479</v>
      </c>
      <c r="AI689" s="288" t="s">
        <v>2479</v>
      </c>
      <c r="AJ689" s="303" t="s">
        <v>2191</v>
      </c>
      <c r="AK689" s="288" t="s">
        <v>2479</v>
      </c>
      <c r="AL689" s="303" t="s">
        <v>2190</v>
      </c>
      <c r="AM689" s="288" t="s">
        <v>1975</v>
      </c>
      <c r="AN689" s="207" t="b">
        <v>0</v>
      </c>
      <c r="AY689" s="288" t="s">
        <v>2479</v>
      </c>
      <c r="AZ689" s="288" t="s">
        <v>2479</v>
      </c>
      <c r="BA689" s="288" t="s">
        <v>373</v>
      </c>
      <c r="BB689" s="288" t="s">
        <v>139</v>
      </c>
      <c r="BC689" s="288" t="s">
        <v>2192</v>
      </c>
    </row>
    <row r="690" spans="1:55" ht="45" customHeight="1">
      <c r="A690" s="269">
        <f t="shared" si="13"/>
        <v>689</v>
      </c>
      <c r="B690" s="284" t="s">
        <v>2693</v>
      </c>
      <c r="C690" s="270" t="s">
        <v>3430</v>
      </c>
      <c r="D690" s="270" t="s">
        <v>8</v>
      </c>
      <c r="E690" s="270" t="s">
        <v>13</v>
      </c>
      <c r="F690" s="270" t="s">
        <v>1868</v>
      </c>
      <c r="G690" s="302">
        <v>44959</v>
      </c>
      <c r="L690" s="270" t="s">
        <v>2479</v>
      </c>
      <c r="M690" s="270" t="s">
        <v>2479</v>
      </c>
      <c r="N690" s="272" t="s">
        <v>122</v>
      </c>
      <c r="O690" s="270" t="s">
        <v>2479</v>
      </c>
      <c r="P690" s="270" t="s">
        <v>1554</v>
      </c>
      <c r="Q690" s="270" t="s">
        <v>2198</v>
      </c>
      <c r="R690" s="306" t="s">
        <v>3431</v>
      </c>
      <c r="S690" s="285">
        <v>2023</v>
      </c>
      <c r="T690" s="270" t="s">
        <v>2001</v>
      </c>
      <c r="U690" s="270" t="s">
        <v>678</v>
      </c>
      <c r="V690" s="270" t="s">
        <v>679</v>
      </c>
      <c r="W690" s="270" t="s">
        <v>145</v>
      </c>
      <c r="X690" s="270" t="s">
        <v>309</v>
      </c>
      <c r="Y690" s="273">
        <v>45078</v>
      </c>
      <c r="Z690" s="288" t="s">
        <v>1875</v>
      </c>
      <c r="AA690" s="288" t="s">
        <v>2868</v>
      </c>
      <c r="AB690" s="288" t="s">
        <v>139</v>
      </c>
      <c r="AC690" s="288" t="s">
        <v>1875</v>
      </c>
      <c r="AD690" s="288" t="s">
        <v>1805</v>
      </c>
      <c r="AE690" s="288" t="s">
        <v>1805</v>
      </c>
      <c r="AF690" s="288" t="s">
        <v>2479</v>
      </c>
      <c r="AG690" s="288" t="s">
        <v>2479</v>
      </c>
      <c r="AH690" s="288" t="s">
        <v>2479</v>
      </c>
      <c r="AI690" s="288" t="s">
        <v>3432</v>
      </c>
      <c r="AJ690" s="303" t="s">
        <v>2191</v>
      </c>
      <c r="AK690" s="288" t="s">
        <v>3433</v>
      </c>
      <c r="AL690" s="303">
        <v>44804</v>
      </c>
      <c r="AM690" s="288" t="s">
        <v>1975</v>
      </c>
      <c r="AN690" s="207" t="b">
        <v>0</v>
      </c>
      <c r="AY690" s="288" t="s">
        <v>2479</v>
      </c>
      <c r="AZ690" s="288" t="s">
        <v>2479</v>
      </c>
      <c r="BA690" s="288" t="s">
        <v>373</v>
      </c>
      <c r="BB690" s="288" t="s">
        <v>1610</v>
      </c>
      <c r="BC690" s="288" t="s">
        <v>2192</v>
      </c>
    </row>
    <row r="691" spans="1:55" ht="45" customHeight="1">
      <c r="A691" s="269">
        <f t="shared" si="13"/>
        <v>690</v>
      </c>
      <c r="B691" s="284" t="s">
        <v>3971</v>
      </c>
      <c r="C691" s="270" t="s">
        <v>3860</v>
      </c>
      <c r="D691" s="270" t="s">
        <v>8</v>
      </c>
      <c r="E691" s="270" t="s">
        <v>9</v>
      </c>
      <c r="F691" s="270" t="s">
        <v>1765</v>
      </c>
      <c r="G691" s="302">
        <v>44377</v>
      </c>
      <c r="I691" s="306">
        <v>45096</v>
      </c>
      <c r="J691" s="270" t="s">
        <v>2904</v>
      </c>
      <c r="K691" s="306">
        <v>45104</v>
      </c>
      <c r="L691" s="270" t="s">
        <v>2193</v>
      </c>
      <c r="M691" s="270" t="s">
        <v>115</v>
      </c>
      <c r="N691" s="272" t="s">
        <v>2479</v>
      </c>
      <c r="O691" s="270" t="s">
        <v>2479</v>
      </c>
      <c r="P691" s="270" t="s">
        <v>1556</v>
      </c>
      <c r="Q691" s="270" t="s">
        <v>2198</v>
      </c>
      <c r="R691" s="306">
        <v>44992.624652777777</v>
      </c>
      <c r="S691" s="285">
        <v>2021</v>
      </c>
      <c r="T691" s="270" t="s">
        <v>2194</v>
      </c>
      <c r="U691" s="270" t="s">
        <v>678</v>
      </c>
      <c r="V691" s="270" t="s">
        <v>679</v>
      </c>
      <c r="W691" s="270" t="s">
        <v>145</v>
      </c>
      <c r="X691" s="270" t="s">
        <v>309</v>
      </c>
      <c r="Y691" s="273">
        <v>45078</v>
      </c>
      <c r="Z691" s="288" t="s">
        <v>1875</v>
      </c>
      <c r="AA691" s="288" t="s">
        <v>2479</v>
      </c>
      <c r="AB691" s="288" t="s">
        <v>139</v>
      </c>
      <c r="AC691" s="288" t="s">
        <v>1875</v>
      </c>
      <c r="AD691" s="288" t="s">
        <v>1805</v>
      </c>
      <c r="AE691" s="288" t="s">
        <v>1805</v>
      </c>
      <c r="AF691" s="288" t="s">
        <v>2479</v>
      </c>
      <c r="AG691" s="288" t="s">
        <v>2479</v>
      </c>
      <c r="AH691" s="288" t="s">
        <v>2479</v>
      </c>
      <c r="AI691" s="288" t="s">
        <v>2479</v>
      </c>
      <c r="AJ691" s="303" t="s">
        <v>2191</v>
      </c>
      <c r="AK691" s="288" t="s">
        <v>2479</v>
      </c>
      <c r="AL691" s="303" t="s">
        <v>2190</v>
      </c>
      <c r="AM691" s="288" t="s">
        <v>1975</v>
      </c>
      <c r="AN691" s="207" t="b">
        <v>0</v>
      </c>
      <c r="AY691" s="288" t="s">
        <v>2479</v>
      </c>
      <c r="AZ691" s="288" t="s">
        <v>2479</v>
      </c>
      <c r="BA691" s="288" t="s">
        <v>373</v>
      </c>
      <c r="BB691" s="288" t="s">
        <v>139</v>
      </c>
      <c r="BC691" s="288" t="s">
        <v>2192</v>
      </c>
    </row>
    <row r="692" spans="1:55" ht="45" customHeight="1">
      <c r="A692" s="269">
        <f t="shared" si="13"/>
        <v>691</v>
      </c>
      <c r="B692" s="284" t="s">
        <v>3972</v>
      </c>
      <c r="C692" s="270" t="s">
        <v>3845</v>
      </c>
      <c r="D692" s="270" t="s">
        <v>8</v>
      </c>
      <c r="E692" s="270" t="s">
        <v>9</v>
      </c>
      <c r="F692" s="270" t="s">
        <v>1765</v>
      </c>
      <c r="G692" s="302">
        <v>44168</v>
      </c>
      <c r="I692" s="306">
        <v>45092</v>
      </c>
      <c r="J692" s="270" t="s">
        <v>2904</v>
      </c>
      <c r="K692" s="306">
        <v>45104</v>
      </c>
      <c r="L692" s="270" t="s">
        <v>2193</v>
      </c>
      <c r="M692" s="270" t="s">
        <v>115</v>
      </c>
      <c r="N692" s="272" t="s">
        <v>2479</v>
      </c>
      <c r="O692" s="270" t="s">
        <v>2479</v>
      </c>
      <c r="P692" s="270" t="s">
        <v>1556</v>
      </c>
      <c r="Q692" s="270" t="s">
        <v>2198</v>
      </c>
      <c r="R692" s="306">
        <v>44992.634444444448</v>
      </c>
      <c r="S692" s="285">
        <v>2020</v>
      </c>
      <c r="T692" s="270" t="s">
        <v>2194</v>
      </c>
      <c r="U692" s="270" t="s">
        <v>678</v>
      </c>
      <c r="V692" s="270" t="s">
        <v>679</v>
      </c>
      <c r="W692" s="270" t="s">
        <v>145</v>
      </c>
      <c r="X692" s="270" t="s">
        <v>309</v>
      </c>
      <c r="Y692" s="273">
        <v>45078</v>
      </c>
      <c r="Z692" s="288" t="s">
        <v>1875</v>
      </c>
      <c r="AA692" s="288" t="s">
        <v>2479</v>
      </c>
      <c r="AB692" s="288" t="s">
        <v>139</v>
      </c>
      <c r="AC692" s="288" t="s">
        <v>1875</v>
      </c>
      <c r="AD692" s="288" t="s">
        <v>1805</v>
      </c>
      <c r="AE692" s="288" t="s">
        <v>1805</v>
      </c>
      <c r="AF692" s="288" t="s">
        <v>2479</v>
      </c>
      <c r="AG692" s="288" t="s">
        <v>2479</v>
      </c>
      <c r="AH692" s="288" t="s">
        <v>2479</v>
      </c>
      <c r="AI692" s="288" t="s">
        <v>2479</v>
      </c>
      <c r="AJ692" s="303" t="s">
        <v>2191</v>
      </c>
      <c r="AK692" s="288" t="s">
        <v>2479</v>
      </c>
      <c r="AL692" s="303" t="s">
        <v>2190</v>
      </c>
      <c r="AM692" s="288" t="s">
        <v>1975</v>
      </c>
      <c r="AN692" s="207" t="b">
        <v>0</v>
      </c>
      <c r="AY692" s="288" t="s">
        <v>2479</v>
      </c>
      <c r="AZ692" s="288" t="s">
        <v>2479</v>
      </c>
      <c r="BA692" s="288" t="s">
        <v>373</v>
      </c>
      <c r="BB692" s="288" t="s">
        <v>139</v>
      </c>
      <c r="BC692" s="288" t="s">
        <v>2192</v>
      </c>
    </row>
    <row r="693" spans="1:55" ht="45" customHeight="1">
      <c r="A693" s="269">
        <f t="shared" si="13"/>
        <v>692</v>
      </c>
      <c r="B693" s="284" t="s">
        <v>3973</v>
      </c>
      <c r="C693" s="270" t="s">
        <v>3974</v>
      </c>
      <c r="D693" s="270" t="s">
        <v>8</v>
      </c>
      <c r="E693" s="270" t="s">
        <v>9</v>
      </c>
      <c r="F693" s="270" t="s">
        <v>1765</v>
      </c>
      <c r="G693" s="302">
        <v>44208</v>
      </c>
      <c r="I693" s="306">
        <v>45095</v>
      </c>
      <c r="J693" s="270" t="s">
        <v>2904</v>
      </c>
      <c r="K693" s="306">
        <v>45104</v>
      </c>
      <c r="L693" s="270" t="s">
        <v>2193</v>
      </c>
      <c r="M693" s="270" t="s">
        <v>115</v>
      </c>
      <c r="N693" s="272" t="s">
        <v>2479</v>
      </c>
      <c r="O693" s="270" t="s">
        <v>2479</v>
      </c>
      <c r="P693" s="270" t="s">
        <v>1556</v>
      </c>
      <c r="Q693" s="270" t="s">
        <v>2198</v>
      </c>
      <c r="R693" s="306">
        <v>44992.638298611113</v>
      </c>
      <c r="S693" s="285">
        <v>2021</v>
      </c>
      <c r="T693" s="270" t="s">
        <v>2194</v>
      </c>
      <c r="U693" s="270" t="s">
        <v>678</v>
      </c>
      <c r="V693" s="270" t="s">
        <v>679</v>
      </c>
      <c r="W693" s="270" t="s">
        <v>145</v>
      </c>
      <c r="X693" s="270" t="s">
        <v>309</v>
      </c>
      <c r="Y693" s="273">
        <v>45078</v>
      </c>
      <c r="Z693" s="288" t="s">
        <v>1875</v>
      </c>
      <c r="AA693" s="288" t="s">
        <v>2479</v>
      </c>
      <c r="AB693" s="288" t="s">
        <v>139</v>
      </c>
      <c r="AC693" s="288" t="s">
        <v>1875</v>
      </c>
      <c r="AD693" s="288" t="s">
        <v>1805</v>
      </c>
      <c r="AE693" s="288" t="s">
        <v>1805</v>
      </c>
      <c r="AF693" s="288" t="s">
        <v>2479</v>
      </c>
      <c r="AG693" s="288" t="s">
        <v>2479</v>
      </c>
      <c r="AH693" s="288" t="s">
        <v>2479</v>
      </c>
      <c r="AI693" s="288" t="s">
        <v>2479</v>
      </c>
      <c r="AJ693" s="303" t="s">
        <v>2191</v>
      </c>
      <c r="AK693" s="288" t="s">
        <v>2479</v>
      </c>
      <c r="AL693" s="303" t="s">
        <v>2190</v>
      </c>
      <c r="AM693" s="288" t="s">
        <v>1975</v>
      </c>
      <c r="AN693" s="207" t="b">
        <v>0</v>
      </c>
      <c r="AY693" s="288" t="s">
        <v>2479</v>
      </c>
      <c r="AZ693" s="288" t="s">
        <v>2479</v>
      </c>
      <c r="BA693" s="288" t="s">
        <v>373</v>
      </c>
      <c r="BB693" s="288" t="s">
        <v>139</v>
      </c>
      <c r="BC693" s="288" t="s">
        <v>2192</v>
      </c>
    </row>
    <row r="694" spans="1:55" ht="45" customHeight="1">
      <c r="A694" s="269">
        <f t="shared" si="13"/>
        <v>693</v>
      </c>
      <c r="B694" s="284" t="s">
        <v>3975</v>
      </c>
      <c r="C694" s="270" t="s">
        <v>3976</v>
      </c>
      <c r="D694" s="270" t="s">
        <v>8</v>
      </c>
      <c r="E694" s="270" t="s">
        <v>9</v>
      </c>
      <c r="F694" s="270" t="s">
        <v>1765</v>
      </c>
      <c r="G694" s="302">
        <v>44532</v>
      </c>
      <c r="I694" s="306">
        <v>45081</v>
      </c>
      <c r="J694" s="270" t="s">
        <v>2904</v>
      </c>
      <c r="K694" s="306">
        <v>45104</v>
      </c>
      <c r="L694" s="270" t="s">
        <v>2193</v>
      </c>
      <c r="M694" s="270" t="s">
        <v>115</v>
      </c>
      <c r="N694" s="272" t="s">
        <v>2479</v>
      </c>
      <c r="O694" s="270" t="s">
        <v>2479</v>
      </c>
      <c r="P694" s="270" t="s">
        <v>1556</v>
      </c>
      <c r="Q694" s="270" t="s">
        <v>2198</v>
      </c>
      <c r="R694" s="306">
        <v>44992.640173611115</v>
      </c>
      <c r="S694" s="285">
        <v>2021</v>
      </c>
      <c r="T694" s="270" t="s">
        <v>2194</v>
      </c>
      <c r="U694" s="270" t="s">
        <v>678</v>
      </c>
      <c r="V694" s="270" t="s">
        <v>679</v>
      </c>
      <c r="W694" s="270" t="s">
        <v>145</v>
      </c>
      <c r="X694" s="270" t="s">
        <v>309</v>
      </c>
      <c r="Y694" s="273">
        <v>45078</v>
      </c>
      <c r="Z694" s="288" t="s">
        <v>1875</v>
      </c>
      <c r="AA694" s="288" t="s">
        <v>2479</v>
      </c>
      <c r="AB694" s="288" t="s">
        <v>139</v>
      </c>
      <c r="AC694" s="288" t="s">
        <v>1875</v>
      </c>
      <c r="AD694" s="288" t="s">
        <v>1805</v>
      </c>
      <c r="AE694" s="288" t="s">
        <v>1805</v>
      </c>
      <c r="AF694" s="288" t="s">
        <v>2479</v>
      </c>
      <c r="AG694" s="288" t="s">
        <v>2479</v>
      </c>
      <c r="AH694" s="288" t="s">
        <v>2479</v>
      </c>
      <c r="AI694" s="288" t="s">
        <v>2479</v>
      </c>
      <c r="AJ694" s="303" t="s">
        <v>2191</v>
      </c>
      <c r="AK694" s="288" t="s">
        <v>2479</v>
      </c>
      <c r="AL694" s="303" t="s">
        <v>2190</v>
      </c>
      <c r="AM694" s="288" t="s">
        <v>1975</v>
      </c>
      <c r="AN694" s="207" t="b">
        <v>0</v>
      </c>
      <c r="AY694" s="288" t="s">
        <v>2479</v>
      </c>
      <c r="AZ694" s="288" t="s">
        <v>2479</v>
      </c>
      <c r="BA694" s="288" t="s">
        <v>373</v>
      </c>
      <c r="BB694" s="288" t="s">
        <v>139</v>
      </c>
      <c r="BC694" s="288" t="s">
        <v>2192</v>
      </c>
    </row>
  </sheetData>
  <sheetProtection algorithmName="SHA-512" hashValue="TBKmYNxL/9MEC12T+gkYqdgyL4DnUE/NvB4wywHzJMCALVT5qJ68aPM2BJBpc8ZscX/Chs1U//cY6w7+qHPvHA==" saltValue="ZDof6asvkMY2SJqshYKoOA==" spinCount="100000" sheet="1" objects="1" scenarios="1"/>
  <sortState ref="B2:BC692">
    <sortCondition ref="F2"/>
  </sortState>
  <customSheetViews>
    <customSheetView guid="{77330FEB-8B75-43E5-931E-B4C5A6173E6D}" scale="80" showGridLines="0">
      <selection activeCell="C3" sqref="C3"/>
      <pageMargins left="0.7" right="0.7" top="0.75" bottom="0.75" header="0.3" footer="0.3"/>
      <pageSetup paperSize="9" orientation="portrait" horizontalDpi="1200" verticalDpi="1200" r:id="rId1"/>
    </customSheetView>
  </customSheetViews>
  <dataValidations count="2">
    <dataValidation type="list" allowBlank="1" showInputMessage="1" showErrorMessage="1" sqref="M68">
      <formula1>CivilDisposal</formula1>
    </dataValidation>
    <dataValidation type="list" allowBlank="1" showInputMessage="1" showErrorMessage="1" sqref="O52">
      <formula1>Cr_Stages1</formula1>
    </dataValidation>
  </dataValidations>
  <pageMargins left="0.7" right="0.7" top="0.75" bottom="0.75" header="0.3" footer="0.3"/>
  <pageSetup paperSize="9" orientation="portrait" horizontalDpi="1200" verticalDpi="120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30" sqref="F30"/>
    </sheetView>
  </sheetViews>
  <sheetFormatPr defaultRowHeight="15"/>
  <sheetData/>
  <sheetProtection algorithmName="SHA-512" hashValue="5qSurI6nEs1+BVZTjpZ1kUaeQNpwRrbHrgd+gmSGEyBj/2HtLkPHAzNXOECpK3hy4YNnR1Cnu9n1Mbgis671Rw==" saltValue="GXBb8FL+fBPmLuoxzJWJFQ==" spinCount="100000" sheet="1" objects="1" scenarios="1"/>
  <customSheetViews>
    <customSheetView guid="{77330FEB-8B75-43E5-931E-B4C5A6173E6D}" topLeftCell="A5">
      <selection activeCell="F30" sqref="F30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18"/>
  <sheetViews>
    <sheetView showGridLines="0" zoomScale="120" zoomScaleNormal="120" workbookViewId="0">
      <selection activeCell="C27" sqref="C27"/>
    </sheetView>
  </sheetViews>
  <sheetFormatPr defaultRowHeight="15"/>
  <cols>
    <col min="2" max="2" width="2.7109375" customWidth="1"/>
    <col min="3" max="3" width="19.28515625" customWidth="1"/>
    <col min="4" max="4" width="2.7109375" customWidth="1"/>
    <col min="7" max="7" width="9.140625" customWidth="1"/>
    <col min="9" max="9" width="2.7109375" customWidth="1"/>
  </cols>
  <sheetData>
    <row r="1" spans="2:9" ht="15.75" thickBot="1"/>
    <row r="2" spans="2:9" ht="26.25" customHeight="1" thickTop="1">
      <c r="B2" s="375" t="s">
        <v>12</v>
      </c>
      <c r="C2" s="376"/>
      <c r="D2" s="376"/>
      <c r="E2" s="376"/>
      <c r="F2" s="376"/>
      <c r="G2" s="376"/>
      <c r="H2" s="376"/>
      <c r="I2" s="377"/>
    </row>
    <row r="3" spans="2:9" ht="26.25" customHeight="1">
      <c r="B3" s="7"/>
      <c r="C3" s="8"/>
      <c r="D3" s="8"/>
      <c r="E3" s="8"/>
      <c r="F3" s="8"/>
      <c r="G3" s="8"/>
      <c r="H3" s="8"/>
      <c r="I3" s="9"/>
    </row>
    <row r="4" spans="2:9" ht="5.0999999999999996" customHeight="1">
      <c r="B4" s="1"/>
      <c r="C4" s="2"/>
      <c r="D4" s="2"/>
      <c r="E4" s="2"/>
      <c r="F4" s="2"/>
      <c r="G4" s="2"/>
      <c r="H4" s="2"/>
      <c r="I4" s="3"/>
    </row>
    <row r="5" spans="2:9">
      <c r="B5" s="1"/>
      <c r="C5" s="10" t="s">
        <v>4</v>
      </c>
      <c r="D5" s="2"/>
      <c r="E5" s="378">
        <v>12344</v>
      </c>
      <c r="F5" s="378"/>
      <c r="G5" s="378"/>
      <c r="H5" s="378"/>
      <c r="I5" s="3"/>
    </row>
    <row r="6" spans="2:9" ht="6.75" customHeight="1">
      <c r="B6" s="1"/>
      <c r="C6" s="2"/>
      <c r="D6" s="2"/>
      <c r="E6" s="12"/>
      <c r="F6" s="12"/>
      <c r="G6" s="12"/>
      <c r="H6" s="12"/>
      <c r="I6" s="3"/>
    </row>
    <row r="7" spans="2:9">
      <c r="B7" s="1"/>
      <c r="C7" s="11" t="s">
        <v>5</v>
      </c>
      <c r="D7" s="2"/>
      <c r="E7" s="374" t="s">
        <v>10</v>
      </c>
      <c r="F7" s="374"/>
      <c r="G7" s="374"/>
      <c r="H7" s="374"/>
      <c r="I7" s="3"/>
    </row>
    <row r="8" spans="2:9" ht="6" customHeight="1">
      <c r="B8" s="1"/>
      <c r="C8" s="2"/>
      <c r="D8" s="2"/>
      <c r="E8" s="12"/>
      <c r="F8" s="12"/>
      <c r="G8" s="12"/>
      <c r="H8" s="12"/>
      <c r="I8" s="3"/>
    </row>
    <row r="9" spans="2:9">
      <c r="B9" s="1"/>
      <c r="C9" s="10" t="s">
        <v>6</v>
      </c>
      <c r="D9" s="2"/>
      <c r="E9" s="378" t="s">
        <v>8</v>
      </c>
      <c r="F9" s="378"/>
      <c r="G9" s="378"/>
      <c r="H9" s="378"/>
      <c r="I9" s="3"/>
    </row>
    <row r="10" spans="2:9" ht="5.0999999999999996" customHeight="1">
      <c r="B10" s="1"/>
      <c r="C10" s="2"/>
      <c r="D10" s="2"/>
      <c r="E10" s="12"/>
      <c r="F10" s="12"/>
      <c r="G10" s="12"/>
      <c r="H10" s="12"/>
      <c r="I10" s="3"/>
    </row>
    <row r="11" spans="2:9">
      <c r="B11" s="1"/>
      <c r="C11" s="11" t="s">
        <v>134</v>
      </c>
      <c r="D11" s="2"/>
      <c r="E11" s="374" t="s">
        <v>3</v>
      </c>
      <c r="F11" s="374"/>
      <c r="G11" s="374"/>
      <c r="H11" s="374"/>
      <c r="I11" s="3"/>
    </row>
    <row r="12" spans="2:9" s="15" customFormat="1" ht="6" customHeight="1">
      <c r="B12" s="13"/>
      <c r="C12" s="12"/>
      <c r="D12" s="12"/>
      <c r="E12" s="12"/>
      <c r="F12" s="12"/>
      <c r="G12" s="12"/>
      <c r="H12" s="12"/>
      <c r="I12" s="14"/>
    </row>
    <row r="13" spans="2:9">
      <c r="B13" s="1"/>
      <c r="C13" s="10" t="s">
        <v>135</v>
      </c>
      <c r="D13" s="2"/>
      <c r="E13" s="378" t="s">
        <v>11</v>
      </c>
      <c r="F13" s="378"/>
      <c r="G13" s="378"/>
      <c r="H13" s="378"/>
      <c r="I13" s="3"/>
    </row>
    <row r="14" spans="2:9" ht="6.75" customHeight="1">
      <c r="B14" s="1"/>
      <c r="C14" s="2"/>
      <c r="D14" s="2"/>
      <c r="E14" s="12"/>
      <c r="F14" s="12"/>
      <c r="G14" s="12"/>
      <c r="H14" s="12"/>
      <c r="I14" s="3"/>
    </row>
    <row r="15" spans="2:9">
      <c r="B15" s="1"/>
      <c r="C15" s="11" t="s">
        <v>136</v>
      </c>
      <c r="D15" s="2"/>
      <c r="E15" s="374" t="s">
        <v>11</v>
      </c>
      <c r="F15" s="374"/>
      <c r="G15" s="374"/>
      <c r="H15" s="374"/>
      <c r="I15" s="3"/>
    </row>
    <row r="16" spans="2:9" ht="5.0999999999999996" customHeight="1">
      <c r="B16" s="1"/>
      <c r="C16" s="2"/>
      <c r="D16" s="2"/>
      <c r="E16" s="2"/>
      <c r="F16" s="2"/>
      <c r="G16" s="2"/>
      <c r="H16" s="2"/>
      <c r="I16" s="3"/>
    </row>
    <row r="17" spans="2:9" ht="15.75" thickBot="1">
      <c r="B17" s="4"/>
      <c r="C17" s="5"/>
      <c r="D17" s="5"/>
      <c r="E17" s="5"/>
      <c r="F17" s="5"/>
      <c r="G17" s="5"/>
      <c r="H17" s="5"/>
      <c r="I17" s="6"/>
    </row>
    <row r="18" spans="2:9" ht="15.75" thickTop="1"/>
  </sheetData>
  <sheetProtection algorithmName="SHA-512" hashValue="kgdGJlEWdM2uB+W1bn68byZ1j2g6LzoGXJK83K5sF+qFi7Yjo8V2ChCX07cuKEILzdD23uAaJ/fnEs5zmjajbQ==" saltValue="iinnEnHnevgNZIBdR2qocw==" spinCount="100000" sheet="1" objects="1" scenarios="1"/>
  <customSheetViews>
    <customSheetView guid="{77330FEB-8B75-43E5-931E-B4C5A6173E6D}" scale="120" showGridLines="0">
      <selection activeCell="C18" sqref="C18"/>
      <pageMargins left="0.7" right="0.7" top="0.75" bottom="0.75" header="0.3" footer="0.3"/>
      <pageSetup paperSize="9" orientation="portrait" horizontalDpi="1200" verticalDpi="1200" r:id="rId1"/>
    </customSheetView>
  </customSheetViews>
  <mergeCells count="7">
    <mergeCell ref="E15:H15"/>
    <mergeCell ref="B2:I2"/>
    <mergeCell ref="E5:H5"/>
    <mergeCell ref="E7:H7"/>
    <mergeCell ref="E9:H9"/>
    <mergeCell ref="E11:H11"/>
    <mergeCell ref="E13:H13"/>
  </mergeCells>
  <pageMargins left="0.7" right="0.7" top="0.75" bottom="0.75" header="0.3" footer="0.3"/>
  <pageSetup paperSize="9" orientation="portrait" horizontalDpi="1200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upport"/>
  <dimension ref="A1:CJ630"/>
  <sheetViews>
    <sheetView showGridLines="0" topLeftCell="T1" zoomScale="55" zoomScaleNormal="55" workbookViewId="0">
      <selection activeCell="AB2" sqref="AB2"/>
    </sheetView>
  </sheetViews>
  <sheetFormatPr defaultRowHeight="15"/>
  <cols>
    <col min="1" max="1" width="34.28515625" customWidth="1"/>
    <col min="2" max="2" width="9.85546875" customWidth="1"/>
    <col min="3" max="3" width="29.28515625" bestFit="1" customWidth="1"/>
    <col min="4" max="4" width="4.7109375" customWidth="1"/>
    <col min="5" max="5" width="34.140625" customWidth="1"/>
    <col min="6" max="6" width="12.7109375" customWidth="1"/>
    <col min="7" max="7" width="39.85546875" customWidth="1"/>
    <col min="8" max="8" width="4.85546875" customWidth="1"/>
    <col min="9" max="9" width="24" customWidth="1"/>
    <col min="10" max="10" width="4.7109375" customWidth="1"/>
    <col min="11" max="11" width="24.7109375" customWidth="1"/>
    <col min="12" max="12" width="4.85546875" customWidth="1"/>
    <col min="13" max="13" width="17" customWidth="1"/>
    <col min="14" max="14" width="18.7109375" customWidth="1"/>
    <col min="15" max="15" width="5" customWidth="1"/>
    <col min="16" max="16" width="41.42578125" bestFit="1" customWidth="1"/>
    <col min="17" max="17" width="4.42578125" customWidth="1"/>
    <col min="18" max="18" width="20.28515625" bestFit="1" customWidth="1"/>
    <col min="19" max="19" width="3.5703125" customWidth="1"/>
    <col min="20" max="20" width="20.28515625" customWidth="1"/>
    <col min="21" max="21" width="4.85546875" customWidth="1"/>
    <col min="22" max="22" width="26.28515625" bestFit="1" customWidth="1"/>
    <col min="24" max="24" width="48.42578125" bestFit="1" customWidth="1"/>
    <col min="25" max="25" width="5.42578125" customWidth="1"/>
    <col min="26" max="26" width="18.28515625" customWidth="1"/>
    <col min="28" max="28" width="8.7109375" style="38" bestFit="1" customWidth="1"/>
    <col min="29" max="29" width="16.5703125" style="38" bestFit="1" customWidth="1"/>
    <col min="30" max="30" width="27.140625" bestFit="1" customWidth="1"/>
    <col min="31" max="31" width="51.85546875" bestFit="1" customWidth="1"/>
    <col min="38" max="38" width="75.28515625" customWidth="1"/>
    <col min="39" max="39" width="11.42578125" customWidth="1"/>
    <col min="40" max="40" width="10.28515625" customWidth="1"/>
    <col min="41" max="41" width="9.7109375" customWidth="1"/>
    <col min="42" max="42" width="10" customWidth="1"/>
    <col min="45" max="45" width="30.85546875" customWidth="1"/>
    <col min="47" max="47" width="8.85546875" style="330" customWidth="1"/>
    <col min="48" max="48" width="10.28515625" customWidth="1"/>
    <col min="49" max="49" width="22.140625" style="330" customWidth="1"/>
    <col min="50" max="50" width="13.28515625" customWidth="1"/>
    <col min="51" max="52" width="8.85546875" style="333"/>
    <col min="53" max="53" width="8.85546875" style="16"/>
    <col min="56" max="56" width="8.85546875" style="17"/>
    <col min="57" max="57" width="11.28515625" style="17" customWidth="1"/>
    <col min="61" max="61" width="49.42578125" bestFit="1" customWidth="1"/>
    <col min="70" max="70" width="13.42578125" style="16" bestFit="1" customWidth="1"/>
    <col min="72" max="72" width="13.42578125" bestFit="1" customWidth="1"/>
    <col min="73" max="73" width="13.42578125" style="16" customWidth="1"/>
    <col min="75" max="77" width="0" hidden="1" customWidth="1"/>
    <col min="79" max="79" width="16" customWidth="1"/>
    <col min="80" max="80" width="16.28515625" customWidth="1"/>
    <col min="82" max="82" width="13.5703125" customWidth="1"/>
  </cols>
  <sheetData>
    <row r="1" spans="1:88" ht="105">
      <c r="A1" s="379" t="s">
        <v>34</v>
      </c>
      <c r="B1" s="379"/>
      <c r="C1" s="379"/>
      <c r="E1" s="379" t="s">
        <v>110</v>
      </c>
      <c r="F1" s="379"/>
      <c r="G1" s="379"/>
      <c r="I1" s="27" t="s">
        <v>112</v>
      </c>
      <c r="K1" s="27" t="s">
        <v>118</v>
      </c>
      <c r="M1" s="28" t="s">
        <v>120</v>
      </c>
      <c r="N1" s="28" t="s">
        <v>121</v>
      </c>
      <c r="P1" s="29" t="s">
        <v>137</v>
      </c>
      <c r="R1" s="30" t="s">
        <v>143</v>
      </c>
      <c r="T1" s="29" t="s">
        <v>284</v>
      </c>
      <c r="V1" s="27" t="s">
        <v>363</v>
      </c>
      <c r="X1" s="31" t="s">
        <v>372</v>
      </c>
      <c r="Z1" s="32" t="s">
        <v>376</v>
      </c>
      <c r="AB1" s="34" t="s">
        <v>389</v>
      </c>
      <c r="AC1" s="34" t="s">
        <v>390</v>
      </c>
      <c r="AD1" s="36" t="s">
        <v>391</v>
      </c>
      <c r="AE1" s="39" t="s">
        <v>1482</v>
      </c>
      <c r="AG1" s="50" t="s">
        <v>1553</v>
      </c>
      <c r="AL1" s="63" t="s">
        <v>1602</v>
      </c>
      <c r="AM1" s="101" t="s">
        <v>1599</v>
      </c>
      <c r="AN1" s="101" t="s">
        <v>1600</v>
      </c>
      <c r="AO1" s="102" t="s">
        <v>1601</v>
      </c>
      <c r="AP1" s="102" t="s">
        <v>1639</v>
      </c>
      <c r="AQ1" s="102" t="s">
        <v>1657</v>
      </c>
      <c r="AS1" s="27" t="s">
        <v>363</v>
      </c>
      <c r="AU1" s="334" t="s">
        <v>1777</v>
      </c>
      <c r="AV1" s="157" t="s">
        <v>1780</v>
      </c>
      <c r="AW1" s="334" t="s">
        <v>1778</v>
      </c>
      <c r="AX1" s="160" t="s">
        <v>1862</v>
      </c>
      <c r="AY1" s="325" t="s">
        <v>1778</v>
      </c>
      <c r="AZ1" s="325" t="s">
        <v>1865</v>
      </c>
      <c r="BA1" s="157"/>
      <c r="BB1" s="217" t="s">
        <v>1779</v>
      </c>
      <c r="BC1" s="219" t="s">
        <v>1780</v>
      </c>
      <c r="BD1" s="218"/>
      <c r="BE1" s="218"/>
      <c r="BI1" s="157" t="s">
        <v>1965</v>
      </c>
      <c r="BM1" s="216" t="s">
        <v>1779</v>
      </c>
      <c r="BN1" s="216" t="s">
        <v>1977</v>
      </c>
      <c r="BO1" s="216" t="s">
        <v>1972</v>
      </c>
      <c r="BP1" s="216" t="s">
        <v>1973</v>
      </c>
      <c r="BR1" s="233" t="s">
        <v>1986</v>
      </c>
      <c r="BS1" s="233" t="s">
        <v>1985</v>
      </c>
      <c r="BT1" s="233" t="s">
        <v>1986</v>
      </c>
      <c r="BU1" s="233" t="s">
        <v>1987</v>
      </c>
      <c r="BV1" s="233" t="s">
        <v>1984</v>
      </c>
      <c r="BW1" s="17"/>
      <c r="BX1" s="17"/>
      <c r="BY1" s="17"/>
      <c r="CC1" s="255"/>
      <c r="CD1" s="256" t="s">
        <v>1995</v>
      </c>
      <c r="CE1" s="254" t="s">
        <v>113</v>
      </c>
      <c r="CF1" s="254" t="s">
        <v>114</v>
      </c>
      <c r="CG1" s="254" t="s">
        <v>119</v>
      </c>
      <c r="CH1" s="254" t="s">
        <v>116</v>
      </c>
      <c r="CI1" s="254" t="s">
        <v>115</v>
      </c>
      <c r="CJ1" s="254" t="s">
        <v>117</v>
      </c>
    </row>
    <row r="2" spans="1:88" ht="47.25">
      <c r="A2" s="43" t="s">
        <v>1560</v>
      </c>
      <c r="B2" s="42" t="s">
        <v>40</v>
      </c>
      <c r="C2" s="43" t="s">
        <v>15</v>
      </c>
      <c r="E2" s="43" t="s">
        <v>1752</v>
      </c>
      <c r="F2" s="42" t="s">
        <v>66</v>
      </c>
      <c r="G2" s="43" t="s">
        <v>67</v>
      </c>
      <c r="I2" s="17" t="s">
        <v>113</v>
      </c>
      <c r="K2" s="17" t="s">
        <v>113</v>
      </c>
      <c r="M2" s="19" t="s">
        <v>122</v>
      </c>
      <c r="N2" s="19" t="s">
        <v>122</v>
      </c>
      <c r="P2" s="21" t="s">
        <v>138</v>
      </c>
      <c r="R2" s="22" t="s">
        <v>144</v>
      </c>
      <c r="T2" s="24" t="s">
        <v>285</v>
      </c>
      <c r="V2" s="21" t="s">
        <v>1875</v>
      </c>
      <c r="X2" s="26" t="s">
        <v>373</v>
      </c>
      <c r="Y2" s="163"/>
      <c r="Z2" t="s">
        <v>377</v>
      </c>
      <c r="AB2" s="215">
        <v>1</v>
      </c>
      <c r="AC2" s="35" t="s">
        <v>392</v>
      </c>
      <c r="AD2" s="33" t="s">
        <v>393</v>
      </c>
      <c r="AE2" s="37" t="str">
        <f>CONCATENATE(AC2,":",AD2)</f>
        <v>PHC0063-62-1:Mr. Muhammad Asim Imam</v>
      </c>
      <c r="AG2" t="s">
        <v>1554</v>
      </c>
      <c r="AL2" s="66" t="s">
        <v>1611</v>
      </c>
      <c r="AM2" s="17">
        <v>3</v>
      </c>
      <c r="AN2" s="17">
        <v>3</v>
      </c>
      <c r="AO2" s="17">
        <v>2</v>
      </c>
      <c r="AP2" s="86">
        <v>0</v>
      </c>
      <c r="AQ2" s="17" t="s">
        <v>8</v>
      </c>
      <c r="AS2" s="21" t="s">
        <v>1739</v>
      </c>
      <c r="AU2" s="335" t="s">
        <v>1781</v>
      </c>
      <c r="AV2" s="156" t="s">
        <v>285</v>
      </c>
      <c r="AW2" s="335" t="s">
        <v>1781</v>
      </c>
      <c r="AX2" s="161" t="s">
        <v>285</v>
      </c>
      <c r="AY2" s="331" t="s">
        <v>1781</v>
      </c>
      <c r="AZ2" s="331" t="s">
        <v>1781</v>
      </c>
      <c r="BA2" s="156"/>
      <c r="BB2" s="122" t="s">
        <v>1781</v>
      </c>
      <c r="BC2" s="220" t="s">
        <v>285</v>
      </c>
      <c r="BD2" s="122"/>
      <c r="BE2" s="122"/>
      <c r="BF2" s="221" t="s">
        <v>40</v>
      </c>
      <c r="BG2" s="43" t="str">
        <f t="shared" ref="BG2:BG29" si="0">A2</f>
        <v>CR-001-Homicide</v>
      </c>
      <c r="BI2" s="214" t="s">
        <v>1966</v>
      </c>
      <c r="BM2" s="215">
        <v>100</v>
      </c>
      <c r="BN2" s="215" t="s">
        <v>285</v>
      </c>
      <c r="BO2" s="215" t="s">
        <v>1974</v>
      </c>
      <c r="BP2" s="215" t="s">
        <v>1974</v>
      </c>
      <c r="BR2" s="236">
        <v>44075</v>
      </c>
      <c r="BS2" s="17">
        <v>1</v>
      </c>
      <c r="BT2" s="236">
        <v>44075</v>
      </c>
      <c r="BU2" s="236">
        <v>44136</v>
      </c>
      <c r="BV2" s="233" t="str">
        <f>BW2</f>
        <v>Y3-Q1</v>
      </c>
      <c r="BW2" s="17" t="str">
        <f>"Y"&amp;BX2&amp;"-Q"&amp;BY2</f>
        <v>Y3-Q1</v>
      </c>
      <c r="BX2" s="17">
        <v>3</v>
      </c>
      <c r="BY2" s="17">
        <v>1</v>
      </c>
      <c r="CA2" s="16"/>
      <c r="CD2" s="43" t="s">
        <v>1560</v>
      </c>
      <c r="CE2" s="17">
        <v>1</v>
      </c>
      <c r="CF2" s="17">
        <v>1</v>
      </c>
      <c r="CG2" s="17">
        <v>1</v>
      </c>
      <c r="CH2" s="17">
        <v>-1</v>
      </c>
      <c r="CI2" s="17">
        <v>1</v>
      </c>
      <c r="CJ2" s="17">
        <v>1</v>
      </c>
    </row>
    <row r="3" spans="1:88" ht="63">
      <c r="A3" s="43" t="s">
        <v>1561</v>
      </c>
      <c r="B3" s="42" t="s">
        <v>41</v>
      </c>
      <c r="C3" s="43" t="s">
        <v>16</v>
      </c>
      <c r="E3" s="43" t="s">
        <v>1753</v>
      </c>
      <c r="F3" s="42" t="s">
        <v>68</v>
      </c>
      <c r="G3" s="43" t="s">
        <v>69</v>
      </c>
      <c r="I3" s="17" t="s">
        <v>114</v>
      </c>
      <c r="K3" s="17" t="s">
        <v>114</v>
      </c>
      <c r="M3" s="19" t="s">
        <v>123</v>
      </c>
      <c r="N3" s="19" t="s">
        <v>124</v>
      </c>
      <c r="P3" s="21" t="s">
        <v>139</v>
      </c>
      <c r="R3" s="22" t="s">
        <v>145</v>
      </c>
      <c r="T3" s="24" t="s">
        <v>286</v>
      </c>
      <c r="V3" s="21" t="s">
        <v>1876</v>
      </c>
      <c r="X3" s="26" t="s">
        <v>1874</v>
      </c>
      <c r="Y3" s="163"/>
      <c r="Z3" t="s">
        <v>378</v>
      </c>
      <c r="AB3" s="215">
        <v>2</v>
      </c>
      <c r="AC3" s="35" t="s">
        <v>394</v>
      </c>
      <c r="AD3" s="33" t="s">
        <v>395</v>
      </c>
      <c r="AE3" s="37" t="str">
        <f t="shared" ref="AE3:AE66" si="1">CONCATENATE(AC3,":",AD3)</f>
        <v>PHC0082-61-1:Mr. Azhar Khan</v>
      </c>
      <c r="AG3" t="s">
        <v>1555</v>
      </c>
      <c r="AL3" s="64" t="s">
        <v>1603</v>
      </c>
      <c r="AM3" s="17">
        <v>6</v>
      </c>
      <c r="AN3" s="17">
        <v>0</v>
      </c>
      <c r="AO3" s="17">
        <v>2</v>
      </c>
      <c r="AP3" s="86">
        <v>0</v>
      </c>
      <c r="AQ3" s="17" t="s">
        <v>8</v>
      </c>
      <c r="AS3" s="21" t="s">
        <v>364</v>
      </c>
      <c r="AU3" s="335" t="s">
        <v>1782</v>
      </c>
      <c r="AV3" s="156" t="s">
        <v>286</v>
      </c>
      <c r="AW3" s="335" t="s">
        <v>1782</v>
      </c>
      <c r="AX3" s="161" t="s">
        <v>286</v>
      </c>
      <c r="AY3" s="331" t="s">
        <v>1782</v>
      </c>
      <c r="AZ3" s="331" t="s">
        <v>1782</v>
      </c>
      <c r="BA3" s="156"/>
      <c r="BB3" s="122" t="s">
        <v>1782</v>
      </c>
      <c r="BC3" s="220" t="s">
        <v>286</v>
      </c>
      <c r="BD3" s="122"/>
      <c r="BE3" s="122"/>
      <c r="BF3" s="221" t="s">
        <v>41</v>
      </c>
      <c r="BG3" s="43" t="str">
        <f t="shared" si="0"/>
        <v>CR-002-Attempt to Murder</v>
      </c>
      <c r="BI3" s="214" t="s">
        <v>1967</v>
      </c>
      <c r="BM3" s="215">
        <v>200</v>
      </c>
      <c r="BN3" s="215" t="s">
        <v>286</v>
      </c>
      <c r="BO3" s="215" t="s">
        <v>1974</v>
      </c>
      <c r="BP3" s="215" t="s">
        <v>1974</v>
      </c>
      <c r="BR3" s="236">
        <f>EDATE(BR2,3)</f>
        <v>44166</v>
      </c>
      <c r="BS3" s="17">
        <v>2</v>
      </c>
      <c r="BT3" s="236">
        <f>EDATE(BT2,3)</f>
        <v>44166</v>
      </c>
      <c r="BU3" s="236">
        <f>EDATE(BU2,3)</f>
        <v>44228</v>
      </c>
      <c r="BV3" s="233" t="str">
        <f t="shared" ref="BV3:BV61" si="2">BW3</f>
        <v>Y3-Q2</v>
      </c>
      <c r="BW3" s="17" t="str">
        <f t="shared" ref="BW3:BW5" si="3">"Y"&amp;BX3&amp;"-Q"&amp;BY3</f>
        <v>Y3-Q2</v>
      </c>
      <c r="BX3" s="17">
        <v>3</v>
      </c>
      <c r="BY3" s="17">
        <v>2</v>
      </c>
      <c r="CD3" s="43" t="s">
        <v>1561</v>
      </c>
      <c r="CE3" s="17">
        <v>1</v>
      </c>
      <c r="CF3" s="17">
        <v>1</v>
      </c>
      <c r="CG3" s="17">
        <v>1</v>
      </c>
      <c r="CH3" s="17">
        <v>-1</v>
      </c>
      <c r="CI3" s="17">
        <v>1</v>
      </c>
      <c r="CJ3" s="17">
        <v>1</v>
      </c>
    </row>
    <row r="4" spans="1:88" ht="78.75">
      <c r="A4" s="43" t="s">
        <v>1562</v>
      </c>
      <c r="B4" s="42" t="s">
        <v>42</v>
      </c>
      <c r="C4" s="43" t="s">
        <v>17</v>
      </c>
      <c r="E4" s="43" t="s">
        <v>1754</v>
      </c>
      <c r="F4" s="42" t="s">
        <v>70</v>
      </c>
      <c r="G4" s="43" t="s">
        <v>71</v>
      </c>
      <c r="I4" s="17" t="s">
        <v>115</v>
      </c>
      <c r="K4" s="17" t="s">
        <v>115</v>
      </c>
      <c r="M4" s="19" t="s">
        <v>125</v>
      </c>
      <c r="N4" s="19" t="s">
        <v>126</v>
      </c>
      <c r="P4" s="21" t="s">
        <v>140</v>
      </c>
      <c r="R4" s="22" t="s">
        <v>146</v>
      </c>
      <c r="T4" s="24" t="s">
        <v>287</v>
      </c>
      <c r="V4" s="21" t="s">
        <v>364</v>
      </c>
      <c r="X4" s="26" t="s">
        <v>374</v>
      </c>
      <c r="Y4" s="163"/>
      <c r="Z4" t="s">
        <v>379</v>
      </c>
      <c r="AB4" s="215">
        <v>3</v>
      </c>
      <c r="AC4" s="35" t="s">
        <v>396</v>
      </c>
      <c r="AD4" s="33" t="s">
        <v>397</v>
      </c>
      <c r="AE4" s="37" t="str">
        <f t="shared" si="1"/>
        <v>PHC0089-61-1:Mr. Khawaja Wajih-ud-Din</v>
      </c>
      <c r="AG4" t="s">
        <v>1556</v>
      </c>
      <c r="AL4" s="64" t="s">
        <v>1604</v>
      </c>
      <c r="AM4" s="17">
        <v>0</v>
      </c>
      <c r="AN4" s="17">
        <v>6</v>
      </c>
      <c r="AO4" s="17">
        <v>2</v>
      </c>
      <c r="AP4" s="86">
        <v>0</v>
      </c>
      <c r="AQ4" s="17" t="s">
        <v>8</v>
      </c>
      <c r="AS4" s="21" t="s">
        <v>1740</v>
      </c>
      <c r="AU4" s="335" t="s">
        <v>1783</v>
      </c>
      <c r="AV4" s="156" t="s">
        <v>287</v>
      </c>
      <c r="AW4" s="335" t="s">
        <v>1783</v>
      </c>
      <c r="AX4" s="161" t="s">
        <v>287</v>
      </c>
      <c r="AY4" s="331" t="s">
        <v>1783</v>
      </c>
      <c r="AZ4" s="331" t="s">
        <v>1783</v>
      </c>
      <c r="BA4" s="156"/>
      <c r="BB4" s="122" t="s">
        <v>1783</v>
      </c>
      <c r="BC4" s="220" t="s">
        <v>287</v>
      </c>
      <c r="BD4" s="122"/>
      <c r="BE4" s="122"/>
      <c r="BF4" s="221" t="s">
        <v>42</v>
      </c>
      <c r="BG4" s="43" t="str">
        <f t="shared" si="0"/>
        <v>CR-003-Cases triable u/s 30 Cr.PC</v>
      </c>
      <c r="BI4" s="214" t="s">
        <v>1968</v>
      </c>
      <c r="BM4" s="215">
        <v>300</v>
      </c>
      <c r="BN4" s="215" t="s">
        <v>287</v>
      </c>
      <c r="BO4" s="215" t="s">
        <v>1974</v>
      </c>
      <c r="BP4" s="215" t="s">
        <v>1974</v>
      </c>
      <c r="BR4" s="236">
        <f>EDATE(BR3,3)</f>
        <v>44256</v>
      </c>
      <c r="BS4" s="17">
        <v>3</v>
      </c>
      <c r="BT4" s="236">
        <f>EDATE(BT3,3)</f>
        <v>44256</v>
      </c>
      <c r="BU4" s="236">
        <f>EDATE(BU3,3)</f>
        <v>44317</v>
      </c>
      <c r="BV4" s="233" t="str">
        <f t="shared" si="2"/>
        <v>Y3-Q3</v>
      </c>
      <c r="BW4" s="17" t="str">
        <f t="shared" si="3"/>
        <v>Y3-Q3</v>
      </c>
      <c r="BX4" s="17">
        <v>3</v>
      </c>
      <c r="BY4" s="17">
        <v>3</v>
      </c>
      <c r="CA4" s="16"/>
      <c r="CB4" s="241"/>
      <c r="CC4" s="16"/>
      <c r="CD4" s="43" t="s">
        <v>1562</v>
      </c>
      <c r="CE4" s="17">
        <v>1</v>
      </c>
      <c r="CF4" s="17">
        <v>1</v>
      </c>
      <c r="CG4" s="17">
        <v>1</v>
      </c>
      <c r="CH4" s="17">
        <v>-1</v>
      </c>
      <c r="CI4" s="17">
        <v>1</v>
      </c>
      <c r="CJ4" s="17">
        <v>1</v>
      </c>
    </row>
    <row r="5" spans="1:88" ht="47.25">
      <c r="A5" s="43" t="s">
        <v>1558</v>
      </c>
      <c r="B5" s="42" t="s">
        <v>43</v>
      </c>
      <c r="C5" s="43" t="s">
        <v>18</v>
      </c>
      <c r="E5" s="43" t="s">
        <v>1755</v>
      </c>
      <c r="F5" s="42" t="s">
        <v>72</v>
      </c>
      <c r="G5" s="43" t="s">
        <v>73</v>
      </c>
      <c r="I5" s="17" t="s">
        <v>116</v>
      </c>
      <c r="K5" s="17" t="s">
        <v>116</v>
      </c>
      <c r="M5" s="19" t="s">
        <v>127</v>
      </c>
      <c r="N5" s="19" t="s">
        <v>128</v>
      </c>
      <c r="P5" s="21" t="s">
        <v>141</v>
      </c>
      <c r="R5" s="22" t="s">
        <v>147</v>
      </c>
      <c r="T5" s="24" t="s">
        <v>288</v>
      </c>
      <c r="V5" s="21" t="s">
        <v>365</v>
      </c>
      <c r="X5" s="26" t="s">
        <v>375</v>
      </c>
      <c r="Z5" t="s">
        <v>380</v>
      </c>
      <c r="AB5" s="215">
        <v>4</v>
      </c>
      <c r="AC5" s="35" t="s">
        <v>398</v>
      </c>
      <c r="AD5" s="33" t="s">
        <v>399</v>
      </c>
      <c r="AE5" s="37" t="str">
        <f t="shared" si="1"/>
        <v>PHC0090-66-3:Mr. Muhammad Hamid Mughal</v>
      </c>
      <c r="AG5" t="s">
        <v>1557</v>
      </c>
      <c r="AL5" s="65" t="s">
        <v>1610</v>
      </c>
      <c r="AM5" s="17">
        <v>6</v>
      </c>
      <c r="AN5" s="17">
        <v>6</v>
      </c>
      <c r="AO5" s="17">
        <v>6</v>
      </c>
      <c r="AP5" s="86">
        <v>2</v>
      </c>
      <c r="AQ5" s="17" t="s">
        <v>8</v>
      </c>
      <c r="AS5" s="21" t="s">
        <v>1741</v>
      </c>
      <c r="AU5" s="335" t="s">
        <v>1783</v>
      </c>
      <c r="AV5" s="156" t="s">
        <v>287</v>
      </c>
      <c r="AW5" s="335" t="s">
        <v>1784</v>
      </c>
      <c r="AX5" s="161" t="s">
        <v>288</v>
      </c>
      <c r="AY5" s="331" t="s">
        <v>1784</v>
      </c>
      <c r="AZ5" s="331" t="s">
        <v>1783</v>
      </c>
      <c r="BA5" s="156"/>
      <c r="BB5" s="122" t="s">
        <v>1786</v>
      </c>
      <c r="BC5" s="220" t="s">
        <v>290</v>
      </c>
      <c r="BD5" s="122"/>
      <c r="BE5" s="122"/>
      <c r="BF5" s="221" t="s">
        <v>43</v>
      </c>
      <c r="BG5" s="43" t="str">
        <f t="shared" si="0"/>
        <v>CR-004-Hurt Cases</v>
      </c>
      <c r="BI5" s="214" t="s">
        <v>1969</v>
      </c>
      <c r="BM5" s="215">
        <v>400</v>
      </c>
      <c r="BN5" s="215" t="s">
        <v>290</v>
      </c>
      <c r="BO5" s="215" t="s">
        <v>1974</v>
      </c>
      <c r="BP5" s="215" t="s">
        <v>1974</v>
      </c>
      <c r="BR5" s="236">
        <f t="shared" ref="BR5:BT61" si="4">EDATE(BR4,3)</f>
        <v>44348</v>
      </c>
      <c r="BS5" s="17">
        <v>4</v>
      </c>
      <c r="BT5" s="236">
        <f t="shared" si="4"/>
        <v>44348</v>
      </c>
      <c r="BU5" s="236">
        <f t="shared" ref="BU5:BU61" si="5">EDATE(BU4,3)</f>
        <v>44409</v>
      </c>
      <c r="BV5" s="233" t="str">
        <f t="shared" si="2"/>
        <v>Y3-Q4</v>
      </c>
      <c r="BW5" s="17" t="str">
        <f t="shared" si="3"/>
        <v>Y3-Q4</v>
      </c>
      <c r="BX5" s="17">
        <v>3</v>
      </c>
      <c r="BY5" s="17">
        <v>4</v>
      </c>
      <c r="CA5" s="16"/>
      <c r="CB5" s="241"/>
      <c r="CC5" s="16"/>
      <c r="CD5" s="43" t="s">
        <v>1558</v>
      </c>
      <c r="CE5" s="17">
        <v>1</v>
      </c>
      <c r="CF5" s="17">
        <v>1</v>
      </c>
      <c r="CG5" s="17">
        <v>1</v>
      </c>
      <c r="CH5" s="17">
        <v>-1</v>
      </c>
      <c r="CI5" s="17">
        <v>1</v>
      </c>
      <c r="CJ5" s="17">
        <v>1</v>
      </c>
    </row>
    <row r="6" spans="1:88" ht="63">
      <c r="A6" s="43" t="s">
        <v>111</v>
      </c>
      <c r="B6" s="42" t="s">
        <v>44</v>
      </c>
      <c r="C6" s="43" t="s">
        <v>19</v>
      </c>
      <c r="E6" s="43" t="s">
        <v>1735</v>
      </c>
      <c r="F6" s="42" t="s">
        <v>74</v>
      </c>
      <c r="G6" s="43" t="s">
        <v>75</v>
      </c>
      <c r="I6" s="17" t="s">
        <v>117</v>
      </c>
      <c r="K6" s="17" t="s">
        <v>119</v>
      </c>
      <c r="M6" s="19" t="s">
        <v>129</v>
      </c>
      <c r="N6" s="19" t="s">
        <v>130</v>
      </c>
      <c r="P6" s="21" t="s">
        <v>142</v>
      </c>
      <c r="R6" s="22" t="s">
        <v>148</v>
      </c>
      <c r="T6" s="24" t="s">
        <v>289</v>
      </c>
      <c r="V6" s="21" t="s">
        <v>366</v>
      </c>
      <c r="Z6" t="s">
        <v>381</v>
      </c>
      <c r="AB6" s="215">
        <v>5</v>
      </c>
      <c r="AC6" s="35" t="s">
        <v>400</v>
      </c>
      <c r="AD6" s="33" t="s">
        <v>401</v>
      </c>
      <c r="AE6" s="37" t="str">
        <f t="shared" si="1"/>
        <v>PHC0091-65-3:Mr. Shafiq Ahmad Tanoli</v>
      </c>
      <c r="AG6" t="s">
        <v>117</v>
      </c>
      <c r="AL6" s="65" t="s">
        <v>1607</v>
      </c>
      <c r="AM6" s="17">
        <v>0</v>
      </c>
      <c r="AN6" s="17">
        <v>12</v>
      </c>
      <c r="AO6" s="17">
        <v>6</v>
      </c>
      <c r="AP6" s="86">
        <v>2</v>
      </c>
      <c r="AQ6" s="17" t="s">
        <v>8</v>
      </c>
      <c r="AS6" s="21" t="s">
        <v>1742</v>
      </c>
      <c r="AU6" s="335" t="s">
        <v>1783</v>
      </c>
      <c r="AV6" s="156" t="s">
        <v>287</v>
      </c>
      <c r="AW6" s="335" t="s">
        <v>1785</v>
      </c>
      <c r="AX6" s="161" t="s">
        <v>289</v>
      </c>
      <c r="AY6" s="331" t="s">
        <v>1785</v>
      </c>
      <c r="AZ6" s="331" t="s">
        <v>1783</v>
      </c>
      <c r="BA6" s="156"/>
      <c r="BB6" s="122" t="s">
        <v>1789</v>
      </c>
      <c r="BC6" s="220" t="s">
        <v>293</v>
      </c>
      <c r="BD6" s="122"/>
      <c r="BE6" s="122"/>
      <c r="BF6" s="221" t="s">
        <v>44</v>
      </c>
      <c r="BG6" s="43" t="str">
        <f t="shared" si="0"/>
        <v>CR-005-Abduction/Kidnapping</v>
      </c>
      <c r="BI6" s="214" t="s">
        <v>1970</v>
      </c>
      <c r="BM6" s="215">
        <v>500</v>
      </c>
      <c r="BN6" s="215" t="s">
        <v>293</v>
      </c>
      <c r="BO6" s="215" t="s">
        <v>1974</v>
      </c>
      <c r="BP6" s="215" t="s">
        <v>1974</v>
      </c>
      <c r="BR6" s="236">
        <f t="shared" si="4"/>
        <v>44440</v>
      </c>
      <c r="BS6" s="17">
        <v>5</v>
      </c>
      <c r="BT6" s="236">
        <f t="shared" si="4"/>
        <v>44440</v>
      </c>
      <c r="BU6" s="236">
        <f t="shared" si="5"/>
        <v>44501</v>
      </c>
      <c r="BV6" s="233" t="str">
        <f t="shared" si="2"/>
        <v>Y4-Q1</v>
      </c>
      <c r="BW6" s="17" t="str">
        <f>"Y"&amp;BX6&amp;"-Q"&amp;BY6</f>
        <v>Y4-Q1</v>
      </c>
      <c r="BX6" s="17">
        <v>4</v>
      </c>
      <c r="BY6" s="17">
        <v>1</v>
      </c>
      <c r="CA6" s="16"/>
      <c r="CB6" s="241"/>
      <c r="CC6" s="16"/>
      <c r="CD6" s="43" t="s">
        <v>111</v>
      </c>
      <c r="CE6" s="17">
        <v>1</v>
      </c>
      <c r="CF6" s="17">
        <v>1</v>
      </c>
      <c r="CG6" s="17">
        <v>1</v>
      </c>
      <c r="CH6" s="17">
        <v>-1</v>
      </c>
      <c r="CI6" s="17">
        <v>1</v>
      </c>
      <c r="CJ6" s="17">
        <v>1</v>
      </c>
    </row>
    <row r="7" spans="1:88" ht="63">
      <c r="A7" s="43" t="s">
        <v>1563</v>
      </c>
      <c r="B7" s="42" t="s">
        <v>45</v>
      </c>
      <c r="C7" s="43" t="s">
        <v>1539</v>
      </c>
      <c r="E7" s="43" t="s">
        <v>1756</v>
      </c>
      <c r="F7" s="42" t="s">
        <v>76</v>
      </c>
      <c r="G7" s="43" t="s">
        <v>77</v>
      </c>
      <c r="K7" s="17" t="s">
        <v>117</v>
      </c>
      <c r="M7" s="19" t="s">
        <v>131</v>
      </c>
      <c r="N7" s="19" t="s">
        <v>131</v>
      </c>
      <c r="P7" s="21"/>
      <c r="R7" s="22" t="s">
        <v>149</v>
      </c>
      <c r="T7" s="24" t="s">
        <v>290</v>
      </c>
      <c r="V7" s="21" t="s">
        <v>367</v>
      </c>
      <c r="Z7" t="s">
        <v>382</v>
      </c>
      <c r="AB7" s="215">
        <v>6</v>
      </c>
      <c r="AC7" s="35" t="s">
        <v>402</v>
      </c>
      <c r="AD7" s="33" t="s">
        <v>403</v>
      </c>
      <c r="AE7" s="37" t="str">
        <f t="shared" si="1"/>
        <v>PHC0092-64-1:Mr. Muhammad Jamal</v>
      </c>
      <c r="AL7" s="65" t="s">
        <v>1605</v>
      </c>
      <c r="AM7" s="17">
        <v>12</v>
      </c>
      <c r="AN7" s="17">
        <v>0</v>
      </c>
      <c r="AO7" s="17">
        <v>6</v>
      </c>
      <c r="AP7" s="86">
        <v>0</v>
      </c>
      <c r="AQ7" s="17" t="s">
        <v>8</v>
      </c>
      <c r="AS7" s="21" t="s">
        <v>1743</v>
      </c>
      <c r="AU7" s="335" t="s">
        <v>1786</v>
      </c>
      <c r="AV7" s="156" t="s">
        <v>290</v>
      </c>
      <c r="AW7" s="335" t="s">
        <v>1786</v>
      </c>
      <c r="AX7" s="161" t="s">
        <v>290</v>
      </c>
      <c r="AY7" s="331" t="s">
        <v>1786</v>
      </c>
      <c r="AZ7" s="331" t="s">
        <v>1786</v>
      </c>
      <c r="BA7" s="156"/>
      <c r="BB7" s="122" t="s">
        <v>1791</v>
      </c>
      <c r="BC7" s="220" t="s">
        <v>295</v>
      </c>
      <c r="BD7" s="122"/>
      <c r="BE7" s="122"/>
      <c r="BF7" s="221" t="s">
        <v>45</v>
      </c>
      <c r="BG7" s="43" t="str">
        <f t="shared" si="0"/>
        <v>CR-006-Arms &amp; Amunation</v>
      </c>
      <c r="BI7" s="214" t="s">
        <v>1971</v>
      </c>
      <c r="BM7" s="215">
        <v>600</v>
      </c>
      <c r="BN7" s="215" t="s">
        <v>295</v>
      </c>
      <c r="BO7" s="215" t="s">
        <v>1975</v>
      </c>
      <c r="BP7" s="215" t="s">
        <v>1976</v>
      </c>
      <c r="BR7" s="236">
        <f t="shared" si="4"/>
        <v>44531</v>
      </c>
      <c r="BS7" s="17">
        <v>6</v>
      </c>
      <c r="BT7" s="236">
        <f t="shared" si="4"/>
        <v>44531</v>
      </c>
      <c r="BU7" s="236">
        <f t="shared" si="5"/>
        <v>44593</v>
      </c>
      <c r="BV7" s="233" t="str">
        <f t="shared" si="2"/>
        <v>Y4-Q2</v>
      </c>
      <c r="BW7" s="17" t="str">
        <f t="shared" ref="BW7:BW9" si="6">"Y"&amp;BX7&amp;"-Q"&amp;BY7</f>
        <v>Y4-Q2</v>
      </c>
      <c r="BX7" s="17">
        <v>4</v>
      </c>
      <c r="BY7" s="17">
        <v>2</v>
      </c>
      <c r="CA7" s="16"/>
      <c r="CC7" s="16"/>
      <c r="CD7" s="43" t="s">
        <v>1563</v>
      </c>
      <c r="CE7" s="17">
        <v>1</v>
      </c>
      <c r="CF7" s="17">
        <v>1</v>
      </c>
      <c r="CG7" s="17">
        <v>1</v>
      </c>
      <c r="CH7" s="17">
        <v>-1</v>
      </c>
      <c r="CI7" s="17">
        <v>1</v>
      </c>
      <c r="CJ7" s="17">
        <v>1</v>
      </c>
    </row>
    <row r="8" spans="1:88" ht="47.25">
      <c r="A8" s="43" t="s">
        <v>1564</v>
      </c>
      <c r="B8" s="42" t="s">
        <v>46</v>
      </c>
      <c r="C8" s="43" t="s">
        <v>20</v>
      </c>
      <c r="E8" s="43" t="s">
        <v>1757</v>
      </c>
      <c r="F8" s="42" t="s">
        <v>78</v>
      </c>
      <c r="G8" s="43" t="s">
        <v>79</v>
      </c>
      <c r="M8" s="19" t="s">
        <v>132</v>
      </c>
      <c r="N8" s="19" t="s">
        <v>132</v>
      </c>
      <c r="P8" s="21"/>
      <c r="R8" s="22" t="s">
        <v>150</v>
      </c>
      <c r="T8" s="24" t="s">
        <v>291</v>
      </c>
      <c r="V8" s="21" t="s">
        <v>368</v>
      </c>
      <c r="Z8" t="s">
        <v>383</v>
      </c>
      <c r="AB8" s="215">
        <v>7</v>
      </c>
      <c r="AC8" s="35" t="s">
        <v>404</v>
      </c>
      <c r="AD8" s="33" t="s">
        <v>405</v>
      </c>
      <c r="AE8" s="37" t="str">
        <f t="shared" si="1"/>
        <v>PHC0093-63-1:Mr. Fazal Subhan</v>
      </c>
      <c r="AL8" s="21" t="s">
        <v>1613</v>
      </c>
      <c r="AM8" s="17">
        <v>6</v>
      </c>
      <c r="AN8" s="17">
        <v>6</v>
      </c>
      <c r="AO8" s="17">
        <v>6</v>
      </c>
      <c r="AP8" s="86">
        <v>2</v>
      </c>
      <c r="AQ8" s="17" t="s">
        <v>9</v>
      </c>
      <c r="AS8" s="21" t="s">
        <v>1744</v>
      </c>
      <c r="AU8" s="335" t="s">
        <v>1786</v>
      </c>
      <c r="AV8" s="156" t="s">
        <v>290</v>
      </c>
      <c r="AW8" s="335" t="s">
        <v>1787</v>
      </c>
      <c r="AX8" s="161" t="s">
        <v>291</v>
      </c>
      <c r="AY8" s="331" t="s">
        <v>1787</v>
      </c>
      <c r="AZ8" s="331" t="s">
        <v>1786</v>
      </c>
      <c r="BA8" s="156"/>
      <c r="BB8" s="122" t="s">
        <v>1794</v>
      </c>
      <c r="BC8" s="220" t="s">
        <v>298</v>
      </c>
      <c r="BD8" s="122"/>
      <c r="BE8" s="122"/>
      <c r="BF8" s="221" t="s">
        <v>46</v>
      </c>
      <c r="BG8" s="43" t="str">
        <f t="shared" si="0"/>
        <v>CR-007-Hudood Laws</v>
      </c>
      <c r="BI8" s="244" t="s">
        <v>1989</v>
      </c>
      <c r="BM8" s="215">
        <v>700</v>
      </c>
      <c r="BN8" s="215" t="s">
        <v>298</v>
      </c>
      <c r="BO8" s="215" t="s">
        <v>1974</v>
      </c>
      <c r="BP8" s="215" t="s">
        <v>1975</v>
      </c>
      <c r="BR8" s="236">
        <f t="shared" si="4"/>
        <v>44621</v>
      </c>
      <c r="BS8" s="17">
        <v>7</v>
      </c>
      <c r="BT8" s="236">
        <f t="shared" si="4"/>
        <v>44621</v>
      </c>
      <c r="BU8" s="236">
        <f t="shared" si="5"/>
        <v>44682</v>
      </c>
      <c r="BV8" s="233" t="str">
        <f t="shared" si="2"/>
        <v>Y4-Q3</v>
      </c>
      <c r="BW8" s="17" t="str">
        <f t="shared" si="6"/>
        <v>Y4-Q3</v>
      </c>
      <c r="BX8" s="17">
        <v>4</v>
      </c>
      <c r="BY8" s="17">
        <v>3</v>
      </c>
      <c r="CA8" s="16"/>
      <c r="CD8" s="43" t="s">
        <v>1564</v>
      </c>
      <c r="CE8" s="17">
        <v>1</v>
      </c>
      <c r="CF8" s="17">
        <v>1</v>
      </c>
      <c r="CG8" s="17">
        <v>1</v>
      </c>
      <c r="CH8" s="17">
        <v>-1</v>
      </c>
      <c r="CI8" s="17">
        <v>1</v>
      </c>
      <c r="CJ8" s="17">
        <v>1</v>
      </c>
    </row>
    <row r="9" spans="1:88" ht="94.5">
      <c r="A9" s="43" t="s">
        <v>1879</v>
      </c>
      <c r="B9" s="42" t="s">
        <v>47</v>
      </c>
      <c r="C9" s="43" t="s">
        <v>1878</v>
      </c>
      <c r="E9" s="43" t="s">
        <v>1758</v>
      </c>
      <c r="F9" s="42" t="s">
        <v>80</v>
      </c>
      <c r="G9" s="43" t="s">
        <v>81</v>
      </c>
      <c r="M9" s="19" t="s">
        <v>98</v>
      </c>
      <c r="N9" s="19" t="s">
        <v>98</v>
      </c>
      <c r="P9" s="21"/>
      <c r="R9" s="22" t="s">
        <v>151</v>
      </c>
      <c r="T9" s="24" t="s">
        <v>292</v>
      </c>
      <c r="V9" s="21" t="s">
        <v>369</v>
      </c>
      <c r="Z9" t="s">
        <v>119</v>
      </c>
      <c r="AB9" s="215">
        <v>8</v>
      </c>
      <c r="AC9" s="35" t="s">
        <v>406</v>
      </c>
      <c r="AD9" s="33" t="s">
        <v>407</v>
      </c>
      <c r="AE9" s="37" t="str">
        <f t="shared" si="1"/>
        <v>PHC0094-62-1:Mr. Shahid Khan</v>
      </c>
      <c r="AL9" s="21" t="s">
        <v>1614</v>
      </c>
      <c r="AM9" s="17">
        <v>3</v>
      </c>
      <c r="AN9" s="17">
        <v>3</v>
      </c>
      <c r="AO9" s="17">
        <v>3</v>
      </c>
      <c r="AP9" s="86">
        <v>1</v>
      </c>
      <c r="AQ9" s="17" t="s">
        <v>9</v>
      </c>
      <c r="AS9" s="21"/>
      <c r="AU9" s="335" t="s">
        <v>1786</v>
      </c>
      <c r="AV9" s="156" t="s">
        <v>290</v>
      </c>
      <c r="AW9" s="335" t="s">
        <v>1788</v>
      </c>
      <c r="AX9" s="161" t="s">
        <v>292</v>
      </c>
      <c r="AY9" s="331" t="s">
        <v>1788</v>
      </c>
      <c r="AZ9" s="331" t="s">
        <v>1786</v>
      </c>
      <c r="BA9" s="156"/>
      <c r="BB9" s="122" t="s">
        <v>1800</v>
      </c>
      <c r="BC9" s="220" t="s">
        <v>304</v>
      </c>
      <c r="BD9" s="122"/>
      <c r="BE9" s="122"/>
      <c r="BF9" s="221" t="s">
        <v>47</v>
      </c>
      <c r="BG9" s="43" t="str">
        <f t="shared" si="0"/>
        <v>CR-008-Financial Crimes-Foreign Exchange Cases</v>
      </c>
      <c r="BM9" s="215">
        <v>800</v>
      </c>
      <c r="BN9" s="215" t="s">
        <v>304</v>
      </c>
      <c r="BO9" s="215" t="s">
        <v>1976</v>
      </c>
      <c r="BP9" s="215" t="s">
        <v>1976</v>
      </c>
      <c r="BR9" s="236">
        <f t="shared" si="4"/>
        <v>44713</v>
      </c>
      <c r="BS9" s="17">
        <v>8</v>
      </c>
      <c r="BT9" s="236">
        <f t="shared" si="4"/>
        <v>44713</v>
      </c>
      <c r="BU9" s="236">
        <f t="shared" si="5"/>
        <v>44774</v>
      </c>
      <c r="BV9" s="233" t="str">
        <f t="shared" si="2"/>
        <v>Y4-Q4</v>
      </c>
      <c r="BW9" s="17" t="str">
        <f t="shared" si="6"/>
        <v>Y4-Q4</v>
      </c>
      <c r="BX9" s="17">
        <v>4</v>
      </c>
      <c r="BY9" s="17">
        <v>4</v>
      </c>
      <c r="CA9" s="16"/>
      <c r="CD9" s="43" t="s">
        <v>1879</v>
      </c>
      <c r="CE9" s="17">
        <v>1</v>
      </c>
      <c r="CF9" s="17">
        <v>1</v>
      </c>
      <c r="CG9" s="17">
        <v>1</v>
      </c>
      <c r="CH9" s="17">
        <v>-1</v>
      </c>
      <c r="CI9" s="17">
        <v>1</v>
      </c>
      <c r="CJ9" s="17">
        <v>1</v>
      </c>
    </row>
    <row r="10" spans="1:88" ht="47.25">
      <c r="A10" s="43" t="s">
        <v>1565</v>
      </c>
      <c r="B10" s="42" t="s">
        <v>48</v>
      </c>
      <c r="C10" s="43" t="s">
        <v>21</v>
      </c>
      <c r="E10" s="43" t="s">
        <v>1759</v>
      </c>
      <c r="F10" s="42" t="s">
        <v>82</v>
      </c>
      <c r="G10" s="43" t="s">
        <v>83</v>
      </c>
      <c r="M10" s="20" t="s">
        <v>133</v>
      </c>
      <c r="N10" s="20" t="s">
        <v>133</v>
      </c>
      <c r="P10" s="21"/>
      <c r="R10" s="22" t="s">
        <v>152</v>
      </c>
      <c r="T10" s="24" t="s">
        <v>293</v>
      </c>
      <c r="V10" s="21" t="s">
        <v>370</v>
      </c>
      <c r="Z10" t="s">
        <v>116</v>
      </c>
      <c r="AB10" s="215">
        <v>9</v>
      </c>
      <c r="AC10" s="35" t="s">
        <v>408</v>
      </c>
      <c r="AD10" s="33" t="s">
        <v>409</v>
      </c>
      <c r="AE10" s="37" t="str">
        <f t="shared" si="1"/>
        <v>PHC0095-68-1:Dr. Khurshid Iqbal</v>
      </c>
      <c r="AL10" s="21" t="s">
        <v>1615</v>
      </c>
      <c r="AM10" s="17">
        <v>6</v>
      </c>
      <c r="AN10" s="17">
        <v>0</v>
      </c>
      <c r="AO10" s="17">
        <v>3</v>
      </c>
      <c r="AP10" s="86">
        <v>0</v>
      </c>
      <c r="AQ10" s="17" t="s">
        <v>9</v>
      </c>
      <c r="AS10" s="21"/>
      <c r="AU10" s="335" t="s">
        <v>1789</v>
      </c>
      <c r="AV10" s="156" t="s">
        <v>293</v>
      </c>
      <c r="AW10" s="335" t="s">
        <v>1790</v>
      </c>
      <c r="AX10" s="161" t="s">
        <v>294</v>
      </c>
      <c r="AY10" s="331" t="s">
        <v>1790</v>
      </c>
      <c r="AZ10" s="331" t="s">
        <v>1789</v>
      </c>
      <c r="BA10" s="156"/>
      <c r="BB10" s="122" t="s">
        <v>1805</v>
      </c>
      <c r="BC10" s="220" t="s">
        <v>1806</v>
      </c>
      <c r="BD10" s="122"/>
      <c r="BE10" s="122"/>
      <c r="BF10" s="221" t="s">
        <v>48</v>
      </c>
      <c r="BG10" s="43" t="str">
        <f t="shared" si="0"/>
        <v>CR-009-Foreigner Act</v>
      </c>
      <c r="BM10" s="215">
        <v>900</v>
      </c>
      <c r="BN10" s="215" t="s">
        <v>1806</v>
      </c>
      <c r="BO10" s="215" t="s">
        <v>1975</v>
      </c>
      <c r="BP10" s="215" t="s">
        <v>1975</v>
      </c>
      <c r="BR10" s="236">
        <f t="shared" si="4"/>
        <v>44805</v>
      </c>
      <c r="BS10" s="17">
        <v>9</v>
      </c>
      <c r="BT10" s="236">
        <f t="shared" si="4"/>
        <v>44805</v>
      </c>
      <c r="BU10" s="236">
        <f t="shared" si="5"/>
        <v>44866</v>
      </c>
      <c r="BV10" s="233" t="str">
        <f t="shared" si="2"/>
        <v>Y5-Q1</v>
      </c>
      <c r="BW10" s="17" t="str">
        <f>"Y"&amp;BX10&amp;"-Q"&amp;BY10</f>
        <v>Y5-Q1</v>
      </c>
      <c r="BX10" s="17">
        <v>5</v>
      </c>
      <c r="BY10" s="17">
        <v>1</v>
      </c>
      <c r="CA10" s="16"/>
      <c r="CD10" s="43" t="s">
        <v>1565</v>
      </c>
      <c r="CE10" s="17">
        <v>1</v>
      </c>
      <c r="CF10" s="17">
        <v>1</v>
      </c>
      <c r="CG10" s="17">
        <v>1</v>
      </c>
      <c r="CH10" s="17">
        <v>-1</v>
      </c>
      <c r="CI10" s="17">
        <v>1</v>
      </c>
      <c r="CJ10" s="17">
        <v>1</v>
      </c>
    </row>
    <row r="11" spans="1:88" ht="47.25">
      <c r="A11" s="43" t="s">
        <v>1566</v>
      </c>
      <c r="B11" s="42" t="s">
        <v>49</v>
      </c>
      <c r="C11" s="43" t="s">
        <v>22</v>
      </c>
      <c r="E11" s="43" t="s">
        <v>1760</v>
      </c>
      <c r="F11" s="42" t="s">
        <v>84</v>
      </c>
      <c r="G11" s="43" t="s">
        <v>85</v>
      </c>
      <c r="R11" s="22" t="s">
        <v>153</v>
      </c>
      <c r="T11" s="24" t="s">
        <v>294</v>
      </c>
      <c r="V11" s="21" t="s">
        <v>371</v>
      </c>
      <c r="Z11" t="s">
        <v>384</v>
      </c>
      <c r="AB11" s="215">
        <v>10</v>
      </c>
      <c r="AC11" s="35" t="s">
        <v>410</v>
      </c>
      <c r="AD11" s="33" t="s">
        <v>411</v>
      </c>
      <c r="AE11" s="37" t="str">
        <f t="shared" si="1"/>
        <v>PHC0097-67-1:Mr. Babar Ali Khan</v>
      </c>
      <c r="AL11" s="21" t="s">
        <v>1616</v>
      </c>
      <c r="AM11" s="17">
        <v>12</v>
      </c>
      <c r="AN11" s="17">
        <v>0</v>
      </c>
      <c r="AO11" s="17">
        <v>6</v>
      </c>
      <c r="AP11" s="86">
        <v>0</v>
      </c>
      <c r="AQ11" s="17" t="s">
        <v>9</v>
      </c>
      <c r="AS11" s="21"/>
      <c r="AU11" s="335" t="s">
        <v>1789</v>
      </c>
      <c r="AV11" s="156" t="s">
        <v>293</v>
      </c>
      <c r="AW11" s="335" t="s">
        <v>1789</v>
      </c>
      <c r="AX11" s="161" t="s">
        <v>293</v>
      </c>
      <c r="AY11" s="331" t="s">
        <v>1789</v>
      </c>
      <c r="AZ11" s="331" t="s">
        <v>1789</v>
      </c>
      <c r="BA11" s="156"/>
      <c r="BB11" s="122" t="s">
        <v>1811</v>
      </c>
      <c r="BC11" s="220" t="s">
        <v>314</v>
      </c>
      <c r="BD11" s="122"/>
      <c r="BE11" s="122"/>
      <c r="BF11" s="221" t="s">
        <v>49</v>
      </c>
      <c r="BG11" s="43" t="str">
        <f t="shared" si="0"/>
        <v>CR-010-Complaint Cases</v>
      </c>
      <c r="BM11" s="215">
        <v>1000</v>
      </c>
      <c r="BN11" s="215" t="s">
        <v>314</v>
      </c>
      <c r="BO11" s="215" t="s">
        <v>1975</v>
      </c>
      <c r="BP11" s="215" t="s">
        <v>1975</v>
      </c>
      <c r="BR11" s="236">
        <f t="shared" si="4"/>
        <v>44896</v>
      </c>
      <c r="BS11" s="17">
        <v>10</v>
      </c>
      <c r="BT11" s="236">
        <f t="shared" si="4"/>
        <v>44896</v>
      </c>
      <c r="BU11" s="236">
        <f t="shared" si="5"/>
        <v>44958</v>
      </c>
      <c r="BV11" s="233" t="str">
        <f t="shared" si="2"/>
        <v>Y5-Q2</v>
      </c>
      <c r="BW11" s="17" t="str">
        <f t="shared" ref="BW11:BW13" si="7">"Y"&amp;BX11&amp;"-Q"&amp;BY11</f>
        <v>Y5-Q2</v>
      </c>
      <c r="BX11" s="17">
        <v>5</v>
      </c>
      <c r="BY11" s="17">
        <v>2</v>
      </c>
      <c r="CA11" s="16"/>
      <c r="CD11" s="43" t="s">
        <v>1566</v>
      </c>
      <c r="CE11" s="17">
        <v>1</v>
      </c>
      <c r="CF11" s="17">
        <v>1</v>
      </c>
      <c r="CG11" s="17">
        <v>1</v>
      </c>
      <c r="CH11" s="86">
        <v>1</v>
      </c>
      <c r="CI11" s="17">
        <v>1</v>
      </c>
      <c r="CJ11" s="17">
        <v>1</v>
      </c>
    </row>
    <row r="12" spans="1:88" ht="78.75">
      <c r="A12" s="43" t="s">
        <v>1567</v>
      </c>
      <c r="B12" s="42" t="s">
        <v>50</v>
      </c>
      <c r="C12" s="43" t="s">
        <v>1543</v>
      </c>
      <c r="E12" s="43" t="s">
        <v>1761</v>
      </c>
      <c r="F12" s="42" t="s">
        <v>86</v>
      </c>
      <c r="G12" s="43" t="s">
        <v>87</v>
      </c>
      <c r="R12" s="22" t="s">
        <v>154</v>
      </c>
      <c r="T12" s="24" t="s">
        <v>295</v>
      </c>
      <c r="Z12" t="s">
        <v>385</v>
      </c>
      <c r="AB12" s="215">
        <v>11</v>
      </c>
      <c r="AC12" s="35" t="s">
        <v>412</v>
      </c>
      <c r="AD12" s="33" t="s">
        <v>413</v>
      </c>
      <c r="AE12" s="37" t="str">
        <f t="shared" si="1"/>
        <v>PHC0098-64-1:Mr. Abdul Ghafoor Qureshi</v>
      </c>
      <c r="AL12" s="65" t="s">
        <v>1609</v>
      </c>
      <c r="AM12" s="17">
        <v>6</v>
      </c>
      <c r="AN12" s="17">
        <v>6</v>
      </c>
      <c r="AO12" s="17">
        <v>6</v>
      </c>
      <c r="AP12" s="86">
        <v>2</v>
      </c>
      <c r="AQ12" s="17" t="s">
        <v>9</v>
      </c>
      <c r="AU12" s="335" t="s">
        <v>1791</v>
      </c>
      <c r="AV12" s="156" t="s">
        <v>295</v>
      </c>
      <c r="AW12" s="335" t="s">
        <v>1792</v>
      </c>
      <c r="AX12" s="161" t="s">
        <v>297</v>
      </c>
      <c r="AY12" s="331" t="s">
        <v>1792</v>
      </c>
      <c r="AZ12" s="331" t="s">
        <v>1791</v>
      </c>
      <c r="BA12" s="156"/>
      <c r="BB12" s="122" t="s">
        <v>1814</v>
      </c>
      <c r="BC12" s="220" t="s">
        <v>317</v>
      </c>
      <c r="BD12" s="122"/>
      <c r="BE12" s="122"/>
      <c r="BF12" s="221" t="s">
        <v>50</v>
      </c>
      <c r="BG12" s="43" t="str">
        <f t="shared" si="0"/>
        <v>CR-011-Norcotics Substances</v>
      </c>
      <c r="BM12" s="215">
        <v>1100</v>
      </c>
      <c r="BN12" s="215" t="s">
        <v>317</v>
      </c>
      <c r="BO12" s="215" t="s">
        <v>1975</v>
      </c>
      <c r="BP12" s="215" t="s">
        <v>1976</v>
      </c>
      <c r="BR12" s="236">
        <f t="shared" si="4"/>
        <v>44986</v>
      </c>
      <c r="BS12" s="17">
        <v>11</v>
      </c>
      <c r="BT12" s="236">
        <f t="shared" si="4"/>
        <v>44986</v>
      </c>
      <c r="BU12" s="236">
        <f t="shared" si="5"/>
        <v>45047</v>
      </c>
      <c r="BV12" s="233" t="str">
        <f t="shared" si="2"/>
        <v>Y5-Q3</v>
      </c>
      <c r="BW12" s="17" t="str">
        <f t="shared" si="7"/>
        <v>Y5-Q3</v>
      </c>
      <c r="BX12" s="17">
        <v>5</v>
      </c>
      <c r="BY12" s="17">
        <v>3</v>
      </c>
      <c r="CA12" s="16"/>
      <c r="CD12" s="43" t="s">
        <v>1567</v>
      </c>
      <c r="CE12" s="17">
        <v>1</v>
      </c>
      <c r="CF12" s="17">
        <v>1</v>
      </c>
      <c r="CG12" s="17">
        <v>1</v>
      </c>
      <c r="CH12" s="86">
        <v>-1</v>
      </c>
      <c r="CI12" s="17">
        <v>1</v>
      </c>
      <c r="CJ12" s="17">
        <v>1</v>
      </c>
    </row>
    <row r="13" spans="1:88" ht="78.75">
      <c r="A13" s="43" t="s">
        <v>1568</v>
      </c>
      <c r="B13" s="42" t="s">
        <v>51</v>
      </c>
      <c r="C13" s="43" t="s">
        <v>1544</v>
      </c>
      <c r="E13" s="43" t="s">
        <v>1762</v>
      </c>
      <c r="F13" s="42" t="s">
        <v>88</v>
      </c>
      <c r="G13" s="43" t="s">
        <v>89</v>
      </c>
      <c r="R13" s="22" t="s">
        <v>155</v>
      </c>
      <c r="T13" s="24" t="s">
        <v>296</v>
      </c>
      <c r="Z13" t="s">
        <v>386</v>
      </c>
      <c r="AB13" s="215">
        <v>12</v>
      </c>
      <c r="AC13" s="35" t="s">
        <v>414</v>
      </c>
      <c r="AD13" s="33" t="s">
        <v>415</v>
      </c>
      <c r="AE13" s="37" t="str">
        <f t="shared" si="1"/>
        <v>PHC0099-64-1:Mr. Muhammad Younas Khan</v>
      </c>
      <c r="AL13" s="65" t="s">
        <v>1606</v>
      </c>
      <c r="AM13" s="17">
        <v>12</v>
      </c>
      <c r="AN13" s="17">
        <v>0</v>
      </c>
      <c r="AO13" s="17">
        <v>6</v>
      </c>
      <c r="AP13" s="86">
        <v>0</v>
      </c>
      <c r="AQ13" s="17" t="s">
        <v>9</v>
      </c>
      <c r="AU13" s="335" t="s">
        <v>1791</v>
      </c>
      <c r="AV13" s="156" t="s">
        <v>295</v>
      </c>
      <c r="AW13" s="335" t="s">
        <v>1791</v>
      </c>
      <c r="AX13" s="161" t="s">
        <v>295</v>
      </c>
      <c r="AY13" s="331" t="s">
        <v>1791</v>
      </c>
      <c r="AZ13" s="331" t="s">
        <v>1791</v>
      </c>
      <c r="BA13" s="156"/>
      <c r="BB13" s="122" t="s">
        <v>1816</v>
      </c>
      <c r="BC13" s="220" t="s">
        <v>319</v>
      </c>
      <c r="BD13" s="122"/>
      <c r="BE13" s="122"/>
      <c r="BF13" s="221" t="s">
        <v>51</v>
      </c>
      <c r="BG13" s="43" t="str">
        <f t="shared" si="0"/>
        <v>CR-012-Habeas Corpus (491 Cr.PC)</v>
      </c>
      <c r="BM13" s="215">
        <v>1200</v>
      </c>
      <c r="BN13" s="215" t="s">
        <v>319</v>
      </c>
      <c r="BO13" s="215" t="s">
        <v>1976</v>
      </c>
      <c r="BP13" s="215" t="s">
        <v>1976</v>
      </c>
      <c r="BR13" s="236">
        <f t="shared" si="4"/>
        <v>45078</v>
      </c>
      <c r="BS13" s="17">
        <v>12</v>
      </c>
      <c r="BT13" s="236">
        <f t="shared" si="4"/>
        <v>45078</v>
      </c>
      <c r="BU13" s="236">
        <f t="shared" si="5"/>
        <v>45139</v>
      </c>
      <c r="BV13" s="233" t="str">
        <f t="shared" si="2"/>
        <v>Y5-Q4</v>
      </c>
      <c r="BW13" s="17" t="str">
        <f t="shared" si="7"/>
        <v>Y5-Q4</v>
      </c>
      <c r="BX13" s="17">
        <v>5</v>
      </c>
      <c r="BY13" s="17">
        <v>4</v>
      </c>
      <c r="CA13" s="16"/>
      <c r="CD13" s="43" t="s">
        <v>1568</v>
      </c>
      <c r="CE13" s="17">
        <v>-1</v>
      </c>
      <c r="CF13" s="17">
        <v>-1</v>
      </c>
      <c r="CG13" s="17">
        <v>-1</v>
      </c>
      <c r="CH13" s="86">
        <v>-1</v>
      </c>
      <c r="CI13" s="17">
        <v>1</v>
      </c>
      <c r="CJ13" s="17">
        <v>1</v>
      </c>
    </row>
    <row r="14" spans="1:88" ht="63">
      <c r="A14" s="43" t="s">
        <v>1569</v>
      </c>
      <c r="B14" s="42" t="s">
        <v>52</v>
      </c>
      <c r="C14" s="43" t="s">
        <v>23</v>
      </c>
      <c r="E14" s="43" t="s">
        <v>1734</v>
      </c>
      <c r="F14" s="42" t="s">
        <v>90</v>
      </c>
      <c r="G14" s="43" t="s">
        <v>91</v>
      </c>
      <c r="R14" s="22" t="s">
        <v>156</v>
      </c>
      <c r="T14" s="24" t="s">
        <v>297</v>
      </c>
      <c r="Z14" t="s">
        <v>387</v>
      </c>
      <c r="AB14" s="215">
        <v>13</v>
      </c>
      <c r="AC14" s="35" t="s">
        <v>416</v>
      </c>
      <c r="AD14" s="33" t="s">
        <v>417</v>
      </c>
      <c r="AE14" s="37" t="str">
        <f t="shared" si="1"/>
        <v>PHC0103-70-1:Mrs. Farah Jamshed</v>
      </c>
      <c r="AL14" s="65" t="s">
        <v>1608</v>
      </c>
      <c r="AM14" s="17">
        <v>0</v>
      </c>
      <c r="AN14" s="17">
        <v>12</v>
      </c>
      <c r="AO14" s="17">
        <v>6</v>
      </c>
      <c r="AP14" s="86">
        <v>3</v>
      </c>
      <c r="AQ14" s="17" t="s">
        <v>9</v>
      </c>
      <c r="AU14" s="335" t="s">
        <v>1791</v>
      </c>
      <c r="AV14" s="156" t="s">
        <v>295</v>
      </c>
      <c r="AW14" s="335" t="s">
        <v>1793</v>
      </c>
      <c r="AX14" s="161" t="s">
        <v>296</v>
      </c>
      <c r="AY14" s="331" t="s">
        <v>1793</v>
      </c>
      <c r="AZ14" s="331" t="s">
        <v>1791</v>
      </c>
      <c r="BA14" s="156"/>
      <c r="BB14" s="122" t="s">
        <v>1818</v>
      </c>
      <c r="BC14" s="220" t="s">
        <v>323</v>
      </c>
      <c r="BD14" s="122"/>
      <c r="BE14" s="122"/>
      <c r="BF14" s="221" t="s">
        <v>52</v>
      </c>
      <c r="BG14" s="43" t="str">
        <f t="shared" si="0"/>
        <v>CR-013-Offences against Children</v>
      </c>
      <c r="BM14" s="215">
        <v>1300</v>
      </c>
      <c r="BN14" s="215" t="s">
        <v>323</v>
      </c>
      <c r="BO14" s="215" t="s">
        <v>1974</v>
      </c>
      <c r="BP14" s="215" t="s">
        <v>1974</v>
      </c>
      <c r="BR14" s="236">
        <f t="shared" si="4"/>
        <v>45170</v>
      </c>
      <c r="BS14" s="17">
        <v>13</v>
      </c>
      <c r="BT14" s="236">
        <f t="shared" si="4"/>
        <v>45170</v>
      </c>
      <c r="BU14" s="236">
        <f t="shared" si="5"/>
        <v>45231</v>
      </c>
      <c r="BV14" s="233" t="str">
        <f t="shared" si="2"/>
        <v>Y6-Q1</v>
      </c>
      <c r="BW14" s="17" t="str">
        <f t="shared" ref="BW14" si="8">"Y"&amp;BX14&amp;"-Q"&amp;BY14</f>
        <v>Y6-Q1</v>
      </c>
      <c r="BX14" s="17">
        <v>6</v>
      </c>
      <c r="BY14" s="17">
        <v>1</v>
      </c>
      <c r="CA14" s="16"/>
      <c r="CD14" s="43" t="s">
        <v>1569</v>
      </c>
      <c r="CE14" s="17">
        <v>1</v>
      </c>
      <c r="CF14" s="17">
        <v>1</v>
      </c>
      <c r="CG14" s="17">
        <v>1</v>
      </c>
      <c r="CH14" s="86">
        <v>-1</v>
      </c>
      <c r="CI14" s="17">
        <v>1</v>
      </c>
      <c r="CJ14" s="17">
        <v>1</v>
      </c>
    </row>
    <row r="15" spans="1:88" ht="63">
      <c r="A15" s="43" t="s">
        <v>1570</v>
      </c>
      <c r="B15" s="42" t="s">
        <v>53</v>
      </c>
      <c r="C15" s="48" t="s">
        <v>24</v>
      </c>
      <c r="E15" s="43" t="s">
        <v>1764</v>
      </c>
      <c r="F15" s="42" t="s">
        <v>92</v>
      </c>
      <c r="G15" s="43" t="s">
        <v>1763</v>
      </c>
      <c r="R15" s="22" t="s">
        <v>157</v>
      </c>
      <c r="T15" s="24" t="s">
        <v>298</v>
      </c>
      <c r="Z15" t="s">
        <v>388</v>
      </c>
      <c r="AB15" s="215">
        <v>14</v>
      </c>
      <c r="AC15" s="35" t="s">
        <v>418</v>
      </c>
      <c r="AD15" s="33" t="s">
        <v>419</v>
      </c>
      <c r="AE15" s="37" t="str">
        <f t="shared" si="1"/>
        <v>PHC0105-67-1:Syed Ihtesham Ali</v>
      </c>
      <c r="AL15" s="21" t="s">
        <v>1612</v>
      </c>
      <c r="AM15" s="17">
        <v>0</v>
      </c>
      <c r="AN15" s="17">
        <v>6</v>
      </c>
      <c r="AO15" s="17">
        <v>3</v>
      </c>
      <c r="AP15" s="86">
        <v>1.5</v>
      </c>
      <c r="AQ15" s="17" t="s">
        <v>9</v>
      </c>
      <c r="AU15" s="335" t="s">
        <v>1794</v>
      </c>
      <c r="AV15" s="156" t="s">
        <v>298</v>
      </c>
      <c r="AW15" s="335" t="s">
        <v>1795</v>
      </c>
      <c r="AX15" s="161" t="s">
        <v>303</v>
      </c>
      <c r="AY15" s="331" t="s">
        <v>1795</v>
      </c>
      <c r="AZ15" s="331" t="s">
        <v>1794</v>
      </c>
      <c r="BA15" s="156"/>
      <c r="BB15" s="122" t="s">
        <v>1823</v>
      </c>
      <c r="BC15" s="220" t="s">
        <v>328</v>
      </c>
      <c r="BD15" s="122"/>
      <c r="BE15" s="122"/>
      <c r="BF15" s="221" t="s">
        <v>53</v>
      </c>
      <c r="BG15" s="43" t="str">
        <f t="shared" si="0"/>
        <v>CR-014-Offences Against Property</v>
      </c>
      <c r="BM15" s="215">
        <v>1400</v>
      </c>
      <c r="BN15" s="215" t="s">
        <v>328</v>
      </c>
      <c r="BO15" s="215" t="s">
        <v>1975</v>
      </c>
      <c r="BP15" s="215" t="s">
        <v>1976</v>
      </c>
      <c r="BR15" s="236">
        <f t="shared" si="4"/>
        <v>45261</v>
      </c>
      <c r="BS15" s="17">
        <v>14</v>
      </c>
      <c r="BT15" s="236">
        <f t="shared" si="4"/>
        <v>45261</v>
      </c>
      <c r="BU15" s="236">
        <f t="shared" si="5"/>
        <v>45323</v>
      </c>
      <c r="BV15" s="233" t="str">
        <f t="shared" si="2"/>
        <v>Y6-Q2</v>
      </c>
      <c r="BW15" s="17" t="str">
        <f t="shared" ref="BW15:BW18" si="9">"Y"&amp;BX15&amp;"-Q"&amp;BY15</f>
        <v>Y6-Q2</v>
      </c>
      <c r="BX15" s="17">
        <v>6</v>
      </c>
      <c r="BY15" s="17">
        <v>2</v>
      </c>
      <c r="CA15" s="16"/>
      <c r="CD15" s="43" t="s">
        <v>1570</v>
      </c>
      <c r="CE15" s="17">
        <v>1</v>
      </c>
      <c r="CF15" s="17">
        <v>1</v>
      </c>
      <c r="CG15" s="17">
        <v>1</v>
      </c>
      <c r="CH15" s="86">
        <v>-1</v>
      </c>
      <c r="CI15" s="17">
        <v>1</v>
      </c>
      <c r="CJ15" s="17">
        <v>1</v>
      </c>
    </row>
    <row r="16" spans="1:88" ht="47.25">
      <c r="A16" s="43" t="s">
        <v>1571</v>
      </c>
      <c r="B16" s="42" t="s">
        <v>54</v>
      </c>
      <c r="C16" s="43" t="s">
        <v>25</v>
      </c>
      <c r="E16" s="43" t="s">
        <v>1765</v>
      </c>
      <c r="F16" s="42" t="s">
        <v>93</v>
      </c>
      <c r="G16" s="43" t="s">
        <v>94</v>
      </c>
      <c r="R16" s="22" t="s">
        <v>158</v>
      </c>
      <c r="T16" s="24" t="s">
        <v>299</v>
      </c>
      <c r="AB16" s="215">
        <v>15</v>
      </c>
      <c r="AC16" s="35" t="s">
        <v>420</v>
      </c>
      <c r="AD16" s="33" t="s">
        <v>421</v>
      </c>
      <c r="AE16" s="37" t="str">
        <f t="shared" si="1"/>
        <v>PHC0107-67-1:Mr. Inamullah Khan</v>
      </c>
      <c r="AL16" s="21" t="s">
        <v>1620</v>
      </c>
      <c r="AM16" s="17">
        <v>0</v>
      </c>
      <c r="AN16" s="17">
        <v>12</v>
      </c>
      <c r="AO16" s="17">
        <v>6</v>
      </c>
      <c r="AP16" s="86">
        <v>3</v>
      </c>
      <c r="AQ16" s="17" t="s">
        <v>9</v>
      </c>
      <c r="AU16" s="335" t="s">
        <v>1794</v>
      </c>
      <c r="AV16" s="156" t="s">
        <v>298</v>
      </c>
      <c r="AW16" s="335" t="s">
        <v>1794</v>
      </c>
      <c r="AX16" s="161" t="s">
        <v>298</v>
      </c>
      <c r="AY16" s="331" t="s">
        <v>1794</v>
      </c>
      <c r="AZ16" s="331" t="s">
        <v>1794</v>
      </c>
      <c r="BA16" s="156"/>
      <c r="BB16" s="122" t="s">
        <v>1824</v>
      </c>
      <c r="BC16" s="220" t="s">
        <v>329</v>
      </c>
      <c r="BD16" s="122"/>
      <c r="BE16" s="122"/>
      <c r="BF16" s="221" t="s">
        <v>54</v>
      </c>
      <c r="BG16" s="43" t="str">
        <f t="shared" si="0"/>
        <v>CR-015-Sexual Offences</v>
      </c>
      <c r="BM16" s="215">
        <v>1500</v>
      </c>
      <c r="BN16" s="215" t="s">
        <v>329</v>
      </c>
      <c r="BO16" s="215" t="s">
        <v>1974</v>
      </c>
      <c r="BP16" s="215" t="s">
        <v>1975</v>
      </c>
      <c r="BR16" s="236">
        <f t="shared" si="4"/>
        <v>45352</v>
      </c>
      <c r="BS16" s="17">
        <v>15</v>
      </c>
      <c r="BT16" s="236">
        <f t="shared" si="4"/>
        <v>45352</v>
      </c>
      <c r="BU16" s="236">
        <f t="shared" si="5"/>
        <v>45413</v>
      </c>
      <c r="BV16" s="233" t="str">
        <f t="shared" si="2"/>
        <v>Y6-Q3</v>
      </c>
      <c r="BW16" s="17" t="str">
        <f t="shared" si="9"/>
        <v>Y6-Q3</v>
      </c>
      <c r="BX16" s="17">
        <v>6</v>
      </c>
      <c r="BY16" s="17">
        <v>3</v>
      </c>
      <c r="CA16" s="16"/>
      <c r="CD16" s="43" t="s">
        <v>1571</v>
      </c>
      <c r="CE16" s="17">
        <v>1</v>
      </c>
      <c r="CF16" s="17">
        <v>1</v>
      </c>
      <c r="CG16" s="17">
        <v>1</v>
      </c>
      <c r="CH16" s="86">
        <v>-1</v>
      </c>
      <c r="CI16" s="17">
        <v>1</v>
      </c>
      <c r="CJ16" s="17">
        <v>1</v>
      </c>
    </row>
    <row r="17" spans="1:88" ht="47.25">
      <c r="A17" s="43" t="s">
        <v>1572</v>
      </c>
      <c r="B17" s="42" t="s">
        <v>55</v>
      </c>
      <c r="C17" s="43" t="s">
        <v>26</v>
      </c>
      <c r="E17" s="43" t="s">
        <v>1766</v>
      </c>
      <c r="F17" s="42" t="s">
        <v>95</v>
      </c>
      <c r="G17" s="43" t="s">
        <v>31</v>
      </c>
      <c r="R17" s="22" t="s">
        <v>159</v>
      </c>
      <c r="T17" s="24" t="s">
        <v>300</v>
      </c>
      <c r="AB17" s="215">
        <v>16</v>
      </c>
      <c r="AC17" s="35" t="s">
        <v>422</v>
      </c>
      <c r="AD17" s="33" t="s">
        <v>423</v>
      </c>
      <c r="AE17" s="37" t="str">
        <f t="shared" si="1"/>
        <v>PHC0108-64-1:Mr. Muhammad Younis</v>
      </c>
      <c r="AU17" s="335" t="s">
        <v>1794</v>
      </c>
      <c r="AV17" s="156" t="s">
        <v>298</v>
      </c>
      <c r="AW17" s="335" t="s">
        <v>1796</v>
      </c>
      <c r="AX17" s="161" t="s">
        <v>299</v>
      </c>
      <c r="AY17" s="331" t="s">
        <v>1796</v>
      </c>
      <c r="AZ17" s="331" t="s">
        <v>1794</v>
      </c>
      <c r="BA17" s="156"/>
      <c r="BB17" s="122" t="s">
        <v>1825</v>
      </c>
      <c r="BC17" s="220" t="s">
        <v>330</v>
      </c>
      <c r="BD17" s="122"/>
      <c r="BE17" s="122"/>
      <c r="BF17" s="221" t="s">
        <v>55</v>
      </c>
      <c r="BG17" s="43" t="str">
        <f t="shared" si="0"/>
        <v>CR-016-Minor Offences</v>
      </c>
      <c r="BM17" s="215">
        <v>1600</v>
      </c>
      <c r="BN17" s="215" t="s">
        <v>330</v>
      </c>
      <c r="BO17" s="215" t="s">
        <v>1975</v>
      </c>
      <c r="BP17" s="215" t="s">
        <v>1975</v>
      </c>
      <c r="BR17" s="236">
        <f t="shared" si="4"/>
        <v>45444</v>
      </c>
      <c r="BS17" s="17">
        <v>16</v>
      </c>
      <c r="BT17" s="236">
        <f t="shared" si="4"/>
        <v>45444</v>
      </c>
      <c r="BU17" s="236">
        <f t="shared" si="5"/>
        <v>45505</v>
      </c>
      <c r="BV17" s="233" t="str">
        <f t="shared" si="2"/>
        <v>Y6-Q4</v>
      </c>
      <c r="BW17" s="17" t="str">
        <f t="shared" si="9"/>
        <v>Y6-Q4</v>
      </c>
      <c r="BX17" s="17">
        <v>6</v>
      </c>
      <c r="BY17" s="17">
        <v>4</v>
      </c>
      <c r="CA17" s="16"/>
      <c r="CD17" s="43" t="s">
        <v>1572</v>
      </c>
      <c r="CE17" s="17">
        <v>-1</v>
      </c>
      <c r="CF17" s="17">
        <v>1</v>
      </c>
      <c r="CG17" s="17">
        <v>1</v>
      </c>
      <c r="CH17" s="86">
        <v>-1</v>
      </c>
      <c r="CI17" s="17">
        <v>1</v>
      </c>
      <c r="CJ17" s="17">
        <v>1</v>
      </c>
    </row>
    <row r="18" spans="1:88" ht="78.75">
      <c r="A18" s="43" t="s">
        <v>1573</v>
      </c>
      <c r="B18" s="42" t="s">
        <v>56</v>
      </c>
      <c r="C18" s="43" t="s">
        <v>27</v>
      </c>
      <c r="E18" s="43" t="s">
        <v>1767</v>
      </c>
      <c r="F18" s="42" t="s">
        <v>96</v>
      </c>
      <c r="G18" s="43" t="s">
        <v>98</v>
      </c>
      <c r="H18" s="18"/>
      <c r="R18" s="22" t="s">
        <v>160</v>
      </c>
      <c r="T18" s="24" t="s">
        <v>301</v>
      </c>
      <c r="AB18" s="215">
        <v>17</v>
      </c>
      <c r="AC18" s="35" t="s">
        <v>424</v>
      </c>
      <c r="AD18" s="33" t="s">
        <v>425</v>
      </c>
      <c r="AE18" s="37" t="str">
        <f t="shared" si="1"/>
        <v>PHC0109-62-1:Mr. Muhammad Farhatullah Khan</v>
      </c>
      <c r="AU18" s="335" t="s">
        <v>1794</v>
      </c>
      <c r="AV18" s="156" t="s">
        <v>298</v>
      </c>
      <c r="AW18" s="335" t="s">
        <v>1797</v>
      </c>
      <c r="AX18" s="161" t="s">
        <v>300</v>
      </c>
      <c r="AY18" s="331" t="s">
        <v>1797</v>
      </c>
      <c r="AZ18" s="331" t="s">
        <v>1794</v>
      </c>
      <c r="BA18" s="156"/>
      <c r="BB18" s="122" t="s">
        <v>1827</v>
      </c>
      <c r="BC18" s="220" t="s">
        <v>332</v>
      </c>
      <c r="BD18" s="122"/>
      <c r="BE18" s="122"/>
      <c r="BF18" s="221" t="s">
        <v>56</v>
      </c>
      <c r="BG18" s="43" t="str">
        <f t="shared" si="0"/>
        <v>CR-017-Proceedings u/s 514 Cr. P.C</v>
      </c>
      <c r="BM18" s="215">
        <v>1700</v>
      </c>
      <c r="BN18" s="215" t="s">
        <v>332</v>
      </c>
      <c r="BO18" s="215" t="s">
        <v>1974</v>
      </c>
      <c r="BP18" s="215" t="s">
        <v>1975</v>
      </c>
      <c r="BR18" s="236">
        <f t="shared" si="4"/>
        <v>45536</v>
      </c>
      <c r="BS18" s="17">
        <v>17</v>
      </c>
      <c r="BT18" s="236">
        <f t="shared" si="4"/>
        <v>45536</v>
      </c>
      <c r="BU18" s="236">
        <f t="shared" si="5"/>
        <v>45597</v>
      </c>
      <c r="BV18" s="233" t="str">
        <f t="shared" si="2"/>
        <v>Y7-Q1</v>
      </c>
      <c r="BW18" s="17" t="str">
        <f t="shared" si="9"/>
        <v>Y7-Q1</v>
      </c>
      <c r="BX18" s="17">
        <v>7</v>
      </c>
      <c r="BY18" s="17">
        <v>1</v>
      </c>
      <c r="CD18" s="43" t="s">
        <v>1573</v>
      </c>
      <c r="CE18" s="17">
        <v>-1</v>
      </c>
      <c r="CF18" s="17">
        <v>-1</v>
      </c>
      <c r="CG18" s="17">
        <v>-1</v>
      </c>
      <c r="CH18" s="86">
        <v>-1</v>
      </c>
      <c r="CI18" s="17">
        <v>1</v>
      </c>
      <c r="CJ18" s="17">
        <v>1</v>
      </c>
    </row>
    <row r="19" spans="1:88" ht="126">
      <c r="A19" s="43" t="s">
        <v>1747</v>
      </c>
      <c r="B19" s="42" t="s">
        <v>57</v>
      </c>
      <c r="C19" s="43" t="s">
        <v>1746</v>
      </c>
      <c r="E19" s="43" t="s">
        <v>1745</v>
      </c>
      <c r="F19" s="42" t="s">
        <v>97</v>
      </c>
      <c r="G19" s="43" t="s">
        <v>1550</v>
      </c>
      <c r="H19" s="18"/>
      <c r="R19" s="22" t="s">
        <v>161</v>
      </c>
      <c r="T19" s="24" t="s">
        <v>302</v>
      </c>
      <c r="AB19" s="215">
        <v>18</v>
      </c>
      <c r="AC19" s="35" t="s">
        <v>426</v>
      </c>
      <c r="AD19" s="33" t="s">
        <v>427</v>
      </c>
      <c r="AE19" s="37" t="str">
        <f t="shared" si="1"/>
        <v>PHC0111-67-1:Mr. Muhammad Adil Khan</v>
      </c>
      <c r="AU19" s="335" t="s">
        <v>1794</v>
      </c>
      <c r="AV19" s="156" t="s">
        <v>298</v>
      </c>
      <c r="AW19" s="335" t="s">
        <v>1798</v>
      </c>
      <c r="AX19" s="161" t="s">
        <v>301</v>
      </c>
      <c r="AY19" s="331" t="s">
        <v>1798</v>
      </c>
      <c r="AZ19" s="331" t="s">
        <v>1794</v>
      </c>
      <c r="BA19" s="156"/>
      <c r="BB19" s="122" t="s">
        <v>1829</v>
      </c>
      <c r="BC19" s="220" t="s">
        <v>334</v>
      </c>
      <c r="BD19" s="122"/>
      <c r="BE19" s="122"/>
      <c r="BF19" s="221" t="s">
        <v>57</v>
      </c>
      <c r="BG19" s="43" t="str">
        <f t="shared" si="0"/>
        <v>CR-018-Proceedings Under Section 133 and 145 Cr. P.C</v>
      </c>
      <c r="BM19" s="215">
        <v>1800</v>
      </c>
      <c r="BN19" s="215" t="s">
        <v>334</v>
      </c>
      <c r="BO19" s="215" t="s">
        <v>1976</v>
      </c>
      <c r="BP19" s="215" t="s">
        <v>1976</v>
      </c>
      <c r="BR19" s="236">
        <f t="shared" si="4"/>
        <v>45627</v>
      </c>
      <c r="BS19" s="17">
        <v>18</v>
      </c>
      <c r="BT19" s="236">
        <f t="shared" si="4"/>
        <v>45627</v>
      </c>
      <c r="BU19" s="236">
        <f t="shared" si="5"/>
        <v>45689</v>
      </c>
      <c r="BV19" s="233" t="str">
        <f t="shared" si="2"/>
        <v>Y7-Q2</v>
      </c>
      <c r="BW19" s="17" t="str">
        <f t="shared" ref="BW19:BW22" si="10">"Y"&amp;BX19&amp;"-Q"&amp;BY19</f>
        <v>Y7-Q2</v>
      </c>
      <c r="BX19" s="17">
        <v>7</v>
      </c>
      <c r="BY19" s="17">
        <v>2</v>
      </c>
      <c r="CD19" s="43" t="s">
        <v>1747</v>
      </c>
      <c r="CE19" s="17">
        <v>1</v>
      </c>
      <c r="CF19" s="17">
        <v>1</v>
      </c>
      <c r="CG19" s="17">
        <v>-1</v>
      </c>
      <c r="CH19" s="86">
        <v>1</v>
      </c>
      <c r="CI19" s="17">
        <v>1</v>
      </c>
      <c r="CJ19" s="17">
        <v>1</v>
      </c>
    </row>
    <row r="20" spans="1:88" ht="78.75">
      <c r="A20" s="43" t="s">
        <v>1574</v>
      </c>
      <c r="B20" s="42" t="s">
        <v>58</v>
      </c>
      <c r="C20" s="43" t="s">
        <v>28</v>
      </c>
      <c r="E20" s="43" t="s">
        <v>1768</v>
      </c>
      <c r="F20" s="42" t="s">
        <v>99</v>
      </c>
      <c r="G20" s="43" t="s">
        <v>100</v>
      </c>
      <c r="R20" s="22" t="s">
        <v>162</v>
      </c>
      <c r="T20" s="24" t="s">
        <v>303</v>
      </c>
      <c r="AB20" s="215">
        <v>19</v>
      </c>
      <c r="AC20" s="35" t="s">
        <v>428</v>
      </c>
      <c r="AD20" s="33" t="s">
        <v>429</v>
      </c>
      <c r="AE20" s="37" t="str">
        <f t="shared" si="1"/>
        <v>PHC0112-68-1:Mr. Muhammad Asif Khan</v>
      </c>
      <c r="AU20" s="335" t="s">
        <v>1794</v>
      </c>
      <c r="AV20" s="156" t="s">
        <v>298</v>
      </c>
      <c r="AW20" s="335" t="s">
        <v>1799</v>
      </c>
      <c r="AX20" s="161" t="s">
        <v>302</v>
      </c>
      <c r="AY20" s="331" t="s">
        <v>1799</v>
      </c>
      <c r="AZ20" s="331" t="s">
        <v>1794</v>
      </c>
      <c r="BA20" s="156"/>
      <c r="BB20" s="122" t="s">
        <v>1831</v>
      </c>
      <c r="BC20" s="220" t="s">
        <v>336</v>
      </c>
      <c r="BD20" s="122"/>
      <c r="BE20" s="122"/>
      <c r="BF20" s="221" t="s">
        <v>58</v>
      </c>
      <c r="BG20" s="43" t="str">
        <f t="shared" si="0"/>
        <v>CR-019-Security Proceedings u/s 107/51</v>
      </c>
      <c r="BM20" s="215">
        <v>1900</v>
      </c>
      <c r="BN20" s="215" t="s">
        <v>336</v>
      </c>
      <c r="BO20" s="215" t="s">
        <v>1975</v>
      </c>
      <c r="BP20" s="215" t="s">
        <v>1975</v>
      </c>
      <c r="BR20" s="236">
        <f t="shared" si="4"/>
        <v>45717</v>
      </c>
      <c r="BS20" s="17">
        <v>19</v>
      </c>
      <c r="BT20" s="236">
        <f t="shared" si="4"/>
        <v>45717</v>
      </c>
      <c r="BU20" s="236">
        <f t="shared" si="5"/>
        <v>45778</v>
      </c>
      <c r="BV20" s="233" t="str">
        <f t="shared" si="2"/>
        <v>Y7-Q3</v>
      </c>
      <c r="BW20" s="17" t="str">
        <f t="shared" si="10"/>
        <v>Y7-Q3</v>
      </c>
      <c r="BX20" s="17">
        <v>7</v>
      </c>
      <c r="BY20" s="17">
        <v>3</v>
      </c>
      <c r="CD20" s="43" t="s">
        <v>1574</v>
      </c>
      <c r="CE20" s="17">
        <v>-1</v>
      </c>
      <c r="CF20" s="17">
        <v>1</v>
      </c>
      <c r="CG20" s="17">
        <v>1</v>
      </c>
      <c r="CH20" s="86">
        <v>1</v>
      </c>
      <c r="CI20" s="17">
        <v>1</v>
      </c>
      <c r="CJ20" s="17">
        <v>1</v>
      </c>
    </row>
    <row r="21" spans="1:88" ht="63">
      <c r="A21" s="43" t="s">
        <v>1575</v>
      </c>
      <c r="B21" s="42" t="s">
        <v>59</v>
      </c>
      <c r="C21" s="43" t="s">
        <v>29</v>
      </c>
      <c r="E21" s="43" t="s">
        <v>1769</v>
      </c>
      <c r="F21" s="42" t="s">
        <v>101</v>
      </c>
      <c r="G21" s="43" t="s">
        <v>102</v>
      </c>
      <c r="R21" s="22" t="s">
        <v>163</v>
      </c>
      <c r="T21" s="24" t="s">
        <v>304</v>
      </c>
      <c r="AB21" s="215">
        <v>20</v>
      </c>
      <c r="AC21" s="35" t="s">
        <v>430</v>
      </c>
      <c r="AD21" s="33" t="s">
        <v>431</v>
      </c>
      <c r="AE21" s="37" t="str">
        <f t="shared" si="1"/>
        <v>PHC0114-67-3:Mr. Rajab Ali</v>
      </c>
      <c r="AU21" s="335" t="s">
        <v>1800</v>
      </c>
      <c r="AV21" s="156" t="s">
        <v>304</v>
      </c>
      <c r="AW21" s="335" t="s">
        <v>1801</v>
      </c>
      <c r="AX21" s="161" t="s">
        <v>308</v>
      </c>
      <c r="AY21" s="331" t="s">
        <v>1801</v>
      </c>
      <c r="AZ21" s="331" t="s">
        <v>1800</v>
      </c>
      <c r="BA21" s="156"/>
      <c r="BB21" s="122" t="s">
        <v>1834</v>
      </c>
      <c r="BC21" s="220" t="s">
        <v>339</v>
      </c>
      <c r="BD21" s="122"/>
      <c r="BE21" s="122"/>
      <c r="BF21" s="221" t="s">
        <v>59</v>
      </c>
      <c r="BG21" s="43" t="str">
        <f t="shared" si="0"/>
        <v>CR-020-Bail Applications</v>
      </c>
      <c r="BM21" s="215">
        <v>2000</v>
      </c>
      <c r="BN21" s="215" t="s">
        <v>339</v>
      </c>
      <c r="BO21" s="215" t="s">
        <v>1974</v>
      </c>
      <c r="BP21" s="215" t="s">
        <v>1975</v>
      </c>
      <c r="BR21" s="240">
        <f t="shared" si="4"/>
        <v>45809</v>
      </c>
      <c r="BS21" s="239">
        <v>20</v>
      </c>
      <c r="BT21" s="240">
        <f t="shared" si="4"/>
        <v>45809</v>
      </c>
      <c r="BU21" s="240">
        <f t="shared" si="5"/>
        <v>45870</v>
      </c>
      <c r="BV21" s="239" t="str">
        <f t="shared" si="2"/>
        <v>Y7-Q4</v>
      </c>
      <c r="BW21" s="17" t="str">
        <f t="shared" si="10"/>
        <v>Y7-Q4</v>
      </c>
      <c r="BX21" s="17">
        <v>7</v>
      </c>
      <c r="BY21" s="17">
        <v>4</v>
      </c>
      <c r="CD21" s="43" t="s">
        <v>1575</v>
      </c>
      <c r="CE21" s="17">
        <v>-1</v>
      </c>
      <c r="CF21" s="17">
        <v>1</v>
      </c>
      <c r="CG21" s="17">
        <v>-1</v>
      </c>
      <c r="CH21" s="86">
        <v>1</v>
      </c>
      <c r="CI21" s="17">
        <v>1</v>
      </c>
      <c r="CJ21" s="17">
        <v>1</v>
      </c>
    </row>
    <row r="22" spans="1:88" ht="94.5">
      <c r="A22" s="43" t="s">
        <v>1576</v>
      </c>
      <c r="B22" s="42" t="s">
        <v>60</v>
      </c>
      <c r="C22" s="43" t="s">
        <v>1545</v>
      </c>
      <c r="E22" s="43" t="s">
        <v>1770</v>
      </c>
      <c r="F22" s="42" t="s">
        <v>103</v>
      </c>
      <c r="G22" s="43" t="s">
        <v>104</v>
      </c>
      <c r="R22" s="22" t="s">
        <v>164</v>
      </c>
      <c r="T22" s="24" t="s">
        <v>305</v>
      </c>
      <c r="AB22" s="215">
        <v>21</v>
      </c>
      <c r="AC22" s="35" t="s">
        <v>432</v>
      </c>
      <c r="AD22" s="33" t="s">
        <v>433</v>
      </c>
      <c r="AE22" s="37" t="str">
        <f t="shared" si="1"/>
        <v>PHC0116-65-3:Mr. Muhammad Iqbal Khan</v>
      </c>
      <c r="AU22" s="335" t="s">
        <v>1800</v>
      </c>
      <c r="AV22" s="156" t="s">
        <v>304</v>
      </c>
      <c r="AW22" s="335" t="s">
        <v>1802</v>
      </c>
      <c r="AX22" s="161" t="s">
        <v>307</v>
      </c>
      <c r="AY22" s="331" t="s">
        <v>1802</v>
      </c>
      <c r="AZ22" s="331" t="s">
        <v>1800</v>
      </c>
      <c r="BA22" s="156"/>
      <c r="BB22" s="122" t="s">
        <v>1836</v>
      </c>
      <c r="BC22" s="220" t="s">
        <v>341</v>
      </c>
      <c r="BD22" s="122"/>
      <c r="BE22" s="122"/>
      <c r="BF22" s="221" t="s">
        <v>60</v>
      </c>
      <c r="BG22" s="43" t="str">
        <f t="shared" si="0"/>
        <v>CR-021-Other Criminal Misc Applications</v>
      </c>
      <c r="BM22" s="215">
        <v>2100</v>
      </c>
      <c r="BN22" s="215" t="s">
        <v>341</v>
      </c>
      <c r="BO22" s="215" t="s">
        <v>1974</v>
      </c>
      <c r="BP22" s="215" t="s">
        <v>1974</v>
      </c>
      <c r="BR22" s="236">
        <f t="shared" si="4"/>
        <v>45901</v>
      </c>
      <c r="BS22" s="17">
        <v>21</v>
      </c>
      <c r="BT22" s="236">
        <f t="shared" si="4"/>
        <v>45901</v>
      </c>
      <c r="BU22" s="236">
        <f t="shared" si="5"/>
        <v>45962</v>
      </c>
      <c r="BV22" s="233" t="str">
        <f t="shared" si="2"/>
        <v>Y8-Q1</v>
      </c>
      <c r="BW22" s="17" t="str">
        <f t="shared" si="10"/>
        <v>Y8-Q1</v>
      </c>
      <c r="BX22" s="17">
        <v>8</v>
      </c>
      <c r="BY22" s="17">
        <v>1</v>
      </c>
      <c r="CD22" s="43" t="s">
        <v>1576</v>
      </c>
      <c r="CE22" s="17">
        <v>-1</v>
      </c>
      <c r="CF22" s="17">
        <v>1</v>
      </c>
      <c r="CG22" s="17">
        <v>-1</v>
      </c>
      <c r="CH22" s="86">
        <v>1</v>
      </c>
      <c r="CI22" s="17">
        <v>1</v>
      </c>
      <c r="CJ22" s="17">
        <v>1</v>
      </c>
    </row>
    <row r="23" spans="1:88" ht="157.5">
      <c r="A23" s="43" t="s">
        <v>1907</v>
      </c>
      <c r="B23" s="42" t="s">
        <v>61</v>
      </c>
      <c r="C23" s="43" t="s">
        <v>1908</v>
      </c>
      <c r="E23" s="43" t="s">
        <v>1771</v>
      </c>
      <c r="F23" s="42" t="s">
        <v>105</v>
      </c>
      <c r="G23" s="43" t="s">
        <v>106</v>
      </c>
      <c r="R23" s="22" t="s">
        <v>165</v>
      </c>
      <c r="T23" s="24" t="s">
        <v>306</v>
      </c>
      <c r="AB23" s="215">
        <v>22</v>
      </c>
      <c r="AC23" s="35" t="s">
        <v>434</v>
      </c>
      <c r="AD23" s="33" t="s">
        <v>435</v>
      </c>
      <c r="AE23" s="37" t="str">
        <f t="shared" si="1"/>
        <v>PHC0117-67-3:Mr. Nasrullah Khan Gandapur</v>
      </c>
      <c r="AU23" s="335" t="s">
        <v>1800</v>
      </c>
      <c r="AV23" s="156" t="s">
        <v>304</v>
      </c>
      <c r="AW23" s="335" t="s">
        <v>1800</v>
      </c>
      <c r="AX23" s="161" t="s">
        <v>304</v>
      </c>
      <c r="AY23" s="331" t="s">
        <v>1800</v>
      </c>
      <c r="AZ23" s="331" t="s">
        <v>1800</v>
      </c>
      <c r="BA23" s="156"/>
      <c r="BB23" s="122" t="s">
        <v>1839</v>
      </c>
      <c r="BC23" s="220" t="s">
        <v>344</v>
      </c>
      <c r="BF23" s="221" t="s">
        <v>61</v>
      </c>
      <c r="BG23" s="43" t="str">
        <f t="shared" si="0"/>
        <v>CR-022-Case under Forest Laws, Motor Vehicle Laws, Food Law</v>
      </c>
      <c r="BM23" s="215">
        <v>2200</v>
      </c>
      <c r="BN23" s="215" t="s">
        <v>344</v>
      </c>
      <c r="BO23" s="215" t="s">
        <v>1974</v>
      </c>
      <c r="BP23" s="215" t="s">
        <v>1975</v>
      </c>
      <c r="BR23" s="236">
        <f t="shared" si="4"/>
        <v>45992</v>
      </c>
      <c r="BS23" s="233">
        <v>22</v>
      </c>
      <c r="BT23" s="236">
        <f t="shared" si="4"/>
        <v>45992</v>
      </c>
      <c r="BU23" s="236">
        <f t="shared" si="5"/>
        <v>46054</v>
      </c>
      <c r="BV23" s="233" t="str">
        <f t="shared" si="2"/>
        <v>Y8-Q2</v>
      </c>
      <c r="BW23" s="17" t="str">
        <f t="shared" ref="BW23:BW61" si="11">"Y"&amp;BX23&amp;"-Q"&amp;BY23</f>
        <v>Y8-Q2</v>
      </c>
      <c r="BX23" s="17">
        <v>8</v>
      </c>
      <c r="BY23" s="17">
        <v>2</v>
      </c>
      <c r="CD23" s="43" t="s">
        <v>1907</v>
      </c>
      <c r="CE23" s="17">
        <v>-1</v>
      </c>
      <c r="CF23" s="17">
        <v>1</v>
      </c>
      <c r="CG23" s="17">
        <v>1</v>
      </c>
      <c r="CH23" s="86">
        <v>-1</v>
      </c>
      <c r="CI23" s="17">
        <v>1</v>
      </c>
      <c r="CJ23" s="17">
        <v>1</v>
      </c>
    </row>
    <row r="24" spans="1:88" ht="94.5">
      <c r="A24" s="43" t="s">
        <v>1577</v>
      </c>
      <c r="B24" s="42" t="s">
        <v>62</v>
      </c>
      <c r="C24" s="43" t="s">
        <v>30</v>
      </c>
      <c r="E24" s="43" t="s">
        <v>1773</v>
      </c>
      <c r="F24" s="42" t="s">
        <v>1748</v>
      </c>
      <c r="G24" s="43" t="s">
        <v>1772</v>
      </c>
      <c r="R24" s="22" t="s">
        <v>166</v>
      </c>
      <c r="T24" s="24" t="s">
        <v>307</v>
      </c>
      <c r="AB24" s="215">
        <v>23</v>
      </c>
      <c r="AC24" s="35" t="s">
        <v>436</v>
      </c>
      <c r="AD24" s="33" t="s">
        <v>437</v>
      </c>
      <c r="AE24" s="37" t="str">
        <f t="shared" si="1"/>
        <v>PHC0118-66-3:Mr. Ikhtiar Khan</v>
      </c>
      <c r="AU24" s="335" t="s">
        <v>1800</v>
      </c>
      <c r="AV24" s="156" t="s">
        <v>304</v>
      </c>
      <c r="AW24" s="335" t="s">
        <v>1803</v>
      </c>
      <c r="AX24" s="161" t="s">
        <v>306</v>
      </c>
      <c r="AY24" s="331" t="s">
        <v>1803</v>
      </c>
      <c r="AZ24" s="331" t="s">
        <v>1800</v>
      </c>
      <c r="BA24" s="156"/>
      <c r="BB24" s="122" t="s">
        <v>1842</v>
      </c>
      <c r="BC24" s="220" t="s">
        <v>347</v>
      </c>
      <c r="BF24" s="221" t="s">
        <v>62</v>
      </c>
      <c r="BG24" s="43" t="str">
        <f t="shared" si="0"/>
        <v>CR-023-Other Local and Special Laws</v>
      </c>
      <c r="BM24" s="215">
        <v>2300</v>
      </c>
      <c r="BN24" s="215" t="s">
        <v>347</v>
      </c>
      <c r="BO24" s="215" t="s">
        <v>1976</v>
      </c>
      <c r="BP24" s="215" t="s">
        <v>1976</v>
      </c>
      <c r="BR24" s="236">
        <f t="shared" si="4"/>
        <v>46082</v>
      </c>
      <c r="BS24" s="17">
        <v>23</v>
      </c>
      <c r="BT24" s="236">
        <f t="shared" si="4"/>
        <v>46082</v>
      </c>
      <c r="BU24" s="236">
        <f t="shared" si="5"/>
        <v>46143</v>
      </c>
      <c r="BV24" s="233" t="str">
        <f t="shared" si="2"/>
        <v>Y8-Q3</v>
      </c>
      <c r="BW24" s="17" t="str">
        <f t="shared" si="11"/>
        <v>Y8-Q3</v>
      </c>
      <c r="BX24" s="17">
        <v>8</v>
      </c>
      <c r="BY24" s="17">
        <v>3</v>
      </c>
      <c r="CD24" s="43" t="s">
        <v>1577</v>
      </c>
      <c r="CE24" s="17">
        <v>1</v>
      </c>
      <c r="CF24" s="17">
        <v>1</v>
      </c>
      <c r="CG24" s="17">
        <v>1</v>
      </c>
      <c r="CH24" s="86">
        <v>1</v>
      </c>
      <c r="CI24" s="17">
        <v>1</v>
      </c>
      <c r="CJ24" s="17">
        <v>1</v>
      </c>
    </row>
    <row r="25" spans="1:88" ht="78.75">
      <c r="A25" s="43" t="s">
        <v>1578</v>
      </c>
      <c r="B25" s="42" t="s">
        <v>63</v>
      </c>
      <c r="C25" s="43" t="s">
        <v>31</v>
      </c>
      <c r="E25" s="43" t="s">
        <v>1774</v>
      </c>
      <c r="F25" s="42" t="s">
        <v>1749</v>
      </c>
      <c r="G25" s="43" t="s">
        <v>107</v>
      </c>
      <c r="R25" s="22" t="s">
        <v>167</v>
      </c>
      <c r="T25" s="24" t="s">
        <v>308</v>
      </c>
      <c r="AB25" s="215">
        <v>24</v>
      </c>
      <c r="AC25" s="35" t="s">
        <v>438</v>
      </c>
      <c r="AD25" s="33" t="s">
        <v>439</v>
      </c>
      <c r="AE25" s="37" t="str">
        <f t="shared" si="1"/>
        <v>PHC0119-62-3:Mr. Naveed Ahmad Khan</v>
      </c>
      <c r="AU25" s="335" t="s">
        <v>1800</v>
      </c>
      <c r="AV25" s="156" t="s">
        <v>304</v>
      </c>
      <c r="AW25" s="335" t="s">
        <v>1804</v>
      </c>
      <c r="AX25" s="161" t="s">
        <v>305</v>
      </c>
      <c r="AY25" s="331" t="s">
        <v>1804</v>
      </c>
      <c r="AZ25" s="331" t="s">
        <v>1800</v>
      </c>
      <c r="BA25" s="156"/>
      <c r="BB25" s="122" t="s">
        <v>1844</v>
      </c>
      <c r="BC25" s="220" t="s">
        <v>349</v>
      </c>
      <c r="BD25" s="122"/>
      <c r="BE25" s="122"/>
      <c r="BF25" s="221" t="s">
        <v>63</v>
      </c>
      <c r="BG25" s="43" t="str">
        <f t="shared" si="0"/>
        <v>CR-024-Cases under other laws</v>
      </c>
      <c r="BM25" s="215">
        <v>2400</v>
      </c>
      <c r="BN25" s="215" t="s">
        <v>349</v>
      </c>
      <c r="BO25" s="215" t="s">
        <v>1976</v>
      </c>
      <c r="BP25" s="215" t="s">
        <v>1976</v>
      </c>
      <c r="BR25" s="236">
        <f t="shared" si="4"/>
        <v>46174</v>
      </c>
      <c r="BS25" s="17">
        <v>24</v>
      </c>
      <c r="BT25" s="236">
        <f t="shared" si="4"/>
        <v>46174</v>
      </c>
      <c r="BU25" s="236">
        <f t="shared" si="5"/>
        <v>46235</v>
      </c>
      <c r="BV25" s="233" t="str">
        <f t="shared" si="2"/>
        <v>Y8-Q4</v>
      </c>
      <c r="BW25" s="17" t="str">
        <f t="shared" si="11"/>
        <v>Y8-Q4</v>
      </c>
      <c r="BX25" s="17">
        <v>8</v>
      </c>
      <c r="BY25" s="17">
        <v>4</v>
      </c>
      <c r="CD25" s="43" t="s">
        <v>1578</v>
      </c>
      <c r="CE25" s="17">
        <v>1</v>
      </c>
      <c r="CF25" s="17">
        <v>1</v>
      </c>
      <c r="CG25" s="17">
        <v>1</v>
      </c>
      <c r="CH25" s="86">
        <v>1</v>
      </c>
      <c r="CI25" s="17">
        <v>1</v>
      </c>
      <c r="CJ25" s="17">
        <v>1</v>
      </c>
    </row>
    <row r="26" spans="1:88" ht="47.25">
      <c r="A26" s="43" t="s">
        <v>1579</v>
      </c>
      <c r="B26" s="42" t="s">
        <v>64</v>
      </c>
      <c r="C26" s="43" t="s">
        <v>32</v>
      </c>
      <c r="E26" s="43" t="s">
        <v>1775</v>
      </c>
      <c r="F26" s="42" t="s">
        <v>1750</v>
      </c>
      <c r="G26" s="43" t="s">
        <v>108</v>
      </c>
      <c r="R26" s="22" t="s">
        <v>168</v>
      </c>
      <c r="T26" s="24" t="s">
        <v>309</v>
      </c>
      <c r="AB26" s="215">
        <v>25</v>
      </c>
      <c r="AC26" s="35" t="s">
        <v>440</v>
      </c>
      <c r="AD26" s="33" t="s">
        <v>441</v>
      </c>
      <c r="AE26" s="37" t="str">
        <f t="shared" si="1"/>
        <v>PHC0121-62-3:Mr. Ahmad Sultan Tareen</v>
      </c>
      <c r="AU26" s="335" t="s">
        <v>1805</v>
      </c>
      <c r="AV26" s="156" t="s">
        <v>1806</v>
      </c>
      <c r="AW26" s="335" t="s">
        <v>1807</v>
      </c>
      <c r="AX26" s="161" t="s">
        <v>313</v>
      </c>
      <c r="AY26" s="331" t="s">
        <v>1807</v>
      </c>
      <c r="AZ26" s="331" t="s">
        <v>1805</v>
      </c>
      <c r="BA26" s="156"/>
      <c r="BB26" s="122" t="s">
        <v>1848</v>
      </c>
      <c r="BC26" s="220" t="s">
        <v>350</v>
      </c>
      <c r="BD26" s="122"/>
      <c r="BE26" s="122"/>
      <c r="BF26" s="221" t="s">
        <v>64</v>
      </c>
      <c r="BG26" s="43" t="str">
        <f t="shared" si="0"/>
        <v>CR-025-Criminal Appeals</v>
      </c>
      <c r="BM26" s="215">
        <v>2500</v>
      </c>
      <c r="BN26" s="215" t="s">
        <v>350</v>
      </c>
      <c r="BO26" s="215" t="s">
        <v>1976</v>
      </c>
      <c r="BP26" s="215" t="s">
        <v>1976</v>
      </c>
      <c r="BR26" s="236">
        <f t="shared" si="4"/>
        <v>46266</v>
      </c>
      <c r="BS26" s="17">
        <v>25</v>
      </c>
      <c r="BT26" s="236">
        <f t="shared" si="4"/>
        <v>46266</v>
      </c>
      <c r="BU26" s="236">
        <f t="shared" si="5"/>
        <v>46327</v>
      </c>
      <c r="BV26" s="233" t="str">
        <f t="shared" si="2"/>
        <v>Y9-Q1</v>
      </c>
      <c r="BW26" s="17" t="str">
        <f t="shared" si="11"/>
        <v>Y9-Q1</v>
      </c>
      <c r="BX26" s="17">
        <v>9</v>
      </c>
      <c r="BY26" s="17">
        <v>1</v>
      </c>
      <c r="CD26" s="43" t="s">
        <v>1579</v>
      </c>
      <c r="CE26" s="17">
        <v>1</v>
      </c>
      <c r="CF26" s="17">
        <v>1</v>
      </c>
      <c r="CG26" s="17">
        <v>1</v>
      </c>
      <c r="CH26" s="86">
        <v>1</v>
      </c>
      <c r="CI26" s="17">
        <v>1</v>
      </c>
      <c r="CJ26" s="17">
        <v>1</v>
      </c>
    </row>
    <row r="27" spans="1:88" ht="47.25">
      <c r="A27" s="43" t="s">
        <v>1580</v>
      </c>
      <c r="B27" s="42" t="s">
        <v>65</v>
      </c>
      <c r="C27" s="43" t="s">
        <v>33</v>
      </c>
      <c r="E27" s="43" t="s">
        <v>1776</v>
      </c>
      <c r="F27" s="42" t="s">
        <v>1751</v>
      </c>
      <c r="G27" s="43" t="s">
        <v>109</v>
      </c>
      <c r="R27" s="22" t="s">
        <v>169</v>
      </c>
      <c r="T27" s="24" t="s">
        <v>310</v>
      </c>
      <c r="AB27" s="215">
        <v>26</v>
      </c>
      <c r="AC27" s="35" t="s">
        <v>442</v>
      </c>
      <c r="AD27" s="33" t="s">
        <v>443</v>
      </c>
      <c r="AE27" s="37" t="str">
        <f t="shared" si="1"/>
        <v>PHC0122-66-3:Mr. Gohar Rehman</v>
      </c>
      <c r="AU27" s="335" t="s">
        <v>1805</v>
      </c>
      <c r="AV27" s="156" t="s">
        <v>1806</v>
      </c>
      <c r="AW27" s="335" t="s">
        <v>1805</v>
      </c>
      <c r="AX27" s="161" t="s">
        <v>309</v>
      </c>
      <c r="AY27" s="331" t="s">
        <v>1805</v>
      </c>
      <c r="AZ27" s="331" t="s">
        <v>1805</v>
      </c>
      <c r="BA27" s="156"/>
      <c r="BB27" s="122" t="s">
        <v>1849</v>
      </c>
      <c r="BC27" s="220" t="s">
        <v>352</v>
      </c>
      <c r="BF27" s="221" t="s">
        <v>65</v>
      </c>
      <c r="BG27" s="43" t="str">
        <f t="shared" si="0"/>
        <v>CR-026-Criminal Revisions</v>
      </c>
      <c r="BM27" s="215">
        <v>2600</v>
      </c>
      <c r="BN27" s="215" t="s">
        <v>352</v>
      </c>
      <c r="BO27" s="215" t="s">
        <v>1976</v>
      </c>
      <c r="BP27" s="215" t="s">
        <v>1976</v>
      </c>
      <c r="BR27" s="236">
        <f t="shared" si="4"/>
        <v>46357</v>
      </c>
      <c r="BS27" s="17">
        <v>26</v>
      </c>
      <c r="BT27" s="236">
        <f t="shared" si="4"/>
        <v>46357</v>
      </c>
      <c r="BU27" s="236">
        <f t="shared" si="5"/>
        <v>46419</v>
      </c>
      <c r="BV27" s="233" t="str">
        <f t="shared" si="2"/>
        <v>Y9-Q2</v>
      </c>
      <c r="BW27" s="17" t="str">
        <f t="shared" si="11"/>
        <v>Y9-Q2</v>
      </c>
      <c r="BX27" s="17">
        <v>9</v>
      </c>
      <c r="BY27" s="17">
        <v>2</v>
      </c>
      <c r="CD27" s="43" t="s">
        <v>1580</v>
      </c>
      <c r="CE27" s="17">
        <v>1</v>
      </c>
      <c r="CF27" s="17">
        <v>1</v>
      </c>
      <c r="CG27" s="17">
        <v>1</v>
      </c>
      <c r="CH27" s="86">
        <v>1</v>
      </c>
      <c r="CI27" s="17">
        <v>1</v>
      </c>
      <c r="CJ27" s="17">
        <v>1</v>
      </c>
    </row>
    <row r="28" spans="1:88" ht="141.75">
      <c r="A28" s="43" t="s">
        <v>1868</v>
      </c>
      <c r="B28" s="42" t="s">
        <v>1870</v>
      </c>
      <c r="C28" s="43" t="s">
        <v>1869</v>
      </c>
      <c r="E28" s="43" t="s">
        <v>1871</v>
      </c>
      <c r="F28" s="42" t="s">
        <v>1873</v>
      </c>
      <c r="G28" s="43" t="s">
        <v>1872</v>
      </c>
      <c r="R28" s="22" t="s">
        <v>170</v>
      </c>
      <c r="T28" s="24" t="s">
        <v>311</v>
      </c>
      <c r="AB28" s="215">
        <v>27</v>
      </c>
      <c r="AC28" s="35" t="s">
        <v>444</v>
      </c>
      <c r="AD28" s="33" t="s">
        <v>445</v>
      </c>
      <c r="AE28" s="37" t="str">
        <f t="shared" si="1"/>
        <v>PHC0127-66-3:Mr. Sajjad Ahmad</v>
      </c>
      <c r="AU28" s="335" t="s">
        <v>1805</v>
      </c>
      <c r="AV28" s="156" t="s">
        <v>1806</v>
      </c>
      <c r="AW28" s="335" t="s">
        <v>1808</v>
      </c>
      <c r="AX28" s="161" t="s">
        <v>310</v>
      </c>
      <c r="AY28" s="331" t="s">
        <v>1808</v>
      </c>
      <c r="AZ28" s="331" t="s">
        <v>1805</v>
      </c>
      <c r="BA28" s="156"/>
      <c r="BB28" s="122" t="s">
        <v>1850</v>
      </c>
      <c r="BC28" s="220" t="s">
        <v>1851</v>
      </c>
      <c r="BF28" s="221" t="s">
        <v>1870</v>
      </c>
      <c r="BG28" s="43" t="str">
        <f t="shared" si="0"/>
        <v>CR-027-Other PPC related cases(Not Listed in above Categories)</v>
      </c>
      <c r="BM28" s="215">
        <v>2700</v>
      </c>
      <c r="BN28" s="215" t="s">
        <v>1851</v>
      </c>
      <c r="BO28" s="215" t="s">
        <v>1976</v>
      </c>
      <c r="BP28" s="215" t="s">
        <v>1976</v>
      </c>
      <c r="BR28" s="236">
        <f t="shared" si="4"/>
        <v>46447</v>
      </c>
      <c r="BS28" s="17">
        <v>27</v>
      </c>
      <c r="BT28" s="236">
        <f t="shared" si="4"/>
        <v>46447</v>
      </c>
      <c r="BU28" s="236">
        <f t="shared" si="5"/>
        <v>46508</v>
      </c>
      <c r="BV28" s="233" t="str">
        <f t="shared" si="2"/>
        <v>Y9-Q3</v>
      </c>
      <c r="BW28" s="17" t="str">
        <f t="shared" si="11"/>
        <v>Y9-Q3</v>
      </c>
      <c r="BX28" s="17">
        <v>9</v>
      </c>
      <c r="BY28" s="17">
        <v>3</v>
      </c>
      <c r="CD28" s="43" t="s">
        <v>1868</v>
      </c>
      <c r="CE28" s="17">
        <v>1</v>
      </c>
      <c r="CF28" s="17">
        <v>1</v>
      </c>
      <c r="CG28" s="17">
        <v>1</v>
      </c>
      <c r="CH28" s="86">
        <v>-1</v>
      </c>
      <c r="CI28" s="17">
        <v>1</v>
      </c>
      <c r="CJ28" s="17">
        <v>1</v>
      </c>
    </row>
    <row r="29" spans="1:88" ht="78.75">
      <c r="A29" s="43" t="s">
        <v>1880</v>
      </c>
      <c r="B29" s="42" t="s">
        <v>1877</v>
      </c>
      <c r="C29" s="43" t="s">
        <v>1881</v>
      </c>
      <c r="E29" s="43" t="s">
        <v>1883</v>
      </c>
      <c r="F29" s="42" t="s">
        <v>1882</v>
      </c>
      <c r="G29" s="43" t="s">
        <v>1884</v>
      </c>
      <c r="R29" s="22" t="s">
        <v>171</v>
      </c>
      <c r="T29" s="24" t="s">
        <v>312</v>
      </c>
      <c r="AB29" s="215">
        <v>28</v>
      </c>
      <c r="AC29" s="35" t="s">
        <v>446</v>
      </c>
      <c r="AD29" s="33" t="s">
        <v>447</v>
      </c>
      <c r="AE29" s="37" t="str">
        <f t="shared" si="1"/>
        <v>PHC0128-65-3:Mr. Muzzamil Shah Khattak</v>
      </c>
      <c r="AU29" s="335" t="s">
        <v>1805</v>
      </c>
      <c r="AV29" s="156" t="s">
        <v>1806</v>
      </c>
      <c r="AW29" s="335" t="s">
        <v>1809</v>
      </c>
      <c r="AX29" s="161" t="s">
        <v>311</v>
      </c>
      <c r="AY29" s="331" t="s">
        <v>1809</v>
      </c>
      <c r="AZ29" s="331" t="s">
        <v>1805</v>
      </c>
      <c r="BA29" s="156"/>
      <c r="BB29" s="122" t="s">
        <v>1852</v>
      </c>
      <c r="BC29" s="220" t="s">
        <v>354</v>
      </c>
      <c r="BD29" s="122"/>
      <c r="BE29" s="122"/>
      <c r="BF29" s="221" t="s">
        <v>1877</v>
      </c>
      <c r="BG29" s="43" t="str">
        <f t="shared" si="0"/>
        <v>CR-028-Financial Crimes-489-F PPC</v>
      </c>
      <c r="BM29" s="215">
        <v>2800</v>
      </c>
      <c r="BN29" s="215" t="s">
        <v>354</v>
      </c>
      <c r="BO29" s="215" t="s">
        <v>1976</v>
      </c>
      <c r="BP29" s="215" t="s">
        <v>1976</v>
      </c>
      <c r="BR29" s="236">
        <f t="shared" si="4"/>
        <v>46539</v>
      </c>
      <c r="BS29" s="17">
        <v>28</v>
      </c>
      <c r="BT29" s="236">
        <f t="shared" si="4"/>
        <v>46539</v>
      </c>
      <c r="BU29" s="236">
        <f t="shared" si="5"/>
        <v>46600</v>
      </c>
      <c r="BV29" s="233" t="str">
        <f t="shared" si="2"/>
        <v>Y9-Q4</v>
      </c>
      <c r="BW29" s="17" t="str">
        <f t="shared" si="11"/>
        <v>Y9-Q4</v>
      </c>
      <c r="BX29" s="17">
        <v>9</v>
      </c>
      <c r="BY29" s="17">
        <v>4</v>
      </c>
      <c r="CD29" s="43" t="s">
        <v>1880</v>
      </c>
      <c r="CE29" s="17">
        <v>1</v>
      </c>
      <c r="CF29" s="17">
        <v>1</v>
      </c>
      <c r="CG29" s="17">
        <v>1</v>
      </c>
      <c r="CH29" s="86">
        <v>-1</v>
      </c>
      <c r="CI29" s="17">
        <v>1</v>
      </c>
      <c r="CJ29" s="17">
        <v>1</v>
      </c>
    </row>
    <row r="30" spans="1:88" ht="94.5">
      <c r="B30" s="167"/>
      <c r="E30" s="265" t="s">
        <v>2012</v>
      </c>
      <c r="F30" s="42" t="s">
        <v>2010</v>
      </c>
      <c r="G30" s="43" t="s">
        <v>2011</v>
      </c>
      <c r="R30" s="22" t="s">
        <v>172</v>
      </c>
      <c r="T30" s="24" t="s">
        <v>313</v>
      </c>
      <c r="AB30" s="215">
        <v>29</v>
      </c>
      <c r="AC30" s="35" t="s">
        <v>448</v>
      </c>
      <c r="AD30" s="33" t="s">
        <v>449</v>
      </c>
      <c r="AE30" s="37" t="str">
        <f t="shared" si="1"/>
        <v>PHC0129-62-3:Mr. Liaqat Ali Khan Marwat</v>
      </c>
      <c r="AU30" s="335" t="s">
        <v>1805</v>
      </c>
      <c r="AV30" s="156" t="s">
        <v>1806</v>
      </c>
      <c r="AW30" s="335" t="s">
        <v>1810</v>
      </c>
      <c r="AX30" s="161" t="s">
        <v>312</v>
      </c>
      <c r="AY30" s="331" t="s">
        <v>1810</v>
      </c>
      <c r="AZ30" s="331" t="s">
        <v>1805</v>
      </c>
      <c r="BA30" s="156"/>
      <c r="BB30" s="122" t="s">
        <v>1853</v>
      </c>
      <c r="BC30" s="220" t="s">
        <v>355</v>
      </c>
      <c r="BF30" s="221" t="s">
        <v>66</v>
      </c>
      <c r="BG30" s="43" t="str">
        <f t="shared" ref="BG30:BG57" si="12">E2</f>
        <v>Civil-001-Civil Suits (Original Jurisdiction)</v>
      </c>
      <c r="BM30" s="215">
        <v>2900</v>
      </c>
      <c r="BN30" s="215" t="s">
        <v>355</v>
      </c>
      <c r="BO30" s="215" t="s">
        <v>1976</v>
      </c>
      <c r="BP30" s="215" t="s">
        <v>1976</v>
      </c>
      <c r="BR30" s="236">
        <f t="shared" si="4"/>
        <v>46631</v>
      </c>
      <c r="BS30" s="17">
        <v>29</v>
      </c>
      <c r="BT30" s="236">
        <f t="shared" si="4"/>
        <v>46631</v>
      </c>
      <c r="BU30" s="236">
        <f t="shared" si="5"/>
        <v>46692</v>
      </c>
      <c r="BV30" s="233" t="str">
        <f t="shared" si="2"/>
        <v>Y10-Q1</v>
      </c>
      <c r="BW30" s="17" t="str">
        <f t="shared" si="11"/>
        <v>Y10-Q1</v>
      </c>
      <c r="BX30" s="17">
        <v>10</v>
      </c>
      <c r="BY30" s="17">
        <v>1</v>
      </c>
      <c r="CD30" s="43" t="s">
        <v>1752</v>
      </c>
      <c r="CE30" s="17">
        <v>1</v>
      </c>
      <c r="CF30" s="17">
        <v>1</v>
      </c>
      <c r="CG30" s="17">
        <v>-1</v>
      </c>
      <c r="CH30" s="86">
        <v>1</v>
      </c>
      <c r="CI30" s="17">
        <v>1</v>
      </c>
      <c r="CJ30" s="17">
        <v>1</v>
      </c>
    </row>
    <row r="31" spans="1:88" ht="31.5">
      <c r="R31" s="22" t="s">
        <v>173</v>
      </c>
      <c r="T31" s="24" t="s">
        <v>314</v>
      </c>
      <c r="AB31" s="215">
        <v>30</v>
      </c>
      <c r="AC31" s="35" t="s">
        <v>450</v>
      </c>
      <c r="AD31" s="33" t="s">
        <v>451</v>
      </c>
      <c r="AE31" s="37" t="str">
        <f t="shared" si="1"/>
        <v>PHC0131-66-3:Mr. Badruddin</v>
      </c>
      <c r="AU31" s="335" t="s">
        <v>1811</v>
      </c>
      <c r="AV31" s="156" t="s">
        <v>314</v>
      </c>
      <c r="AW31" s="335" t="s">
        <v>1812</v>
      </c>
      <c r="AX31" s="161" t="s">
        <v>316</v>
      </c>
      <c r="AY31" s="331" t="s">
        <v>1812</v>
      </c>
      <c r="AZ31" s="331" t="s">
        <v>1811</v>
      </c>
      <c r="BA31" s="156"/>
      <c r="BB31" s="122" t="s">
        <v>1854</v>
      </c>
      <c r="BC31" s="220" t="s">
        <v>356</v>
      </c>
      <c r="BF31" s="221" t="s">
        <v>68</v>
      </c>
      <c r="BG31" s="43" t="str">
        <f t="shared" si="12"/>
        <v>Civil-002-Civil Suit</v>
      </c>
      <c r="BM31" s="215">
        <v>3000</v>
      </c>
      <c r="BN31" s="215" t="s">
        <v>356</v>
      </c>
      <c r="BO31" s="215" t="s">
        <v>1976</v>
      </c>
      <c r="BP31" s="215" t="s">
        <v>1976</v>
      </c>
      <c r="BR31" s="236">
        <f t="shared" si="4"/>
        <v>46722</v>
      </c>
      <c r="BS31" s="17">
        <v>30</v>
      </c>
      <c r="BT31" s="236">
        <f t="shared" si="4"/>
        <v>46722</v>
      </c>
      <c r="BU31" s="236">
        <f t="shared" si="5"/>
        <v>46784</v>
      </c>
      <c r="BV31" s="233" t="str">
        <f t="shared" si="2"/>
        <v>Y10-Q2</v>
      </c>
      <c r="BW31" s="17" t="str">
        <f t="shared" si="11"/>
        <v>Y10-Q2</v>
      </c>
      <c r="BX31" s="17">
        <v>10</v>
      </c>
      <c r="BY31" s="17">
        <v>2</v>
      </c>
      <c r="CD31" s="43" t="s">
        <v>1753</v>
      </c>
      <c r="CE31" s="17">
        <v>1</v>
      </c>
      <c r="CF31" s="17">
        <v>1</v>
      </c>
      <c r="CG31" s="17">
        <v>-1</v>
      </c>
      <c r="CH31" s="86">
        <v>1</v>
      </c>
      <c r="CI31" s="17">
        <v>1</v>
      </c>
      <c r="CJ31" s="17">
        <v>1</v>
      </c>
    </row>
    <row r="32" spans="1:88" ht="78.75">
      <c r="R32" s="22" t="s">
        <v>174</v>
      </c>
      <c r="T32" s="24" t="s">
        <v>315</v>
      </c>
      <c r="AB32" s="215">
        <v>31</v>
      </c>
      <c r="AC32" s="35" t="s">
        <v>452</v>
      </c>
      <c r="AD32" s="33" t="s">
        <v>453</v>
      </c>
      <c r="AE32" s="37" t="str">
        <f t="shared" si="1"/>
        <v>PHC0133-67-3:Mr. Salahuddin</v>
      </c>
      <c r="AU32" s="335" t="s">
        <v>1811</v>
      </c>
      <c r="AV32" s="156" t="s">
        <v>314</v>
      </c>
      <c r="AW32" s="335" t="s">
        <v>1811</v>
      </c>
      <c r="AX32" s="161" t="s">
        <v>314</v>
      </c>
      <c r="AY32" s="331" t="s">
        <v>1811</v>
      </c>
      <c r="AZ32" s="331" t="s">
        <v>1811</v>
      </c>
      <c r="BA32" s="156"/>
      <c r="BB32" s="122" t="s">
        <v>1855</v>
      </c>
      <c r="BC32" s="220" t="s">
        <v>357</v>
      </c>
      <c r="BD32" s="122"/>
      <c r="BE32" s="122"/>
      <c r="BF32" s="221" t="s">
        <v>70</v>
      </c>
      <c r="BG32" s="43" t="str">
        <f t="shared" si="12"/>
        <v>Civil-003-Suits under Order 37 CPC</v>
      </c>
      <c r="BM32" s="215">
        <v>3100</v>
      </c>
      <c r="BN32" s="215" t="s">
        <v>357</v>
      </c>
      <c r="BO32" s="215" t="s">
        <v>1976</v>
      </c>
      <c r="BP32" s="215" t="s">
        <v>1976</v>
      </c>
      <c r="BR32" s="236">
        <f t="shared" si="4"/>
        <v>46813</v>
      </c>
      <c r="BS32" s="17">
        <v>31</v>
      </c>
      <c r="BT32" s="236">
        <f t="shared" si="4"/>
        <v>46813</v>
      </c>
      <c r="BU32" s="236">
        <f t="shared" si="5"/>
        <v>46874</v>
      </c>
      <c r="BV32" s="233" t="str">
        <f t="shared" si="2"/>
        <v>Y10-Q3</v>
      </c>
      <c r="BW32" s="17" t="str">
        <f t="shared" si="11"/>
        <v>Y10-Q3</v>
      </c>
      <c r="BX32" s="17">
        <v>10</v>
      </c>
      <c r="BY32" s="17">
        <v>3</v>
      </c>
      <c r="CD32" s="43" t="s">
        <v>1754</v>
      </c>
      <c r="CE32" s="17">
        <v>1</v>
      </c>
      <c r="CF32" s="17">
        <v>1</v>
      </c>
      <c r="CG32" s="17">
        <v>-1</v>
      </c>
      <c r="CH32" s="86">
        <v>1</v>
      </c>
      <c r="CI32" s="17">
        <v>1</v>
      </c>
      <c r="CJ32" s="17">
        <v>1</v>
      </c>
    </row>
    <row r="33" spans="18:88" ht="63">
      <c r="R33" s="22" t="s">
        <v>175</v>
      </c>
      <c r="T33" s="24" t="s">
        <v>316</v>
      </c>
      <c r="AB33" s="215">
        <v>32</v>
      </c>
      <c r="AC33" s="35" t="s">
        <v>454</v>
      </c>
      <c r="AD33" s="33" t="s">
        <v>455</v>
      </c>
      <c r="AE33" s="37" t="str">
        <f t="shared" si="1"/>
        <v>PHC0137-73-1:Mr. Muhammad Asif-II</v>
      </c>
      <c r="AU33" s="335" t="s">
        <v>1811</v>
      </c>
      <c r="AV33" s="156" t="s">
        <v>314</v>
      </c>
      <c r="AW33" s="335" t="s">
        <v>1813</v>
      </c>
      <c r="AX33" s="161" t="s">
        <v>315</v>
      </c>
      <c r="AY33" s="331" t="s">
        <v>1813</v>
      </c>
      <c r="AZ33" s="331" t="s">
        <v>1811</v>
      </c>
      <c r="BA33" s="156"/>
      <c r="BB33" s="122" t="s">
        <v>1856</v>
      </c>
      <c r="BC33" s="220" t="s">
        <v>358</v>
      </c>
      <c r="BD33" s="122"/>
      <c r="BE33" s="122"/>
      <c r="BF33" s="221" t="s">
        <v>72</v>
      </c>
      <c r="BG33" s="43" t="str">
        <f t="shared" si="12"/>
        <v>Civil-004-Custody of Minors</v>
      </c>
      <c r="BM33" s="215">
        <v>3200</v>
      </c>
      <c r="BN33" s="215" t="s">
        <v>358</v>
      </c>
      <c r="BO33" s="215" t="s">
        <v>1976</v>
      </c>
      <c r="BP33" s="215" t="s">
        <v>1976</v>
      </c>
      <c r="BR33" s="236">
        <f t="shared" si="4"/>
        <v>46905</v>
      </c>
      <c r="BS33" s="17">
        <v>32</v>
      </c>
      <c r="BT33" s="236">
        <f t="shared" si="4"/>
        <v>46905</v>
      </c>
      <c r="BU33" s="236">
        <f t="shared" si="5"/>
        <v>46966</v>
      </c>
      <c r="BV33" s="233" t="str">
        <f t="shared" si="2"/>
        <v>Y10-Q4</v>
      </c>
      <c r="BW33" s="17" t="str">
        <f t="shared" si="11"/>
        <v>Y10-Q4</v>
      </c>
      <c r="BX33" s="17">
        <v>10</v>
      </c>
      <c r="BY33" s="17">
        <v>4</v>
      </c>
      <c r="CD33" s="43" t="s">
        <v>1755</v>
      </c>
      <c r="CE33" s="17">
        <v>1</v>
      </c>
      <c r="CF33" s="17">
        <v>1</v>
      </c>
      <c r="CG33" s="17">
        <v>-1</v>
      </c>
      <c r="CH33" s="86">
        <v>1</v>
      </c>
      <c r="CI33" s="17">
        <v>1</v>
      </c>
      <c r="CJ33" s="17">
        <v>1</v>
      </c>
    </row>
    <row r="34" spans="18:88" ht="47.25">
      <c r="R34" s="22" t="s">
        <v>176</v>
      </c>
      <c r="T34" s="24" t="s">
        <v>317</v>
      </c>
      <c r="AB34" s="215">
        <v>33</v>
      </c>
      <c r="AC34" s="35" t="s">
        <v>456</v>
      </c>
      <c r="AD34" s="33" t="s">
        <v>457</v>
      </c>
      <c r="AE34" s="37" t="str">
        <f t="shared" si="1"/>
        <v>PHC0140-67-1:Mr. Fakhar Zaman</v>
      </c>
      <c r="AU34" s="335" t="s">
        <v>1814</v>
      </c>
      <c r="AV34" s="156" t="s">
        <v>317</v>
      </c>
      <c r="AW34" s="335" t="s">
        <v>1814</v>
      </c>
      <c r="AX34" s="161" t="s">
        <v>317</v>
      </c>
      <c r="AY34" s="331" t="s">
        <v>1814</v>
      </c>
      <c r="AZ34" s="331" t="s">
        <v>1814</v>
      </c>
      <c r="BA34" s="156"/>
      <c r="BB34" s="122" t="s">
        <v>1857</v>
      </c>
      <c r="BC34" s="220" t="s">
        <v>360</v>
      </c>
      <c r="BD34" s="122"/>
      <c r="BE34" s="122"/>
      <c r="BF34" s="221" t="s">
        <v>74</v>
      </c>
      <c r="BG34" s="43" t="str">
        <f t="shared" si="12"/>
        <v>Civil-005-Defamation</v>
      </c>
      <c r="BM34" s="215">
        <v>3300</v>
      </c>
      <c r="BN34" s="215" t="s">
        <v>360</v>
      </c>
      <c r="BO34" s="215" t="s">
        <v>1976</v>
      </c>
      <c r="BP34" s="215" t="s">
        <v>1976</v>
      </c>
      <c r="BR34" s="236">
        <f t="shared" si="4"/>
        <v>46997</v>
      </c>
      <c r="BS34" s="17">
        <v>33</v>
      </c>
      <c r="BT34" s="236">
        <f t="shared" si="4"/>
        <v>46997</v>
      </c>
      <c r="BU34" s="236">
        <f t="shared" si="5"/>
        <v>47058</v>
      </c>
      <c r="BV34" s="233" t="str">
        <f t="shared" si="2"/>
        <v>Y11-Q1</v>
      </c>
      <c r="BW34" s="17" t="str">
        <f t="shared" si="11"/>
        <v>Y11-Q1</v>
      </c>
      <c r="BX34" s="17">
        <v>11</v>
      </c>
      <c r="BY34" s="17">
        <v>1</v>
      </c>
      <c r="CD34" s="43" t="s">
        <v>1735</v>
      </c>
      <c r="CE34" s="17">
        <v>1</v>
      </c>
      <c r="CF34" s="17">
        <v>1</v>
      </c>
      <c r="CG34" s="17">
        <v>-1</v>
      </c>
      <c r="CH34" s="86">
        <v>1</v>
      </c>
      <c r="CI34" s="17">
        <v>1</v>
      </c>
      <c r="CJ34" s="17">
        <v>1</v>
      </c>
    </row>
    <row r="35" spans="18:88" ht="63">
      <c r="R35" s="22" t="s">
        <v>177</v>
      </c>
      <c r="T35" s="24" t="s">
        <v>318</v>
      </c>
      <c r="AB35" s="215">
        <v>34</v>
      </c>
      <c r="AC35" s="35" t="s">
        <v>458</v>
      </c>
      <c r="AD35" s="33" t="s">
        <v>459</v>
      </c>
      <c r="AE35" s="37" t="str">
        <f t="shared" si="1"/>
        <v>PHC0141-69-1:Syed Asghar Shah</v>
      </c>
      <c r="AU35" s="335" t="s">
        <v>1814</v>
      </c>
      <c r="AV35" s="156" t="s">
        <v>317</v>
      </c>
      <c r="AW35" s="335" t="s">
        <v>1815</v>
      </c>
      <c r="AX35" s="161" t="s">
        <v>318</v>
      </c>
      <c r="AY35" s="331" t="s">
        <v>1815</v>
      </c>
      <c r="AZ35" s="331" t="s">
        <v>1814</v>
      </c>
      <c r="BA35" s="156"/>
      <c r="BB35" s="122" t="s">
        <v>1859</v>
      </c>
      <c r="BC35" s="220" t="s">
        <v>361</v>
      </c>
      <c r="BF35" s="221" t="s">
        <v>76</v>
      </c>
      <c r="BG35" s="43" t="str">
        <f t="shared" si="12"/>
        <v>Civil-006-Family Court Cases</v>
      </c>
      <c r="BM35" s="215">
        <v>3400</v>
      </c>
      <c r="BN35" s="215" t="s">
        <v>361</v>
      </c>
      <c r="BO35" s="215" t="s">
        <v>1976</v>
      </c>
      <c r="BP35" s="215" t="s">
        <v>1976</v>
      </c>
      <c r="BR35" s="236">
        <f t="shared" si="4"/>
        <v>47088</v>
      </c>
      <c r="BS35" s="17">
        <v>34</v>
      </c>
      <c r="BT35" s="236">
        <f t="shared" si="4"/>
        <v>47088</v>
      </c>
      <c r="BU35" s="236">
        <f t="shared" si="5"/>
        <v>47150</v>
      </c>
      <c r="BV35" s="233" t="str">
        <f t="shared" si="2"/>
        <v>Y11-Q2</v>
      </c>
      <c r="BW35" s="17" t="str">
        <f t="shared" si="11"/>
        <v>Y11-Q2</v>
      </c>
      <c r="BX35" s="17">
        <v>11</v>
      </c>
      <c r="BY35" s="17">
        <v>2</v>
      </c>
      <c r="CD35" s="43" t="s">
        <v>1756</v>
      </c>
      <c r="CE35" s="17">
        <v>1</v>
      </c>
      <c r="CF35" s="17">
        <v>1</v>
      </c>
      <c r="CG35" s="17">
        <v>-1</v>
      </c>
      <c r="CH35" s="86">
        <v>1</v>
      </c>
      <c r="CI35" s="17">
        <v>1</v>
      </c>
      <c r="CJ35" s="17">
        <v>1</v>
      </c>
    </row>
    <row r="36" spans="18:88" ht="47.25">
      <c r="R36" s="22" t="s">
        <v>178</v>
      </c>
      <c r="T36" s="24" t="s">
        <v>319</v>
      </c>
      <c r="AB36" s="215">
        <v>35</v>
      </c>
      <c r="AC36" s="35" t="s">
        <v>460</v>
      </c>
      <c r="AD36" s="33" t="s">
        <v>461</v>
      </c>
      <c r="AE36" s="37" t="str">
        <f t="shared" si="1"/>
        <v>PHC0143-71-1:Mr. Naseem Akbar</v>
      </c>
      <c r="AU36" s="326" t="s">
        <v>1816</v>
      </c>
      <c r="AV36" s="222" t="s">
        <v>319</v>
      </c>
      <c r="AW36" s="335" t="s">
        <v>1816</v>
      </c>
      <c r="AX36" s="222" t="s">
        <v>319</v>
      </c>
      <c r="AY36" s="332" t="s">
        <v>1816</v>
      </c>
      <c r="AZ36" s="332" t="s">
        <v>1816</v>
      </c>
      <c r="BA36" s="156"/>
      <c r="BB36" s="122" t="s">
        <v>1861</v>
      </c>
      <c r="BC36" s="220" t="s">
        <v>362</v>
      </c>
      <c r="BD36" s="122"/>
      <c r="BE36" s="122"/>
      <c r="BF36" s="221" t="s">
        <v>78</v>
      </c>
      <c r="BG36" s="43" t="str">
        <f t="shared" si="12"/>
        <v>Civil-007-Succession Cases</v>
      </c>
      <c r="BM36" s="215">
        <v>3500</v>
      </c>
      <c r="BN36" s="215" t="s">
        <v>362</v>
      </c>
      <c r="BO36" s="215" t="s">
        <v>1976</v>
      </c>
      <c r="BP36" s="215" t="s">
        <v>1976</v>
      </c>
      <c r="BR36" s="236">
        <f t="shared" si="4"/>
        <v>47178</v>
      </c>
      <c r="BS36" s="17">
        <v>35</v>
      </c>
      <c r="BT36" s="236">
        <f t="shared" si="4"/>
        <v>47178</v>
      </c>
      <c r="BU36" s="236">
        <f t="shared" si="5"/>
        <v>47239</v>
      </c>
      <c r="BV36" s="233" t="str">
        <f t="shared" si="2"/>
        <v>Y11-Q3</v>
      </c>
      <c r="BW36" s="17" t="str">
        <f t="shared" si="11"/>
        <v>Y11-Q3</v>
      </c>
      <c r="BX36" s="17">
        <v>11</v>
      </c>
      <c r="BY36" s="17">
        <v>3</v>
      </c>
      <c r="CD36" s="43" t="s">
        <v>1757</v>
      </c>
      <c r="CE36" s="17">
        <v>1</v>
      </c>
      <c r="CF36" s="17">
        <v>1</v>
      </c>
      <c r="CG36" s="17">
        <v>-1</v>
      </c>
      <c r="CH36" s="86">
        <v>1</v>
      </c>
      <c r="CI36" s="17">
        <v>1</v>
      </c>
      <c r="CJ36" s="17">
        <v>1</v>
      </c>
    </row>
    <row r="37" spans="18:88" ht="63">
      <c r="R37" s="22" t="s">
        <v>179</v>
      </c>
      <c r="T37" s="24" t="s">
        <v>320</v>
      </c>
      <c r="AB37" s="215">
        <v>36</v>
      </c>
      <c r="AC37" s="35" t="s">
        <v>462</v>
      </c>
      <c r="AD37" s="33" t="s">
        <v>463</v>
      </c>
      <c r="AE37" s="37" t="str">
        <f t="shared" si="1"/>
        <v>PHC0144-70-1:Syed Zamarrud Shah</v>
      </c>
      <c r="AU37" s="335" t="s">
        <v>1816</v>
      </c>
      <c r="AV37" s="156" t="s">
        <v>319</v>
      </c>
      <c r="AW37" s="335" t="s">
        <v>1817</v>
      </c>
      <c r="AX37" s="161" t="s">
        <v>321</v>
      </c>
      <c r="AY37" s="331" t="s">
        <v>1817</v>
      </c>
      <c r="AZ37" s="331" t="s">
        <v>1816</v>
      </c>
      <c r="BA37" s="159"/>
      <c r="BF37" s="221" t="s">
        <v>80</v>
      </c>
      <c r="BG37" s="43" t="str">
        <f t="shared" si="12"/>
        <v>Civil-008-Guardianship Cases</v>
      </c>
      <c r="BR37" s="236">
        <f t="shared" si="4"/>
        <v>47270</v>
      </c>
      <c r="BS37" s="17">
        <v>36</v>
      </c>
      <c r="BT37" s="236">
        <f t="shared" si="4"/>
        <v>47270</v>
      </c>
      <c r="BU37" s="236">
        <f t="shared" si="5"/>
        <v>47331</v>
      </c>
      <c r="BV37" s="233" t="str">
        <f t="shared" si="2"/>
        <v>Y11-Q4</v>
      </c>
      <c r="BW37" s="17" t="str">
        <f t="shared" si="11"/>
        <v>Y11-Q4</v>
      </c>
      <c r="BX37" s="17">
        <v>11</v>
      </c>
      <c r="BY37" s="17">
        <v>4</v>
      </c>
      <c r="CD37" s="43" t="s">
        <v>1758</v>
      </c>
      <c r="CE37" s="17">
        <v>1</v>
      </c>
      <c r="CF37" s="17">
        <v>1</v>
      </c>
      <c r="CG37" s="17">
        <v>-1</v>
      </c>
      <c r="CH37" s="86">
        <v>1</v>
      </c>
      <c r="CI37" s="17">
        <v>1</v>
      </c>
      <c r="CJ37" s="17">
        <v>1</v>
      </c>
    </row>
    <row r="38" spans="18:88" ht="63">
      <c r="R38" s="22" t="s">
        <v>180</v>
      </c>
      <c r="T38" s="24" t="s">
        <v>321</v>
      </c>
      <c r="AB38" s="215">
        <v>37</v>
      </c>
      <c r="AC38" s="35" t="s">
        <v>464</v>
      </c>
      <c r="AD38" s="33" t="s">
        <v>465</v>
      </c>
      <c r="AE38" s="37" t="str">
        <f t="shared" si="1"/>
        <v>PHC0145-72-1:Mr. Muhammad Zeb Khan</v>
      </c>
      <c r="AU38" s="335" t="s">
        <v>1818</v>
      </c>
      <c r="AV38" s="156" t="s">
        <v>323</v>
      </c>
      <c r="AW38" s="335" t="s">
        <v>1818</v>
      </c>
      <c r="AX38" s="161" t="s">
        <v>323</v>
      </c>
      <c r="AY38" s="331" t="s">
        <v>1818</v>
      </c>
      <c r="AZ38" s="331" t="s">
        <v>1818</v>
      </c>
      <c r="BA38" s="159"/>
      <c r="BF38" s="221" t="s">
        <v>82</v>
      </c>
      <c r="BG38" s="43" t="str">
        <f t="shared" si="12"/>
        <v>Civil-009-Land Acquisition Cases</v>
      </c>
      <c r="BR38" s="236">
        <f t="shared" si="4"/>
        <v>47362</v>
      </c>
      <c r="BS38" s="17">
        <v>37</v>
      </c>
      <c r="BT38" s="236">
        <f t="shared" si="4"/>
        <v>47362</v>
      </c>
      <c r="BU38" s="236">
        <f t="shared" si="5"/>
        <v>47423</v>
      </c>
      <c r="BV38" s="233" t="str">
        <f t="shared" si="2"/>
        <v>Y12-Q1</v>
      </c>
      <c r="BW38" s="17" t="str">
        <f t="shared" si="11"/>
        <v>Y12-Q1</v>
      </c>
      <c r="BX38" s="17">
        <v>12</v>
      </c>
      <c r="BY38" s="17">
        <v>1</v>
      </c>
      <c r="CD38" s="43" t="s">
        <v>1759</v>
      </c>
      <c r="CE38" s="17">
        <v>1</v>
      </c>
      <c r="CF38" s="17">
        <v>1</v>
      </c>
      <c r="CG38" s="17">
        <v>-1</v>
      </c>
      <c r="CH38" s="86">
        <v>1</v>
      </c>
      <c r="CI38" s="17">
        <v>1</v>
      </c>
      <c r="CJ38" s="17">
        <v>1</v>
      </c>
    </row>
    <row r="39" spans="18:88" ht="47.25">
      <c r="R39" s="22" t="s">
        <v>181</v>
      </c>
      <c r="T39" s="24" t="s">
        <v>322</v>
      </c>
      <c r="AB39" s="215">
        <v>38</v>
      </c>
      <c r="AC39" s="35" t="s">
        <v>466</v>
      </c>
      <c r="AD39" s="33" t="s">
        <v>467</v>
      </c>
      <c r="AE39" s="37" t="str">
        <f t="shared" si="1"/>
        <v>PHC0146-67-1:Mr. Shoaib Khan</v>
      </c>
      <c r="AU39" s="335" t="s">
        <v>1818</v>
      </c>
      <c r="AV39" s="156" t="s">
        <v>323</v>
      </c>
      <c r="AW39" s="335" t="s">
        <v>1819</v>
      </c>
      <c r="AX39" s="161" t="s">
        <v>325</v>
      </c>
      <c r="AY39" s="331" t="s">
        <v>1819</v>
      </c>
      <c r="AZ39" s="331" t="s">
        <v>1818</v>
      </c>
      <c r="BA39" s="159"/>
      <c r="BF39" s="221" t="s">
        <v>84</v>
      </c>
      <c r="BG39" s="43" t="str">
        <f t="shared" si="12"/>
        <v>Civil-010-Rent Cases</v>
      </c>
      <c r="BR39" s="236">
        <f t="shared" si="4"/>
        <v>47453</v>
      </c>
      <c r="BS39" s="17">
        <v>38</v>
      </c>
      <c r="BT39" s="236">
        <f t="shared" si="4"/>
        <v>47453</v>
      </c>
      <c r="BU39" s="236">
        <f t="shared" si="5"/>
        <v>47515</v>
      </c>
      <c r="BV39" s="233" t="str">
        <f t="shared" si="2"/>
        <v>Y12-Q2</v>
      </c>
      <c r="BW39" s="17" t="str">
        <f t="shared" si="11"/>
        <v>Y12-Q2</v>
      </c>
      <c r="BX39" s="17">
        <v>12</v>
      </c>
      <c r="BY39" s="17">
        <v>2</v>
      </c>
      <c r="CD39" s="43" t="s">
        <v>1760</v>
      </c>
      <c r="CE39" s="17">
        <v>1</v>
      </c>
      <c r="CF39" s="17">
        <v>1</v>
      </c>
      <c r="CG39" s="17">
        <v>-1</v>
      </c>
      <c r="CH39" s="86">
        <v>1</v>
      </c>
      <c r="CI39" s="17">
        <v>1</v>
      </c>
      <c r="CJ39" s="17">
        <v>1</v>
      </c>
    </row>
    <row r="40" spans="18:88" ht="126">
      <c r="R40" s="22" t="s">
        <v>182</v>
      </c>
      <c r="T40" s="24" t="s">
        <v>323</v>
      </c>
      <c r="AB40" s="215">
        <v>39</v>
      </c>
      <c r="AC40" s="35" t="s">
        <v>468</v>
      </c>
      <c r="AD40" s="33" t="s">
        <v>469</v>
      </c>
      <c r="AE40" s="37" t="str">
        <f t="shared" si="1"/>
        <v>PHC0147-71-1:Mrs. Sofia Waqar Khattak</v>
      </c>
      <c r="AU40" s="335" t="s">
        <v>1818</v>
      </c>
      <c r="AV40" s="156" t="s">
        <v>323</v>
      </c>
      <c r="AW40" s="335" t="s">
        <v>1820</v>
      </c>
      <c r="AX40" s="161" t="s">
        <v>326</v>
      </c>
      <c r="AY40" s="331" t="s">
        <v>1820</v>
      </c>
      <c r="AZ40" s="331" t="s">
        <v>1818</v>
      </c>
      <c r="BA40" s="159"/>
      <c r="BF40" s="221" t="s">
        <v>86</v>
      </c>
      <c r="BG40" s="43" t="str">
        <f t="shared" si="12"/>
        <v>Civil-011-Proceeding under KP Mental Health Act 2017</v>
      </c>
      <c r="BR40" s="236">
        <f t="shared" si="4"/>
        <v>47543</v>
      </c>
      <c r="BS40" s="17">
        <v>39</v>
      </c>
      <c r="BT40" s="236">
        <f t="shared" si="4"/>
        <v>47543</v>
      </c>
      <c r="BU40" s="236">
        <f t="shared" si="5"/>
        <v>47604</v>
      </c>
      <c r="BV40" s="233" t="str">
        <f t="shared" si="2"/>
        <v>Y12-Q3</v>
      </c>
      <c r="BW40" s="17" t="str">
        <f t="shared" si="11"/>
        <v>Y12-Q3</v>
      </c>
      <c r="BX40" s="17">
        <v>12</v>
      </c>
      <c r="BY40" s="17">
        <v>3</v>
      </c>
      <c r="CD40" s="43" t="s">
        <v>1761</v>
      </c>
      <c r="CE40" s="17">
        <v>1</v>
      </c>
      <c r="CF40" s="17">
        <v>1</v>
      </c>
      <c r="CG40" s="17">
        <v>-1</v>
      </c>
      <c r="CH40" s="86">
        <v>1</v>
      </c>
      <c r="CI40" s="17">
        <v>1</v>
      </c>
      <c r="CJ40" s="17">
        <v>1</v>
      </c>
    </row>
    <row r="41" spans="18:88" ht="47.25">
      <c r="R41" s="22" t="s">
        <v>183</v>
      </c>
      <c r="T41" s="24" t="s">
        <v>324</v>
      </c>
      <c r="AB41" s="215">
        <v>40</v>
      </c>
      <c r="AC41" s="35" t="s">
        <v>470</v>
      </c>
      <c r="AD41" s="33" t="s">
        <v>471</v>
      </c>
      <c r="AE41" s="37" t="str">
        <f t="shared" si="1"/>
        <v>PHC0148-69-1:Mr. Muhammad Zafar</v>
      </c>
      <c r="AU41" s="335" t="s">
        <v>1818</v>
      </c>
      <c r="AV41" s="156" t="s">
        <v>323</v>
      </c>
      <c r="AW41" s="335" t="s">
        <v>1821</v>
      </c>
      <c r="AX41" s="161" t="s">
        <v>327</v>
      </c>
      <c r="AY41" s="331" t="s">
        <v>1821</v>
      </c>
      <c r="AZ41" s="331" t="s">
        <v>1818</v>
      </c>
      <c r="BA41" s="159"/>
      <c r="BF41" s="221" t="s">
        <v>88</v>
      </c>
      <c r="BG41" s="43" t="str">
        <f t="shared" si="12"/>
        <v>Civil-012-Tribunal Cases</v>
      </c>
      <c r="BR41" s="236">
        <f t="shared" si="4"/>
        <v>47635</v>
      </c>
      <c r="BS41" s="17">
        <v>40</v>
      </c>
      <c r="BT41" s="236">
        <f t="shared" si="4"/>
        <v>47635</v>
      </c>
      <c r="BU41" s="236">
        <f t="shared" si="5"/>
        <v>47696</v>
      </c>
      <c r="BV41" s="233" t="str">
        <f t="shared" si="2"/>
        <v>Y12-Q4</v>
      </c>
      <c r="BW41" s="17" t="str">
        <f t="shared" si="11"/>
        <v>Y12-Q4</v>
      </c>
      <c r="BX41" s="17">
        <v>12</v>
      </c>
      <c r="BY41" s="17">
        <v>4</v>
      </c>
      <c r="CD41" s="43" t="s">
        <v>1762</v>
      </c>
      <c r="CE41" s="17">
        <v>1</v>
      </c>
      <c r="CF41" s="17">
        <v>1</v>
      </c>
      <c r="CG41" s="17">
        <v>-1</v>
      </c>
      <c r="CH41" s="86">
        <v>1</v>
      </c>
      <c r="CI41" s="17">
        <v>1</v>
      </c>
      <c r="CJ41" s="17">
        <v>1</v>
      </c>
    </row>
    <row r="42" spans="18:88" ht="47.25">
      <c r="R42" s="22" t="s">
        <v>184</v>
      </c>
      <c r="T42" s="24" t="s">
        <v>325</v>
      </c>
      <c r="AB42" s="215">
        <v>41</v>
      </c>
      <c r="AC42" s="35" t="s">
        <v>472</v>
      </c>
      <c r="AD42" s="33" t="s">
        <v>473</v>
      </c>
      <c r="AE42" s="37" t="str">
        <f t="shared" si="1"/>
        <v>PHC0149-64-1:Mr. Muhammad Rauf Khan</v>
      </c>
      <c r="AU42" s="335" t="s">
        <v>1818</v>
      </c>
      <c r="AV42" s="156" t="s">
        <v>323</v>
      </c>
      <c r="AW42" s="336" t="s">
        <v>1822</v>
      </c>
      <c r="AX42" s="161" t="s">
        <v>324</v>
      </c>
      <c r="AY42" s="331" t="s">
        <v>1822</v>
      </c>
      <c r="AZ42" s="331" t="s">
        <v>1818</v>
      </c>
      <c r="BA42" s="159"/>
      <c r="BF42" s="221" t="s">
        <v>90</v>
      </c>
      <c r="BG42" s="43" t="str">
        <f t="shared" si="12"/>
        <v>Civil-013-Small Claims</v>
      </c>
      <c r="BR42" s="236">
        <f t="shared" si="4"/>
        <v>47727</v>
      </c>
      <c r="BS42" s="17">
        <v>41</v>
      </c>
      <c r="BT42" s="236">
        <f t="shared" si="4"/>
        <v>47727</v>
      </c>
      <c r="BU42" s="236">
        <f t="shared" si="5"/>
        <v>47788</v>
      </c>
      <c r="BV42" s="233" t="str">
        <f t="shared" si="2"/>
        <v>Y13-Q1</v>
      </c>
      <c r="BW42" s="17" t="str">
        <f t="shared" si="11"/>
        <v>Y13-Q1</v>
      </c>
      <c r="BX42" s="17">
        <v>13</v>
      </c>
      <c r="BY42" s="17">
        <v>1</v>
      </c>
      <c r="CD42" s="43" t="s">
        <v>1734</v>
      </c>
      <c r="CE42" s="17">
        <v>-1</v>
      </c>
      <c r="CF42" s="17">
        <v>1</v>
      </c>
      <c r="CG42" s="17">
        <v>-1</v>
      </c>
      <c r="CH42" s="86">
        <v>1</v>
      </c>
      <c r="CI42" s="17">
        <v>1</v>
      </c>
      <c r="CJ42" s="17">
        <v>1</v>
      </c>
    </row>
    <row r="43" spans="18:88" ht="110.25">
      <c r="R43" s="22" t="s">
        <v>185</v>
      </c>
      <c r="T43" s="24" t="s">
        <v>326</v>
      </c>
      <c r="AB43" s="215">
        <v>42</v>
      </c>
      <c r="AC43" s="35" t="s">
        <v>474</v>
      </c>
      <c r="AD43" s="33" t="s">
        <v>475</v>
      </c>
      <c r="AE43" s="37" t="str">
        <f t="shared" si="1"/>
        <v>PHC0150-67-1:Mr. Aurangzeb Khattak</v>
      </c>
      <c r="AU43" s="335" t="s">
        <v>1823</v>
      </c>
      <c r="AV43" s="156" t="s">
        <v>328</v>
      </c>
      <c r="AW43" s="336" t="s">
        <v>1823</v>
      </c>
      <c r="AX43" s="161" t="s">
        <v>328</v>
      </c>
      <c r="AY43" s="331" t="s">
        <v>1823</v>
      </c>
      <c r="AZ43" s="331" t="s">
        <v>1823</v>
      </c>
      <c r="BA43" s="159"/>
      <c r="BD43" s="122"/>
      <c r="BE43" s="122"/>
      <c r="BF43" s="221" t="s">
        <v>92</v>
      </c>
      <c r="BG43" s="43" t="str">
        <f t="shared" si="12"/>
        <v>Civil-014-Execution in which periodic payments are made</v>
      </c>
      <c r="BR43" s="236">
        <f t="shared" si="4"/>
        <v>47818</v>
      </c>
      <c r="BS43" s="17">
        <v>42</v>
      </c>
      <c r="BT43" s="236">
        <f t="shared" si="4"/>
        <v>47818</v>
      </c>
      <c r="BU43" s="236">
        <f t="shared" si="5"/>
        <v>47880</v>
      </c>
      <c r="BV43" s="233" t="str">
        <f t="shared" si="2"/>
        <v>Y13-Q2</v>
      </c>
      <c r="BW43" s="17" t="str">
        <f t="shared" si="11"/>
        <v>Y13-Q2</v>
      </c>
      <c r="BX43" s="17">
        <v>13</v>
      </c>
      <c r="BY43" s="17">
        <v>2</v>
      </c>
      <c r="CD43" s="43" t="s">
        <v>1764</v>
      </c>
      <c r="CE43" s="17">
        <v>-1</v>
      </c>
      <c r="CF43" s="17">
        <v>-1</v>
      </c>
      <c r="CG43" s="17">
        <v>-1</v>
      </c>
      <c r="CH43" s="86">
        <v>1</v>
      </c>
      <c r="CI43" s="17">
        <v>1</v>
      </c>
      <c r="CJ43" s="17">
        <v>1</v>
      </c>
    </row>
    <row r="44" spans="18:88" ht="63">
      <c r="R44" s="22" t="s">
        <v>186</v>
      </c>
      <c r="T44" s="24" t="s">
        <v>327</v>
      </c>
      <c r="AB44" s="215">
        <v>43</v>
      </c>
      <c r="AC44" s="35" t="s">
        <v>476</v>
      </c>
      <c r="AD44" s="33" t="s">
        <v>477</v>
      </c>
      <c r="AE44" s="37" t="str">
        <f t="shared" si="1"/>
        <v>PHC0152-73-1:Mr. Muhammad Aamir Nazir</v>
      </c>
      <c r="AU44" s="335" t="s">
        <v>1824</v>
      </c>
      <c r="AV44" s="156" t="s">
        <v>329</v>
      </c>
      <c r="AW44" s="336" t="s">
        <v>1824</v>
      </c>
      <c r="AX44" s="161" t="s">
        <v>329</v>
      </c>
      <c r="AY44" s="331" t="s">
        <v>1824</v>
      </c>
      <c r="AZ44" s="331" t="s">
        <v>1824</v>
      </c>
      <c r="BA44" s="159"/>
      <c r="BD44" s="122"/>
      <c r="BE44" s="122"/>
      <c r="BF44" s="221" t="s">
        <v>93</v>
      </c>
      <c r="BG44" s="43" t="str">
        <f t="shared" si="12"/>
        <v>Civil-015-Execution Petitions</v>
      </c>
      <c r="BR44" s="236">
        <f t="shared" si="4"/>
        <v>47908</v>
      </c>
      <c r="BS44" s="17">
        <v>43</v>
      </c>
      <c r="BT44" s="236">
        <f t="shared" si="4"/>
        <v>47908</v>
      </c>
      <c r="BU44" s="236">
        <f t="shared" si="5"/>
        <v>47969</v>
      </c>
      <c r="BV44" s="233" t="str">
        <f t="shared" si="2"/>
        <v>Y13-Q3</v>
      </c>
      <c r="BW44" s="17" t="str">
        <f t="shared" si="11"/>
        <v>Y13-Q3</v>
      </c>
      <c r="BX44" s="17">
        <v>13</v>
      </c>
      <c r="BY44" s="17">
        <v>3</v>
      </c>
      <c r="CD44" s="43" t="s">
        <v>1765</v>
      </c>
      <c r="CE44" s="17">
        <v>-1</v>
      </c>
      <c r="CF44" s="17">
        <v>1</v>
      </c>
      <c r="CG44" s="17">
        <v>-1</v>
      </c>
      <c r="CH44" s="86">
        <v>1</v>
      </c>
      <c r="CI44" s="17">
        <v>1</v>
      </c>
      <c r="CJ44" s="17">
        <v>1</v>
      </c>
    </row>
    <row r="45" spans="18:88" ht="78.75">
      <c r="R45" s="22" t="s">
        <v>187</v>
      </c>
      <c r="T45" s="24" t="s">
        <v>328</v>
      </c>
      <c r="AB45" s="215">
        <v>44</v>
      </c>
      <c r="AC45" s="35" t="s">
        <v>478</v>
      </c>
      <c r="AD45" s="33" t="s">
        <v>479</v>
      </c>
      <c r="AE45" s="37" t="str">
        <f t="shared" si="1"/>
        <v>PHC0153-71-1:Mr. Ihsanullah Khan Mahsud</v>
      </c>
      <c r="AU45" s="335" t="s">
        <v>1825</v>
      </c>
      <c r="AV45" s="156" t="s">
        <v>330</v>
      </c>
      <c r="AW45" s="336" t="s">
        <v>1826</v>
      </c>
      <c r="AX45" s="161" t="s">
        <v>331</v>
      </c>
      <c r="AY45" s="331" t="s">
        <v>1826</v>
      </c>
      <c r="AZ45" s="331" t="s">
        <v>1825</v>
      </c>
      <c r="BA45" s="159"/>
      <c r="BD45" s="122"/>
      <c r="BE45" s="122"/>
      <c r="BF45" s="221" t="s">
        <v>95</v>
      </c>
      <c r="BG45" s="43" t="str">
        <f t="shared" si="12"/>
        <v>Civil-016-Cases under other laws</v>
      </c>
      <c r="BR45" s="236">
        <f t="shared" si="4"/>
        <v>48000</v>
      </c>
      <c r="BS45" s="17">
        <v>44</v>
      </c>
      <c r="BT45" s="236">
        <f t="shared" si="4"/>
        <v>48000</v>
      </c>
      <c r="BU45" s="236">
        <f t="shared" si="5"/>
        <v>48061</v>
      </c>
      <c r="BV45" s="233" t="str">
        <f t="shared" si="2"/>
        <v>Y13-Q4</v>
      </c>
      <c r="BW45" s="17" t="str">
        <f t="shared" si="11"/>
        <v>Y13-Q4</v>
      </c>
      <c r="BX45" s="17">
        <v>13</v>
      </c>
      <c r="BY45" s="17">
        <v>4</v>
      </c>
      <c r="CD45" s="43" t="s">
        <v>1766</v>
      </c>
      <c r="CE45" s="17">
        <v>1</v>
      </c>
      <c r="CF45" s="17">
        <v>1</v>
      </c>
      <c r="CG45" s="17">
        <v>-1</v>
      </c>
      <c r="CH45" s="86">
        <v>1</v>
      </c>
      <c r="CI45" s="17">
        <v>1</v>
      </c>
      <c r="CJ45" s="17">
        <v>1</v>
      </c>
    </row>
    <row r="46" spans="18:88" ht="31.5">
      <c r="R46" s="22" t="s">
        <v>188</v>
      </c>
      <c r="T46" s="24" t="s">
        <v>329</v>
      </c>
      <c r="AB46" s="215">
        <v>45</v>
      </c>
      <c r="AC46" s="35" t="s">
        <v>480</v>
      </c>
      <c r="AD46" s="33" t="s">
        <v>481</v>
      </c>
      <c r="AE46" s="37" t="str">
        <f t="shared" si="1"/>
        <v>PHC0154-65-1:Mr. Aurangzeb</v>
      </c>
      <c r="AU46" s="335" t="s">
        <v>1825</v>
      </c>
      <c r="AV46" s="156" t="s">
        <v>330</v>
      </c>
      <c r="AW46" s="336" t="s">
        <v>1825</v>
      </c>
      <c r="AX46" s="161" t="s">
        <v>330</v>
      </c>
      <c r="AY46" s="331" t="s">
        <v>1825</v>
      </c>
      <c r="AZ46" s="331" t="s">
        <v>1825</v>
      </c>
      <c r="BA46" s="159"/>
      <c r="BD46" s="122"/>
      <c r="BE46" s="122"/>
      <c r="BF46" s="221" t="s">
        <v>96</v>
      </c>
      <c r="BG46" s="43" t="str">
        <f t="shared" si="12"/>
        <v>Civil-017-Others</v>
      </c>
      <c r="BR46" s="236">
        <f t="shared" si="4"/>
        <v>48092</v>
      </c>
      <c r="BS46" s="17">
        <v>45</v>
      </c>
      <c r="BT46" s="236">
        <f t="shared" si="4"/>
        <v>48092</v>
      </c>
      <c r="BU46" s="236">
        <f t="shared" si="5"/>
        <v>48153</v>
      </c>
      <c r="BV46" s="233" t="str">
        <f t="shared" si="2"/>
        <v>Y14-Q1</v>
      </c>
      <c r="BW46" s="17" t="str">
        <f t="shared" si="11"/>
        <v>Y14-Q1</v>
      </c>
      <c r="BX46" s="17">
        <v>14</v>
      </c>
      <c r="BY46" s="17">
        <v>1</v>
      </c>
      <c r="CD46" s="43" t="s">
        <v>1767</v>
      </c>
      <c r="CE46" s="17">
        <v>-1</v>
      </c>
      <c r="CF46" s="17">
        <v>1</v>
      </c>
      <c r="CG46" s="17">
        <v>-1</v>
      </c>
      <c r="CH46" s="86">
        <v>1</v>
      </c>
      <c r="CI46" s="17">
        <v>1</v>
      </c>
      <c r="CJ46" s="17">
        <v>1</v>
      </c>
    </row>
    <row r="47" spans="18:88" ht="94.5">
      <c r="R47" s="22" t="s">
        <v>189</v>
      </c>
      <c r="T47" s="24" t="s">
        <v>330</v>
      </c>
      <c r="AB47" s="215">
        <v>46</v>
      </c>
      <c r="AC47" s="35" t="s">
        <v>482</v>
      </c>
      <c r="AD47" s="33" t="s">
        <v>483</v>
      </c>
      <c r="AE47" s="37" t="str">
        <f t="shared" si="1"/>
        <v>PHC0155-67-1:Syed Aqeel Shah</v>
      </c>
      <c r="AU47" s="335" t="s">
        <v>1827</v>
      </c>
      <c r="AV47" s="156" t="s">
        <v>332</v>
      </c>
      <c r="AW47" s="336" t="s">
        <v>1827</v>
      </c>
      <c r="AX47" s="161" t="s">
        <v>332</v>
      </c>
      <c r="AY47" s="331" t="s">
        <v>1827</v>
      </c>
      <c r="AZ47" s="331" t="s">
        <v>1827</v>
      </c>
      <c r="BA47" s="159"/>
      <c r="BD47" s="122"/>
      <c r="BE47" s="122"/>
      <c r="BF47" s="221" t="s">
        <v>97</v>
      </c>
      <c r="BG47" s="43" t="str">
        <f t="shared" si="12"/>
        <v>Civil-018-Other Civil Misc Applications</v>
      </c>
      <c r="BR47" s="236">
        <f t="shared" si="4"/>
        <v>48183</v>
      </c>
      <c r="BS47" s="17">
        <v>46</v>
      </c>
      <c r="BT47" s="236">
        <f t="shared" si="4"/>
        <v>48183</v>
      </c>
      <c r="BU47" s="236">
        <f t="shared" si="5"/>
        <v>48245</v>
      </c>
      <c r="BV47" s="233" t="str">
        <f t="shared" si="2"/>
        <v>Y14-Q2</v>
      </c>
      <c r="BW47" s="17" t="str">
        <f t="shared" si="11"/>
        <v>Y14-Q2</v>
      </c>
      <c r="BX47" s="17">
        <v>14</v>
      </c>
      <c r="BY47" s="17">
        <v>2</v>
      </c>
      <c r="CD47" s="43" t="s">
        <v>1745</v>
      </c>
      <c r="CE47" s="17">
        <v>-1</v>
      </c>
      <c r="CF47" s="17">
        <v>1</v>
      </c>
      <c r="CG47" s="17">
        <v>-1</v>
      </c>
      <c r="CH47" s="86">
        <v>1</v>
      </c>
      <c r="CI47" s="17">
        <v>1</v>
      </c>
      <c r="CJ47" s="17">
        <v>1</v>
      </c>
    </row>
    <row r="48" spans="18:88" ht="94.5">
      <c r="R48" s="22" t="s">
        <v>190</v>
      </c>
      <c r="T48" s="24" t="s">
        <v>331</v>
      </c>
      <c r="AB48" s="215">
        <v>47</v>
      </c>
      <c r="AC48" s="35" t="s">
        <v>484</v>
      </c>
      <c r="AD48" s="33" t="s">
        <v>485</v>
      </c>
      <c r="AE48" s="37" t="str">
        <f t="shared" si="1"/>
        <v>PHC0156-69-1:Mr. Ashfaque Taj</v>
      </c>
      <c r="AU48" s="335" t="s">
        <v>1827</v>
      </c>
      <c r="AV48" s="156" t="s">
        <v>332</v>
      </c>
      <c r="AW48" s="336" t="s">
        <v>1828</v>
      </c>
      <c r="AX48" s="161" t="s">
        <v>333</v>
      </c>
      <c r="AY48" s="331" t="s">
        <v>1828</v>
      </c>
      <c r="AZ48" s="331" t="s">
        <v>1827</v>
      </c>
      <c r="BA48" s="159"/>
      <c r="BD48" s="122"/>
      <c r="BE48" s="122"/>
      <c r="BF48" s="221" t="s">
        <v>99</v>
      </c>
      <c r="BG48" s="43" t="str">
        <f t="shared" si="12"/>
        <v>Civil-019-Application under section 12(2) CPC</v>
      </c>
      <c r="BR48" s="236">
        <f t="shared" si="4"/>
        <v>48274</v>
      </c>
      <c r="BS48" s="17">
        <v>47</v>
      </c>
      <c r="BT48" s="236">
        <f t="shared" si="4"/>
        <v>48274</v>
      </c>
      <c r="BU48" s="236">
        <f t="shared" si="5"/>
        <v>48335</v>
      </c>
      <c r="BV48" s="233" t="str">
        <f t="shared" si="2"/>
        <v>Y14-Q3</v>
      </c>
      <c r="BW48" s="17" t="str">
        <f t="shared" si="11"/>
        <v>Y14-Q3</v>
      </c>
      <c r="BX48" s="17">
        <v>14</v>
      </c>
      <c r="BY48" s="17">
        <v>3</v>
      </c>
      <c r="CD48" s="43" t="s">
        <v>1768</v>
      </c>
      <c r="CE48" s="17">
        <v>1</v>
      </c>
      <c r="CF48" s="17">
        <v>1</v>
      </c>
      <c r="CG48" s="17">
        <v>-1</v>
      </c>
      <c r="CH48" s="86">
        <v>1</v>
      </c>
      <c r="CI48" s="17">
        <v>1</v>
      </c>
      <c r="CJ48" s="17">
        <v>1</v>
      </c>
    </row>
    <row r="49" spans="18:88" ht="47.25">
      <c r="R49" s="22" t="s">
        <v>191</v>
      </c>
      <c r="T49" s="24" t="s">
        <v>332</v>
      </c>
      <c r="AB49" s="215">
        <v>48</v>
      </c>
      <c r="AC49" s="35" t="s">
        <v>486</v>
      </c>
      <c r="AD49" s="33" t="s">
        <v>487</v>
      </c>
      <c r="AE49" s="37" t="str">
        <f t="shared" si="1"/>
        <v>PHC0157-74-1:Mr. Sohail Sheraz Noor Sani</v>
      </c>
      <c r="AU49" s="335" t="s">
        <v>1829</v>
      </c>
      <c r="AV49" s="156" t="s">
        <v>334</v>
      </c>
      <c r="AW49" s="336" t="s">
        <v>1829</v>
      </c>
      <c r="AX49" s="161" t="s">
        <v>334</v>
      </c>
      <c r="AY49" s="331" t="s">
        <v>1829</v>
      </c>
      <c r="AZ49" s="331" t="s">
        <v>1829</v>
      </c>
      <c r="BA49" s="159"/>
      <c r="BD49" s="122"/>
      <c r="BE49" s="122"/>
      <c r="BF49" s="221" t="s">
        <v>101</v>
      </c>
      <c r="BG49" s="43" t="str">
        <f t="shared" si="12"/>
        <v>Civil-020-Review Petition</v>
      </c>
      <c r="BR49" s="236">
        <f t="shared" si="4"/>
        <v>48366</v>
      </c>
      <c r="BS49" s="17">
        <v>48</v>
      </c>
      <c r="BT49" s="236">
        <f t="shared" si="4"/>
        <v>48366</v>
      </c>
      <c r="BU49" s="236">
        <f t="shared" si="5"/>
        <v>48427</v>
      </c>
      <c r="BV49" s="233" t="str">
        <f t="shared" si="2"/>
        <v>Y14-Q4</v>
      </c>
      <c r="BW49" s="17" t="str">
        <f t="shared" si="11"/>
        <v>Y14-Q4</v>
      </c>
      <c r="BX49" s="17">
        <v>14</v>
      </c>
      <c r="BY49" s="17">
        <v>4</v>
      </c>
      <c r="CD49" s="43" t="s">
        <v>1769</v>
      </c>
      <c r="CE49" s="17">
        <v>-1</v>
      </c>
      <c r="CF49" s="17">
        <v>1</v>
      </c>
      <c r="CG49" s="17">
        <v>-1</v>
      </c>
      <c r="CH49" s="86">
        <v>1</v>
      </c>
      <c r="CI49" s="17">
        <v>1</v>
      </c>
      <c r="CJ49" s="17">
        <v>1</v>
      </c>
    </row>
    <row r="50" spans="18:88" ht="63">
      <c r="R50" s="22" t="s">
        <v>192</v>
      </c>
      <c r="T50" s="24" t="s">
        <v>333</v>
      </c>
      <c r="AB50" s="215">
        <v>49</v>
      </c>
      <c r="AC50" s="35" t="s">
        <v>488</v>
      </c>
      <c r="AD50" s="33" t="s">
        <v>489</v>
      </c>
      <c r="AE50" s="37" t="str">
        <f t="shared" si="1"/>
        <v>PHC0158-67-1:Mr. Jehanzeb Shinwari</v>
      </c>
      <c r="AU50" s="335" t="s">
        <v>1829</v>
      </c>
      <c r="AV50" s="156" t="s">
        <v>334</v>
      </c>
      <c r="AW50" s="336" t="s">
        <v>1830</v>
      </c>
      <c r="AX50" s="161" t="s">
        <v>335</v>
      </c>
      <c r="AY50" s="331" t="s">
        <v>1830</v>
      </c>
      <c r="AZ50" s="331" t="s">
        <v>1829</v>
      </c>
      <c r="BA50" s="159"/>
      <c r="BD50" s="122"/>
      <c r="BE50" s="122"/>
      <c r="BF50" s="221" t="s">
        <v>103</v>
      </c>
      <c r="BG50" s="43" t="str">
        <f t="shared" si="12"/>
        <v>Civil-021-Objection Petitions</v>
      </c>
      <c r="BR50" s="236">
        <f t="shared" si="4"/>
        <v>48458</v>
      </c>
      <c r="BS50" s="17">
        <v>49</v>
      </c>
      <c r="BT50" s="236">
        <f t="shared" si="4"/>
        <v>48458</v>
      </c>
      <c r="BU50" s="236">
        <f t="shared" si="5"/>
        <v>48519</v>
      </c>
      <c r="BV50" s="233" t="str">
        <f t="shared" si="2"/>
        <v>Y15-Q1</v>
      </c>
      <c r="BW50" s="17" t="str">
        <f t="shared" si="11"/>
        <v>Y15-Q1</v>
      </c>
      <c r="BX50" s="17">
        <v>15</v>
      </c>
      <c r="BY50" s="17">
        <v>1</v>
      </c>
      <c r="CD50" s="43" t="s">
        <v>1770</v>
      </c>
      <c r="CE50" s="17">
        <v>-1</v>
      </c>
      <c r="CF50" s="17">
        <v>1</v>
      </c>
      <c r="CG50" s="17">
        <v>-1</v>
      </c>
      <c r="CH50" s="86">
        <v>1</v>
      </c>
      <c r="CI50" s="17">
        <v>1</v>
      </c>
      <c r="CJ50" s="17">
        <v>1</v>
      </c>
    </row>
    <row r="51" spans="18:88" ht="47.25">
      <c r="R51" s="22" t="s">
        <v>193</v>
      </c>
      <c r="T51" s="24" t="s">
        <v>334</v>
      </c>
      <c r="AB51" s="215">
        <v>50</v>
      </c>
      <c r="AC51" s="35" t="s">
        <v>490</v>
      </c>
      <c r="AD51" s="33" t="s">
        <v>491</v>
      </c>
      <c r="AE51" s="37" t="str">
        <f t="shared" si="1"/>
        <v>PHC0159-68-1:Mrs. Muneera Abbasi</v>
      </c>
      <c r="AU51" s="335" t="s">
        <v>1831</v>
      </c>
      <c r="AV51" s="156" t="s">
        <v>336</v>
      </c>
      <c r="AW51" s="336" t="s">
        <v>1831</v>
      </c>
      <c r="AX51" s="161" t="s">
        <v>336</v>
      </c>
      <c r="AY51" s="331" t="s">
        <v>1831</v>
      </c>
      <c r="AZ51" s="331" t="s">
        <v>1831</v>
      </c>
      <c r="BA51" s="159"/>
      <c r="BD51" s="122"/>
      <c r="BE51" s="122"/>
      <c r="BF51" s="221" t="s">
        <v>105</v>
      </c>
      <c r="BG51" s="43" t="str">
        <f t="shared" si="12"/>
        <v>Civil-022-Civil Appeals</v>
      </c>
      <c r="BR51" s="236">
        <f t="shared" si="4"/>
        <v>48549</v>
      </c>
      <c r="BS51" s="17">
        <v>50</v>
      </c>
      <c r="BT51" s="236">
        <f t="shared" si="4"/>
        <v>48549</v>
      </c>
      <c r="BU51" s="236">
        <f t="shared" si="5"/>
        <v>48611</v>
      </c>
      <c r="BV51" s="233" t="str">
        <f t="shared" si="2"/>
        <v>Y15-Q2</v>
      </c>
      <c r="BW51" s="17" t="str">
        <f t="shared" si="11"/>
        <v>Y15-Q2</v>
      </c>
      <c r="BX51" s="17">
        <v>15</v>
      </c>
      <c r="BY51" s="17">
        <v>2</v>
      </c>
      <c r="CD51" s="43" t="s">
        <v>1771</v>
      </c>
      <c r="CE51" s="17">
        <v>1</v>
      </c>
      <c r="CF51" s="17">
        <v>1</v>
      </c>
      <c r="CG51" s="17">
        <v>-1</v>
      </c>
      <c r="CH51" s="86">
        <v>1</v>
      </c>
      <c r="CI51" s="17">
        <v>1</v>
      </c>
      <c r="CJ51" s="17">
        <v>1</v>
      </c>
    </row>
    <row r="52" spans="18:88" ht="47.25">
      <c r="R52" s="22" t="s">
        <v>194</v>
      </c>
      <c r="T52" s="24" t="s">
        <v>335</v>
      </c>
      <c r="AB52" s="215">
        <v>51</v>
      </c>
      <c r="AC52" s="35" t="s">
        <v>492</v>
      </c>
      <c r="AD52" s="33" t="s">
        <v>493</v>
      </c>
      <c r="AE52" s="37" t="str">
        <f t="shared" si="1"/>
        <v>PHC0160-68-1:Syed Anees Badshah Bukhari</v>
      </c>
      <c r="AU52" s="335" t="s">
        <v>1831</v>
      </c>
      <c r="AV52" s="156" t="s">
        <v>336</v>
      </c>
      <c r="AW52" s="336" t="s">
        <v>1832</v>
      </c>
      <c r="AX52" s="161" t="s">
        <v>337</v>
      </c>
      <c r="AY52" s="331" t="s">
        <v>1832</v>
      </c>
      <c r="AZ52" s="331" t="s">
        <v>1831</v>
      </c>
      <c r="BA52" s="159"/>
      <c r="BD52" s="122"/>
      <c r="BE52" s="122"/>
      <c r="BF52" s="221" t="s">
        <v>1748</v>
      </c>
      <c r="BG52" s="43" t="str">
        <f t="shared" si="12"/>
        <v>Civil-023-Civil Revisions</v>
      </c>
      <c r="BR52" s="236">
        <f t="shared" si="4"/>
        <v>48639</v>
      </c>
      <c r="BS52" s="17">
        <v>51</v>
      </c>
      <c r="BT52" s="236">
        <f t="shared" si="4"/>
        <v>48639</v>
      </c>
      <c r="BU52" s="236">
        <f t="shared" si="5"/>
        <v>48700</v>
      </c>
      <c r="BV52" s="233" t="str">
        <f t="shared" si="2"/>
        <v>Y15-Q3</v>
      </c>
      <c r="BW52" s="17" t="str">
        <f t="shared" si="11"/>
        <v>Y15-Q3</v>
      </c>
      <c r="BX52" s="17">
        <v>15</v>
      </c>
      <c r="BY52" s="17">
        <v>3</v>
      </c>
      <c r="CD52" s="43" t="s">
        <v>1773</v>
      </c>
      <c r="CE52" s="17">
        <v>1</v>
      </c>
      <c r="CF52" s="17">
        <v>1</v>
      </c>
      <c r="CG52" s="17">
        <v>-1</v>
      </c>
      <c r="CH52" s="86">
        <v>1</v>
      </c>
      <c r="CI52" s="17">
        <v>1</v>
      </c>
      <c r="CJ52" s="17">
        <v>1</v>
      </c>
    </row>
    <row r="53" spans="18:88" ht="94.5">
      <c r="R53" s="22" t="s">
        <v>195</v>
      </c>
      <c r="T53" s="24" t="s">
        <v>336</v>
      </c>
      <c r="AB53" s="215">
        <v>52</v>
      </c>
      <c r="AC53" s="35" t="s">
        <v>494</v>
      </c>
      <c r="AD53" s="33" t="s">
        <v>495</v>
      </c>
      <c r="AE53" s="37" t="str">
        <f t="shared" si="1"/>
        <v>PHC0161-70-1:Syed Ali Raza</v>
      </c>
      <c r="AU53" s="335" t="s">
        <v>1831</v>
      </c>
      <c r="AV53" s="156" t="s">
        <v>336</v>
      </c>
      <c r="AW53" s="336" t="s">
        <v>1833</v>
      </c>
      <c r="AX53" s="161" t="s">
        <v>338</v>
      </c>
      <c r="AY53" s="331" t="s">
        <v>1833</v>
      </c>
      <c r="AZ53" s="331" t="s">
        <v>1831</v>
      </c>
      <c r="BA53" s="159"/>
      <c r="BD53" s="122"/>
      <c r="BE53" s="122"/>
      <c r="BF53" s="221" t="s">
        <v>1749</v>
      </c>
      <c r="BG53" s="43" t="str">
        <f t="shared" si="12"/>
        <v>Civil-024-Guardianship and Succession Appeals</v>
      </c>
      <c r="BR53" s="236">
        <f t="shared" si="4"/>
        <v>48731</v>
      </c>
      <c r="BS53" s="17">
        <v>52</v>
      </c>
      <c r="BT53" s="236">
        <f t="shared" si="4"/>
        <v>48731</v>
      </c>
      <c r="BU53" s="236">
        <f t="shared" si="5"/>
        <v>48792</v>
      </c>
      <c r="BV53" s="233" t="str">
        <f t="shared" si="2"/>
        <v>Y15-Q4</v>
      </c>
      <c r="BW53" s="17" t="str">
        <f t="shared" si="11"/>
        <v>Y15-Q4</v>
      </c>
      <c r="BX53" s="17">
        <v>15</v>
      </c>
      <c r="BY53" s="17">
        <v>4</v>
      </c>
      <c r="CD53" s="43" t="s">
        <v>1774</v>
      </c>
      <c r="CE53" s="17">
        <v>1</v>
      </c>
      <c r="CF53" s="17">
        <v>1</v>
      </c>
      <c r="CG53" s="17">
        <v>-1</v>
      </c>
      <c r="CH53" s="86">
        <v>1</v>
      </c>
      <c r="CI53" s="17">
        <v>1</v>
      </c>
      <c r="CJ53" s="17">
        <v>1</v>
      </c>
    </row>
    <row r="54" spans="18:88" ht="47.25">
      <c r="R54" s="22" t="s">
        <v>196</v>
      </c>
      <c r="T54" s="24" t="s">
        <v>337</v>
      </c>
      <c r="AB54" s="215">
        <v>53</v>
      </c>
      <c r="AC54" s="35" t="s">
        <v>496</v>
      </c>
      <c r="AD54" s="33" t="s">
        <v>497</v>
      </c>
      <c r="AE54" s="37" t="str">
        <f t="shared" si="1"/>
        <v>PHC0162-63-1:Syed Kamal Hussain Shah</v>
      </c>
      <c r="AU54" s="335" t="s">
        <v>1834</v>
      </c>
      <c r="AV54" s="156" t="s">
        <v>339</v>
      </c>
      <c r="AW54" s="336" t="s">
        <v>1834</v>
      </c>
      <c r="AX54" s="161" t="s">
        <v>339</v>
      </c>
      <c r="AY54" s="331" t="s">
        <v>1834</v>
      </c>
      <c r="AZ54" s="331" t="s">
        <v>1834</v>
      </c>
      <c r="BA54" s="159"/>
      <c r="BD54" s="122"/>
      <c r="BE54" s="122"/>
      <c r="BF54" s="221" t="s">
        <v>1750</v>
      </c>
      <c r="BG54" s="43" t="str">
        <f t="shared" si="12"/>
        <v>Civil-025-Family Appeals</v>
      </c>
      <c r="BR54" s="236">
        <f t="shared" si="4"/>
        <v>48823</v>
      </c>
      <c r="BS54" s="17">
        <v>53</v>
      </c>
      <c r="BT54" s="236">
        <f t="shared" si="4"/>
        <v>48823</v>
      </c>
      <c r="BU54" s="236">
        <f t="shared" si="5"/>
        <v>48884</v>
      </c>
      <c r="BV54" s="233" t="str">
        <f t="shared" si="2"/>
        <v>Y15-Q1</v>
      </c>
      <c r="BW54" s="17" t="str">
        <f t="shared" si="11"/>
        <v>Y15-Q1</v>
      </c>
      <c r="BX54" s="17">
        <v>15</v>
      </c>
      <c r="BY54" s="17">
        <v>1</v>
      </c>
      <c r="CD54" s="43" t="s">
        <v>1775</v>
      </c>
      <c r="CE54" s="17">
        <v>1</v>
      </c>
      <c r="CF54" s="17">
        <v>1</v>
      </c>
      <c r="CG54" s="17">
        <v>-1</v>
      </c>
      <c r="CH54" s="86">
        <v>1</v>
      </c>
      <c r="CI54" s="17">
        <v>1</v>
      </c>
      <c r="CJ54" s="17">
        <v>1</v>
      </c>
    </row>
    <row r="55" spans="18:88" ht="47.25">
      <c r="R55" s="22" t="s">
        <v>197</v>
      </c>
      <c r="T55" s="24" t="s">
        <v>338</v>
      </c>
      <c r="AB55" s="215">
        <v>54</v>
      </c>
      <c r="AC55" s="35" t="s">
        <v>498</v>
      </c>
      <c r="AD55" s="33" t="s">
        <v>499</v>
      </c>
      <c r="AE55" s="37" t="str">
        <f t="shared" si="1"/>
        <v>PHC0163-66-1:Mr. Azimullah Mishwani</v>
      </c>
      <c r="AU55" s="335" t="s">
        <v>1834</v>
      </c>
      <c r="AV55" s="156" t="s">
        <v>339</v>
      </c>
      <c r="AW55" s="336" t="s">
        <v>1835</v>
      </c>
      <c r="AX55" s="161" t="s">
        <v>340</v>
      </c>
      <c r="AY55" s="331" t="s">
        <v>1835</v>
      </c>
      <c r="AZ55" s="331" t="s">
        <v>1834</v>
      </c>
      <c r="BA55" s="159"/>
      <c r="BD55" s="122"/>
      <c r="BE55" s="122"/>
      <c r="BF55" s="221" t="s">
        <v>1751</v>
      </c>
      <c r="BG55" s="43" t="str">
        <f t="shared" si="12"/>
        <v>Civil-026-Rent Appeals</v>
      </c>
      <c r="BR55" s="236">
        <f t="shared" si="4"/>
        <v>48914</v>
      </c>
      <c r="BS55" s="17">
        <v>54</v>
      </c>
      <c r="BT55" s="236">
        <f t="shared" si="4"/>
        <v>48914</v>
      </c>
      <c r="BU55" s="236">
        <f t="shared" si="5"/>
        <v>48976</v>
      </c>
      <c r="BV55" s="233" t="str">
        <f t="shared" si="2"/>
        <v>Y16-Q2</v>
      </c>
      <c r="BW55" s="17" t="str">
        <f t="shared" si="11"/>
        <v>Y16-Q2</v>
      </c>
      <c r="BX55" s="17">
        <v>16</v>
      </c>
      <c r="BY55" s="17">
        <v>2</v>
      </c>
      <c r="CD55" s="43" t="s">
        <v>1776</v>
      </c>
      <c r="CE55" s="17">
        <v>1</v>
      </c>
      <c r="CF55" s="17">
        <v>1</v>
      </c>
      <c r="CG55" s="17">
        <v>-1</v>
      </c>
      <c r="CH55" s="86">
        <v>1</v>
      </c>
      <c r="CI55" s="17">
        <v>1</v>
      </c>
      <c r="CJ55" s="17">
        <v>1</v>
      </c>
    </row>
    <row r="56" spans="18:88" ht="78.75">
      <c r="R56" s="22" t="s">
        <v>198</v>
      </c>
      <c r="T56" s="24" t="s">
        <v>339</v>
      </c>
      <c r="AB56" s="215">
        <v>55</v>
      </c>
      <c r="AC56" s="35" t="s">
        <v>500</v>
      </c>
      <c r="AD56" s="33" t="s">
        <v>501</v>
      </c>
      <c r="AE56" s="37" t="str">
        <f t="shared" si="1"/>
        <v>PHC0164-72-1:Mr. Aamer Nazir Bhatti</v>
      </c>
      <c r="AU56" s="335" t="s">
        <v>1836</v>
      </c>
      <c r="AV56" s="156" t="s">
        <v>341</v>
      </c>
      <c r="AW56" s="336" t="s">
        <v>1836</v>
      </c>
      <c r="AX56" s="161" t="s">
        <v>341</v>
      </c>
      <c r="AY56" s="331" t="s">
        <v>1836</v>
      </c>
      <c r="AZ56" s="331" t="s">
        <v>1836</v>
      </c>
      <c r="BA56" s="159"/>
      <c r="BD56" s="122"/>
      <c r="BE56" s="122"/>
      <c r="BF56" s="221" t="s">
        <v>1873</v>
      </c>
      <c r="BG56" s="43" t="str">
        <f t="shared" si="12"/>
        <v>Civil-027-Civil Appeals against Orders</v>
      </c>
      <c r="BR56" s="236">
        <f t="shared" si="4"/>
        <v>49004</v>
      </c>
      <c r="BS56" s="17">
        <v>55</v>
      </c>
      <c r="BT56" s="236">
        <f t="shared" si="4"/>
        <v>49004</v>
      </c>
      <c r="BU56" s="236">
        <f t="shared" si="5"/>
        <v>49065</v>
      </c>
      <c r="BV56" s="233" t="str">
        <f t="shared" si="2"/>
        <v>Y16-Q3</v>
      </c>
      <c r="BW56" s="17" t="str">
        <f t="shared" si="11"/>
        <v>Y16-Q3</v>
      </c>
      <c r="BX56" s="17">
        <v>16</v>
      </c>
      <c r="BY56" s="17">
        <v>3</v>
      </c>
      <c r="CD56" s="43" t="s">
        <v>1871</v>
      </c>
      <c r="CE56" s="17">
        <v>1</v>
      </c>
      <c r="CF56" s="17">
        <v>1</v>
      </c>
      <c r="CG56" s="17">
        <v>-1</v>
      </c>
      <c r="CH56" s="86">
        <v>1</v>
      </c>
      <c r="CI56" s="17">
        <v>1</v>
      </c>
      <c r="CJ56" s="17">
        <v>1</v>
      </c>
    </row>
    <row r="57" spans="18:88" ht="47.25">
      <c r="R57" s="22" t="s">
        <v>199</v>
      </c>
      <c r="T57" s="24" t="s">
        <v>340</v>
      </c>
      <c r="AB57" s="215">
        <v>56</v>
      </c>
      <c r="AC57" s="35" t="s">
        <v>502</v>
      </c>
      <c r="AD57" s="33" t="s">
        <v>503</v>
      </c>
      <c r="AE57" s="37" t="str">
        <f t="shared" si="1"/>
        <v>PHC0165-71-1:Mrs. Rozina Rehman</v>
      </c>
      <c r="AU57" s="335" t="s">
        <v>1836</v>
      </c>
      <c r="AV57" s="156" t="s">
        <v>341</v>
      </c>
      <c r="AW57" s="336" t="s">
        <v>1837</v>
      </c>
      <c r="AX57" s="161" t="s">
        <v>343</v>
      </c>
      <c r="AY57" s="331" t="s">
        <v>1837</v>
      </c>
      <c r="AZ57" s="331" t="s">
        <v>1836</v>
      </c>
      <c r="BA57" s="159"/>
      <c r="BD57" s="122"/>
      <c r="BE57" s="122"/>
      <c r="BF57" s="221" t="s">
        <v>1882</v>
      </c>
      <c r="BG57" s="43" t="str">
        <f t="shared" si="12"/>
        <v>Civil-028-Insolvency Cases</v>
      </c>
      <c r="BR57" s="236">
        <f t="shared" si="4"/>
        <v>49096</v>
      </c>
      <c r="BS57" s="17">
        <v>56</v>
      </c>
      <c r="BT57" s="236">
        <f t="shared" si="4"/>
        <v>49096</v>
      </c>
      <c r="BU57" s="236">
        <f t="shared" si="5"/>
        <v>49157</v>
      </c>
      <c r="BV57" s="233" t="str">
        <f t="shared" si="2"/>
        <v>Y16-Q4</v>
      </c>
      <c r="BW57" s="17" t="str">
        <f t="shared" si="11"/>
        <v>Y16-Q4</v>
      </c>
      <c r="BX57" s="17">
        <v>16</v>
      </c>
      <c r="BY57" s="17">
        <v>4</v>
      </c>
      <c r="CD57" s="43" t="s">
        <v>1883</v>
      </c>
      <c r="CE57" s="17">
        <v>1</v>
      </c>
      <c r="CF57" s="17">
        <v>1</v>
      </c>
      <c r="CG57" s="17">
        <v>-1</v>
      </c>
      <c r="CH57" s="86">
        <v>1</v>
      </c>
      <c r="CI57" s="17">
        <v>1</v>
      </c>
      <c r="CJ57" s="17">
        <v>1</v>
      </c>
    </row>
    <row r="58" spans="18:88" ht="30">
      <c r="R58" s="22" t="s">
        <v>200</v>
      </c>
      <c r="T58" s="24" t="s">
        <v>341</v>
      </c>
      <c r="AB58" s="215">
        <v>57</v>
      </c>
      <c r="AC58" s="35" t="s">
        <v>504</v>
      </c>
      <c r="AD58" s="33" t="s">
        <v>505</v>
      </c>
      <c r="AE58" s="37" t="str">
        <f t="shared" si="1"/>
        <v>PHC0167-69-1:Mr. Asad Hameed Khan</v>
      </c>
      <c r="AU58" s="335" t="s">
        <v>1836</v>
      </c>
      <c r="AV58" s="156" t="s">
        <v>341</v>
      </c>
      <c r="AW58" s="336" t="s">
        <v>1838</v>
      </c>
      <c r="AX58" s="161" t="s">
        <v>342</v>
      </c>
      <c r="AY58" s="331" t="s">
        <v>1838</v>
      </c>
      <c r="AZ58" s="331" t="s">
        <v>1836</v>
      </c>
      <c r="BA58" s="159"/>
      <c r="BD58" s="122"/>
      <c r="BE58" s="122"/>
      <c r="BF58" s="266" t="s">
        <v>2010</v>
      </c>
      <c r="BG58" t="s">
        <v>2012</v>
      </c>
      <c r="BR58" s="236">
        <f t="shared" si="4"/>
        <v>49188</v>
      </c>
      <c r="BS58" s="17">
        <v>57</v>
      </c>
      <c r="BT58" s="236">
        <f t="shared" si="4"/>
        <v>49188</v>
      </c>
      <c r="BU58" s="236">
        <f t="shared" si="5"/>
        <v>49249</v>
      </c>
      <c r="BV58" s="233" t="str">
        <f t="shared" si="2"/>
        <v>Y17-Q1</v>
      </c>
      <c r="BW58" s="17" t="str">
        <f t="shared" si="11"/>
        <v>Y17-Q1</v>
      </c>
      <c r="BX58" s="17">
        <v>17</v>
      </c>
      <c r="BY58" s="17">
        <v>1</v>
      </c>
      <c r="CD58" s="17" t="s">
        <v>2012</v>
      </c>
      <c r="CE58" s="17">
        <v>1</v>
      </c>
      <c r="CF58" s="17">
        <v>1</v>
      </c>
      <c r="CG58" s="17">
        <v>-1</v>
      </c>
      <c r="CH58" s="86">
        <v>1</v>
      </c>
      <c r="CI58" s="17">
        <v>1</v>
      </c>
      <c r="CJ58" s="17">
        <v>1</v>
      </c>
    </row>
    <row r="59" spans="18:88">
      <c r="R59" s="22" t="s">
        <v>201</v>
      </c>
      <c r="T59" s="24" t="s">
        <v>342</v>
      </c>
      <c r="AB59" s="215">
        <v>58</v>
      </c>
      <c r="AC59" s="35" t="s">
        <v>506</v>
      </c>
      <c r="AD59" s="33" t="s">
        <v>507</v>
      </c>
      <c r="AE59" s="37" t="str">
        <f t="shared" si="1"/>
        <v>PHC0168-70-1:Mr. Muhammad Naseem</v>
      </c>
      <c r="AU59" s="335" t="s">
        <v>1839</v>
      </c>
      <c r="AV59" s="156" t="s">
        <v>344</v>
      </c>
      <c r="AW59" s="336" t="s">
        <v>1839</v>
      </c>
      <c r="AX59" s="161" t="s">
        <v>344</v>
      </c>
      <c r="AY59" s="331" t="s">
        <v>1839</v>
      </c>
      <c r="AZ59" s="331" t="s">
        <v>1839</v>
      </c>
      <c r="BA59" s="159"/>
      <c r="BD59" s="122"/>
      <c r="BE59" s="122"/>
      <c r="BR59" s="236">
        <f t="shared" si="4"/>
        <v>49279</v>
      </c>
      <c r="BS59" s="17">
        <v>58</v>
      </c>
      <c r="BT59" s="236">
        <f t="shared" si="4"/>
        <v>49279</v>
      </c>
      <c r="BU59" s="236">
        <f t="shared" si="5"/>
        <v>49341</v>
      </c>
      <c r="BV59" s="233" t="str">
        <f t="shared" si="2"/>
        <v>Y17-Q2</v>
      </c>
      <c r="BW59" s="17" t="str">
        <f t="shared" si="11"/>
        <v>Y17-Q2</v>
      </c>
      <c r="BX59" s="17">
        <v>17</v>
      </c>
      <c r="BY59" s="17">
        <v>2</v>
      </c>
    </row>
    <row r="60" spans="18:88" ht="30">
      <c r="R60" s="22" t="s">
        <v>202</v>
      </c>
      <c r="T60" s="24" t="s">
        <v>343</v>
      </c>
      <c r="AB60" s="215">
        <v>59</v>
      </c>
      <c r="AC60" s="35" t="s">
        <v>508</v>
      </c>
      <c r="AD60" s="33" t="s">
        <v>509</v>
      </c>
      <c r="AE60" s="37" t="str">
        <f t="shared" si="1"/>
        <v>PHC0169-68-1:Mr. Tahir Mehmood</v>
      </c>
      <c r="AU60" s="335" t="s">
        <v>1839</v>
      </c>
      <c r="AV60" s="156" t="s">
        <v>344</v>
      </c>
      <c r="AW60" s="336" t="s">
        <v>1840</v>
      </c>
      <c r="AX60" s="161" t="s">
        <v>345</v>
      </c>
      <c r="AY60" s="331" t="s">
        <v>1840</v>
      </c>
      <c r="AZ60" s="331" t="s">
        <v>1839</v>
      </c>
      <c r="BA60" s="159"/>
      <c r="BD60" s="122"/>
      <c r="BE60" s="122"/>
      <c r="BR60" s="236">
        <f t="shared" si="4"/>
        <v>49369</v>
      </c>
      <c r="BS60" s="17">
        <v>59</v>
      </c>
      <c r="BT60" s="236">
        <f t="shared" si="4"/>
        <v>49369</v>
      </c>
      <c r="BU60" s="236">
        <f t="shared" si="5"/>
        <v>49430</v>
      </c>
      <c r="BV60" s="233" t="str">
        <f t="shared" si="2"/>
        <v>Y17-Q3</v>
      </c>
      <c r="BW60" s="17" t="str">
        <f t="shared" si="11"/>
        <v>Y17-Q3</v>
      </c>
      <c r="BX60" s="17">
        <v>17</v>
      </c>
      <c r="BY60" s="17">
        <v>3</v>
      </c>
    </row>
    <row r="61" spans="18:88" ht="30">
      <c r="R61" s="22" t="s">
        <v>203</v>
      </c>
      <c r="T61" s="24" t="s">
        <v>344</v>
      </c>
      <c r="AB61" s="215">
        <v>60</v>
      </c>
      <c r="AC61" s="35" t="s">
        <v>510</v>
      </c>
      <c r="AD61" s="33" t="s">
        <v>511</v>
      </c>
      <c r="AE61" s="37" t="str">
        <f t="shared" si="1"/>
        <v>PHC0173-69-1:Mr. Muhammad Arshad</v>
      </c>
      <c r="AU61" s="335" t="s">
        <v>1839</v>
      </c>
      <c r="AV61" s="156" t="s">
        <v>344</v>
      </c>
      <c r="AW61" s="336" t="s">
        <v>1841</v>
      </c>
      <c r="AX61" s="161" t="s">
        <v>346</v>
      </c>
      <c r="AY61" s="331" t="s">
        <v>1841</v>
      </c>
      <c r="AZ61" s="331" t="s">
        <v>1839</v>
      </c>
      <c r="BA61" s="159"/>
      <c r="BD61" s="122"/>
      <c r="BE61" s="122"/>
      <c r="BR61" s="236">
        <f t="shared" si="4"/>
        <v>49461</v>
      </c>
      <c r="BS61" s="17">
        <v>60</v>
      </c>
      <c r="BT61" s="236">
        <f t="shared" si="4"/>
        <v>49461</v>
      </c>
      <c r="BU61" s="236">
        <f t="shared" si="5"/>
        <v>49522</v>
      </c>
      <c r="BV61" s="233" t="str">
        <f t="shared" si="2"/>
        <v>Y17-Q4</v>
      </c>
      <c r="BW61" s="17" t="str">
        <f t="shared" si="11"/>
        <v>Y17-Q4</v>
      </c>
      <c r="BX61" s="17">
        <v>17</v>
      </c>
      <c r="BY61" s="17">
        <v>4</v>
      </c>
    </row>
    <row r="62" spans="18:88">
      <c r="R62" s="22" t="s">
        <v>204</v>
      </c>
      <c r="T62" s="24" t="s">
        <v>345</v>
      </c>
      <c r="AB62" s="215">
        <v>61</v>
      </c>
      <c r="AC62" s="35" t="s">
        <v>512</v>
      </c>
      <c r="AD62" s="33" t="s">
        <v>513</v>
      </c>
      <c r="AE62" s="37" t="str">
        <f t="shared" si="1"/>
        <v>PHC0175-72-1:Mr. Safi-ullah Jan</v>
      </c>
      <c r="AU62" s="335" t="s">
        <v>1842</v>
      </c>
      <c r="AV62" s="156" t="s">
        <v>347</v>
      </c>
      <c r="AW62" s="336" t="s">
        <v>1842</v>
      </c>
      <c r="AX62" s="161" t="s">
        <v>347</v>
      </c>
      <c r="AY62" s="331" t="s">
        <v>1842</v>
      </c>
      <c r="AZ62" s="331" t="s">
        <v>1842</v>
      </c>
      <c r="BA62" s="159"/>
      <c r="BD62" s="122"/>
      <c r="BE62" s="122"/>
      <c r="BR62" s="238"/>
      <c r="BT62" s="238"/>
      <c r="BU62" s="238"/>
      <c r="BV62" s="237"/>
    </row>
    <row r="63" spans="18:88" ht="30">
      <c r="R63" s="22" t="s">
        <v>205</v>
      </c>
      <c r="T63" s="24" t="s">
        <v>346</v>
      </c>
      <c r="AB63" s="215">
        <v>62</v>
      </c>
      <c r="AC63" s="35" t="s">
        <v>514</v>
      </c>
      <c r="AD63" s="33" t="s">
        <v>515</v>
      </c>
      <c r="AE63" s="37" t="str">
        <f t="shared" si="1"/>
        <v>PHC0177-71-1:Mr. Asghar Shah</v>
      </c>
      <c r="AU63" s="335" t="s">
        <v>1842</v>
      </c>
      <c r="AV63" s="156" t="s">
        <v>347</v>
      </c>
      <c r="AW63" s="336" t="s">
        <v>1843</v>
      </c>
      <c r="AX63" s="161" t="s">
        <v>348</v>
      </c>
      <c r="AY63" s="331" t="s">
        <v>1843</v>
      </c>
      <c r="AZ63" s="331" t="s">
        <v>1842</v>
      </c>
      <c r="BA63" s="159"/>
      <c r="BD63" s="122"/>
      <c r="BE63" s="122"/>
      <c r="BR63" s="236"/>
      <c r="BT63" s="236"/>
      <c r="BU63" s="236"/>
      <c r="BV63" s="237"/>
    </row>
    <row r="64" spans="18:88" ht="30">
      <c r="R64" s="22" t="s">
        <v>206</v>
      </c>
      <c r="T64" s="24" t="s">
        <v>347</v>
      </c>
      <c r="AB64" s="215">
        <v>63</v>
      </c>
      <c r="AC64" s="35" t="s">
        <v>516</v>
      </c>
      <c r="AD64" s="33" t="s">
        <v>517</v>
      </c>
      <c r="AE64" s="37" t="str">
        <f t="shared" si="1"/>
        <v>PHC0178-73-1:Mr. Jehangir Khan</v>
      </c>
      <c r="AU64" s="327" t="s">
        <v>1844</v>
      </c>
      <c r="AV64" s="223" t="s">
        <v>349</v>
      </c>
      <c r="AW64" s="336" t="s">
        <v>1844</v>
      </c>
      <c r="AX64" s="223" t="s">
        <v>1845</v>
      </c>
      <c r="AY64" s="329" t="s">
        <v>1844</v>
      </c>
      <c r="AZ64" s="329" t="s">
        <v>1844</v>
      </c>
      <c r="BA64" s="159"/>
      <c r="BD64" s="122"/>
      <c r="BE64" s="122"/>
      <c r="BR64" s="236"/>
      <c r="BT64" s="236"/>
      <c r="BU64" s="236"/>
      <c r="BV64" s="237"/>
    </row>
    <row r="65" spans="18:74" ht="30">
      <c r="R65" s="22" t="s">
        <v>207</v>
      </c>
      <c r="T65" s="24" t="s">
        <v>348</v>
      </c>
      <c r="AB65" s="215">
        <v>64</v>
      </c>
      <c r="AC65" s="35" t="s">
        <v>518</v>
      </c>
      <c r="AD65" s="33" t="s">
        <v>519</v>
      </c>
      <c r="AE65" s="37" t="str">
        <f t="shared" si="1"/>
        <v>PHC0182-72-1:Syed Obaidullah Shah</v>
      </c>
      <c r="AU65" s="327" t="s">
        <v>1844</v>
      </c>
      <c r="AV65" s="223" t="s">
        <v>349</v>
      </c>
      <c r="AW65" s="336" t="s">
        <v>1846</v>
      </c>
      <c r="AX65" s="223" t="s">
        <v>1847</v>
      </c>
      <c r="AY65" s="329" t="s">
        <v>1846</v>
      </c>
      <c r="AZ65" s="329" t="s">
        <v>1844</v>
      </c>
      <c r="BA65" s="159"/>
      <c r="BD65" s="122"/>
      <c r="BE65" s="122"/>
      <c r="BR65" s="236"/>
      <c r="BT65" s="236"/>
      <c r="BU65" s="236"/>
      <c r="BV65" s="237"/>
    </row>
    <row r="66" spans="18:74">
      <c r="R66" s="22" t="s">
        <v>208</v>
      </c>
      <c r="T66" s="21" t="s">
        <v>349</v>
      </c>
      <c r="AB66" s="215">
        <v>65</v>
      </c>
      <c r="AC66" s="35" t="s">
        <v>520</v>
      </c>
      <c r="AD66" s="33" t="s">
        <v>521</v>
      </c>
      <c r="AE66" s="37" t="str">
        <f t="shared" si="1"/>
        <v>PHC0183-68-1:Mr. Fazal Sattar</v>
      </c>
      <c r="AU66" s="335" t="s">
        <v>1848</v>
      </c>
      <c r="AV66" s="156" t="s">
        <v>350</v>
      </c>
      <c r="AW66" s="336" t="s">
        <v>1848</v>
      </c>
      <c r="AX66" s="161" t="s">
        <v>350</v>
      </c>
      <c r="AY66" s="331" t="s">
        <v>1848</v>
      </c>
      <c r="AZ66" s="331" t="s">
        <v>1848</v>
      </c>
      <c r="BA66" s="159"/>
      <c r="BD66" s="122"/>
      <c r="BE66" s="122"/>
      <c r="BR66" s="236"/>
      <c r="BT66" s="236"/>
      <c r="BU66" s="236"/>
      <c r="BV66" s="237"/>
    </row>
    <row r="67" spans="18:74" ht="30">
      <c r="R67" s="22" t="s">
        <v>209</v>
      </c>
      <c r="T67" s="24" t="s">
        <v>350</v>
      </c>
      <c r="AB67" s="215">
        <v>66</v>
      </c>
      <c r="AC67" s="35" t="s">
        <v>522</v>
      </c>
      <c r="AD67" s="33" t="s">
        <v>523</v>
      </c>
      <c r="AE67" s="37" t="str">
        <f t="shared" ref="AE67:AE130" si="13">CONCATENATE(AC67,":",AD67)</f>
        <v>PHC0184-73-1:Mr. Khalid Khan Mohmand</v>
      </c>
      <c r="AU67" s="335" t="s">
        <v>1848</v>
      </c>
      <c r="AV67" s="324" t="s">
        <v>350</v>
      </c>
      <c r="AW67" s="336">
        <v>2501</v>
      </c>
      <c r="AX67" s="264" t="s">
        <v>2037</v>
      </c>
      <c r="AY67" s="331">
        <v>2501</v>
      </c>
      <c r="AZ67" s="331">
        <v>2500</v>
      </c>
      <c r="BA67" s="159"/>
      <c r="BD67" s="122"/>
      <c r="BE67" s="122"/>
      <c r="BR67" s="236"/>
      <c r="BT67" s="236"/>
      <c r="BU67" s="236"/>
      <c r="BV67" s="237"/>
    </row>
    <row r="68" spans="18:74" ht="30">
      <c r="R68" s="22" t="s">
        <v>210</v>
      </c>
      <c r="T68" s="24" t="s">
        <v>351</v>
      </c>
      <c r="AB68" s="215">
        <v>67</v>
      </c>
      <c r="AC68" s="35" t="s">
        <v>524</v>
      </c>
      <c r="AD68" s="33" t="s">
        <v>525</v>
      </c>
      <c r="AE68" s="37" t="str">
        <f t="shared" si="13"/>
        <v>PHC0185-68-1:Mr. Riaz Ahmad</v>
      </c>
      <c r="AU68" s="335" t="s">
        <v>1849</v>
      </c>
      <c r="AV68" s="156" t="s">
        <v>352</v>
      </c>
      <c r="AW68" s="336" t="s">
        <v>1849</v>
      </c>
      <c r="AX68" s="161" t="s">
        <v>352</v>
      </c>
      <c r="AY68" s="331" t="s">
        <v>1849</v>
      </c>
      <c r="AZ68" s="331" t="s">
        <v>1849</v>
      </c>
      <c r="BA68" s="159"/>
      <c r="BD68" s="122"/>
      <c r="BE68" s="122"/>
      <c r="BR68" s="236"/>
      <c r="BT68" s="236"/>
      <c r="BU68" s="236"/>
      <c r="BV68" s="237"/>
    </row>
    <row r="69" spans="18:74" ht="45">
      <c r="R69" s="22" t="s">
        <v>211</v>
      </c>
      <c r="T69" s="21" t="s">
        <v>352</v>
      </c>
      <c r="AB69" s="215">
        <v>68</v>
      </c>
      <c r="AC69" s="35" t="s">
        <v>526</v>
      </c>
      <c r="AD69" s="33" t="s">
        <v>527</v>
      </c>
      <c r="AE69" s="37" t="str">
        <f t="shared" si="13"/>
        <v>PHC0186-68-1:Mr. Altafur Rehman</v>
      </c>
      <c r="AU69" s="327" t="s">
        <v>1850</v>
      </c>
      <c r="AV69" s="223" t="s">
        <v>1851</v>
      </c>
      <c r="AW69" s="336" t="s">
        <v>1850</v>
      </c>
      <c r="AX69" s="223" t="s">
        <v>1851</v>
      </c>
      <c r="AY69" s="329" t="s">
        <v>1850</v>
      </c>
      <c r="AZ69" s="329" t="s">
        <v>1850</v>
      </c>
      <c r="BA69" s="159"/>
      <c r="BD69" s="122"/>
      <c r="BE69" s="122"/>
      <c r="BR69" s="236"/>
      <c r="BT69" s="236"/>
      <c r="BU69" s="236"/>
      <c r="BV69" s="237"/>
    </row>
    <row r="70" spans="18:74" ht="30">
      <c r="R70" s="22" t="s">
        <v>212</v>
      </c>
      <c r="T70" s="25" t="s">
        <v>353</v>
      </c>
      <c r="AB70" s="215">
        <v>69</v>
      </c>
      <c r="AC70" s="35" t="s">
        <v>528</v>
      </c>
      <c r="AD70" s="33" t="s">
        <v>529</v>
      </c>
      <c r="AE70" s="37" t="str">
        <f t="shared" si="13"/>
        <v>PHC0187-68-1:Mr. Javed ur Rehman</v>
      </c>
      <c r="AU70" s="335" t="s">
        <v>1852</v>
      </c>
      <c r="AV70" s="156" t="s">
        <v>354</v>
      </c>
      <c r="AW70" s="336" t="s">
        <v>1852</v>
      </c>
      <c r="AX70" s="161" t="s">
        <v>354</v>
      </c>
      <c r="AY70" s="331" t="s">
        <v>1852</v>
      </c>
      <c r="AZ70" s="331" t="s">
        <v>1852</v>
      </c>
      <c r="BA70" s="159"/>
      <c r="BD70" s="122"/>
      <c r="BE70" s="122"/>
      <c r="BR70" s="236"/>
      <c r="BT70" s="236"/>
      <c r="BU70" s="236"/>
      <c r="BV70" s="237"/>
    </row>
    <row r="71" spans="18:74" ht="30">
      <c r="R71" s="22" t="s">
        <v>213</v>
      </c>
      <c r="T71" s="21" t="s">
        <v>354</v>
      </c>
      <c r="AB71" s="215">
        <v>70</v>
      </c>
      <c r="AC71" s="35" t="s">
        <v>530</v>
      </c>
      <c r="AD71" s="33" t="s">
        <v>531</v>
      </c>
      <c r="AE71" s="37" t="str">
        <f t="shared" si="13"/>
        <v>PHC0188-69-1:Mr. Liaqat Ali</v>
      </c>
      <c r="AU71" s="335" t="s">
        <v>1853</v>
      </c>
      <c r="AV71" s="156" t="s">
        <v>355</v>
      </c>
      <c r="AW71" s="336" t="s">
        <v>1853</v>
      </c>
      <c r="AX71" s="161" t="s">
        <v>355</v>
      </c>
      <c r="AY71" s="331" t="s">
        <v>1853</v>
      </c>
      <c r="AZ71" s="331" t="s">
        <v>1853</v>
      </c>
      <c r="BA71" s="159"/>
      <c r="BD71" s="122"/>
      <c r="BE71" s="122"/>
      <c r="BR71" s="236"/>
      <c r="BT71" s="236"/>
      <c r="BU71" s="236"/>
      <c r="BV71" s="237"/>
    </row>
    <row r="72" spans="18:74" ht="30">
      <c r="R72" s="22" t="s">
        <v>214</v>
      </c>
      <c r="T72" s="21" t="s">
        <v>355</v>
      </c>
      <c r="AB72" s="215">
        <v>71</v>
      </c>
      <c r="AC72" s="35" t="s">
        <v>532</v>
      </c>
      <c r="AD72" s="33" t="s">
        <v>533</v>
      </c>
      <c r="AE72" s="37" t="str">
        <f t="shared" si="13"/>
        <v>PHC0189-62-1:Mr. Muhammad Arif Khan</v>
      </c>
      <c r="AU72" s="335" t="s">
        <v>1853</v>
      </c>
      <c r="AV72" s="156" t="s">
        <v>355</v>
      </c>
      <c r="AW72" s="336">
        <v>2901</v>
      </c>
      <c r="AX72" s="264" t="s">
        <v>2007</v>
      </c>
      <c r="AY72" s="331">
        <v>2901</v>
      </c>
      <c r="AZ72" s="331" t="s">
        <v>1853</v>
      </c>
      <c r="BA72" s="159"/>
      <c r="BD72" s="122"/>
      <c r="BE72" s="122"/>
      <c r="BR72" s="236"/>
      <c r="BT72" s="236"/>
      <c r="BU72" s="236"/>
      <c r="BV72" s="237"/>
    </row>
    <row r="73" spans="18:74" ht="30">
      <c r="R73" s="22" t="s">
        <v>215</v>
      </c>
      <c r="T73" s="21" t="s">
        <v>356</v>
      </c>
      <c r="AB73" s="215">
        <v>72</v>
      </c>
      <c r="AC73" s="35" t="s">
        <v>534</v>
      </c>
      <c r="AD73" s="33" t="s">
        <v>535</v>
      </c>
      <c r="AE73" s="37" t="str">
        <f t="shared" si="13"/>
        <v>PHC0190-68-1:Mr. Azhar Ali</v>
      </c>
      <c r="AU73" s="335" t="s">
        <v>1853</v>
      </c>
      <c r="AV73" s="156" t="s">
        <v>355</v>
      </c>
      <c r="AW73" s="336">
        <v>2902</v>
      </c>
      <c r="AX73" s="264" t="s">
        <v>2008</v>
      </c>
      <c r="AY73" s="331">
        <v>2902</v>
      </c>
      <c r="AZ73" s="331" t="s">
        <v>1853</v>
      </c>
      <c r="BA73" s="159"/>
      <c r="BD73" s="122"/>
      <c r="BE73" s="122"/>
      <c r="BR73" s="236"/>
      <c r="BT73" s="236"/>
      <c r="BU73" s="236"/>
      <c r="BV73" s="237"/>
    </row>
    <row r="74" spans="18:74" ht="30">
      <c r="R74" s="22" t="s">
        <v>216</v>
      </c>
      <c r="T74" s="21" t="s">
        <v>357</v>
      </c>
      <c r="AB74" s="215">
        <v>73</v>
      </c>
      <c r="AC74" s="35" t="s">
        <v>536</v>
      </c>
      <c r="AD74" s="33" t="s">
        <v>537</v>
      </c>
      <c r="AE74" s="37" t="str">
        <f t="shared" si="13"/>
        <v>PHC0192-74-1:Miss Kalsoom Azam</v>
      </c>
      <c r="AU74" s="335" t="s">
        <v>1854</v>
      </c>
      <c r="AV74" s="156" t="s">
        <v>356</v>
      </c>
      <c r="AW74" s="336" t="s">
        <v>1854</v>
      </c>
      <c r="AX74" s="161" t="s">
        <v>356</v>
      </c>
      <c r="AY74" s="331" t="s">
        <v>1854</v>
      </c>
      <c r="AZ74" s="331" t="s">
        <v>1854</v>
      </c>
      <c r="BA74" s="159"/>
      <c r="BD74" s="122"/>
      <c r="BE74" s="122"/>
      <c r="BR74" s="236"/>
      <c r="BT74" s="236"/>
      <c r="BU74" s="236"/>
      <c r="BV74" s="237"/>
    </row>
    <row r="75" spans="18:74" ht="30">
      <c r="R75" s="23" t="s">
        <v>217</v>
      </c>
      <c r="T75" s="21" t="s">
        <v>358</v>
      </c>
      <c r="AB75" s="215">
        <v>74</v>
      </c>
      <c r="AC75" s="35" t="s">
        <v>538</v>
      </c>
      <c r="AD75" s="33" t="s">
        <v>539</v>
      </c>
      <c r="AE75" s="37" t="str">
        <f t="shared" si="13"/>
        <v>PHC0193-73-1:Mr. Amjad Zia Siddiqui</v>
      </c>
      <c r="AU75" s="335" t="s">
        <v>1855</v>
      </c>
      <c r="AV75" s="156" t="s">
        <v>357</v>
      </c>
      <c r="AW75" s="336" t="s">
        <v>1855</v>
      </c>
      <c r="AX75" s="161" t="s">
        <v>357</v>
      </c>
      <c r="AY75" s="331" t="s">
        <v>1855</v>
      </c>
      <c r="AZ75" s="331" t="s">
        <v>1855</v>
      </c>
      <c r="BA75" s="159"/>
      <c r="BD75" s="122"/>
      <c r="BE75" s="122"/>
      <c r="BR75" s="236"/>
      <c r="BT75" s="236"/>
      <c r="BU75" s="236"/>
      <c r="BV75" s="237"/>
    </row>
    <row r="76" spans="18:74" ht="30">
      <c r="R76" s="22" t="s">
        <v>218</v>
      </c>
      <c r="T76" s="21" t="s">
        <v>359</v>
      </c>
      <c r="AB76" s="215">
        <v>75</v>
      </c>
      <c r="AC76" s="35" t="s">
        <v>540</v>
      </c>
      <c r="AD76" s="33" t="s">
        <v>541</v>
      </c>
      <c r="AE76" s="37" t="str">
        <f t="shared" si="13"/>
        <v>PHC0194-71-1:Mr. Haq Nawaz Khan</v>
      </c>
      <c r="AU76" s="335" t="s">
        <v>1856</v>
      </c>
      <c r="AV76" s="156" t="s">
        <v>358</v>
      </c>
      <c r="AW76" s="336" t="s">
        <v>1856</v>
      </c>
      <c r="AX76" s="161" t="s">
        <v>358</v>
      </c>
      <c r="AY76" s="331" t="s">
        <v>1856</v>
      </c>
      <c r="AZ76" s="331" t="s">
        <v>1856</v>
      </c>
      <c r="BA76" s="159"/>
      <c r="BD76" s="122"/>
      <c r="BE76" s="122"/>
      <c r="BR76" s="236"/>
      <c r="BT76" s="236"/>
      <c r="BU76" s="236"/>
      <c r="BV76" s="237"/>
    </row>
    <row r="77" spans="18:74" ht="30">
      <c r="R77" s="22" t="s">
        <v>219</v>
      </c>
      <c r="T77" s="21" t="s">
        <v>360</v>
      </c>
      <c r="AB77" s="215">
        <v>76</v>
      </c>
      <c r="AC77" s="35" t="s">
        <v>542</v>
      </c>
      <c r="AD77" s="33" t="s">
        <v>543</v>
      </c>
      <c r="AE77" s="37" t="str">
        <f t="shared" si="13"/>
        <v>PHC0195-65-1:Miss Ambareen Naveed</v>
      </c>
      <c r="AU77" s="335" t="s">
        <v>1856</v>
      </c>
      <c r="AV77" s="156" t="s">
        <v>358</v>
      </c>
      <c r="AW77" s="336">
        <v>3201</v>
      </c>
      <c r="AX77" s="264" t="s">
        <v>2003</v>
      </c>
      <c r="AY77" s="331">
        <v>3201</v>
      </c>
      <c r="AZ77" s="331">
        <v>3200</v>
      </c>
      <c r="BA77" s="159"/>
      <c r="BD77" s="122"/>
      <c r="BE77" s="122"/>
      <c r="BR77" s="236"/>
      <c r="BT77" s="236"/>
      <c r="BU77" s="236"/>
      <c r="BV77" s="237"/>
    </row>
    <row r="78" spans="18:74" ht="45">
      <c r="R78" s="22" t="s">
        <v>220</v>
      </c>
      <c r="T78" s="21" t="s">
        <v>361</v>
      </c>
      <c r="AB78" s="215">
        <v>77</v>
      </c>
      <c r="AC78" s="35" t="s">
        <v>544</v>
      </c>
      <c r="AD78" s="33" t="s">
        <v>545</v>
      </c>
      <c r="AE78" s="37" t="str">
        <f t="shared" si="13"/>
        <v>PHC0196-66-1:Mr. Ijaz Ahmad</v>
      </c>
      <c r="AU78" s="335" t="s">
        <v>1857</v>
      </c>
      <c r="AV78" s="156" t="s">
        <v>360</v>
      </c>
      <c r="AW78" s="336" t="s">
        <v>1857</v>
      </c>
      <c r="AX78" s="161" t="s">
        <v>1858</v>
      </c>
      <c r="AY78" s="331" t="s">
        <v>1857</v>
      </c>
      <c r="AZ78" s="331" t="s">
        <v>1857</v>
      </c>
      <c r="BA78" s="159"/>
      <c r="BD78" s="122"/>
      <c r="BE78" s="122"/>
      <c r="BR78" s="236"/>
      <c r="BT78" s="236"/>
      <c r="BU78" s="236"/>
      <c r="BV78" s="237"/>
    </row>
    <row r="79" spans="18:74" ht="45">
      <c r="R79" s="22" t="s">
        <v>221</v>
      </c>
      <c r="T79" s="21" t="s">
        <v>362</v>
      </c>
      <c r="AB79" s="215">
        <v>78</v>
      </c>
      <c r="AC79" s="35" t="s">
        <v>546</v>
      </c>
      <c r="AD79" s="33" t="s">
        <v>547</v>
      </c>
      <c r="AE79" s="37" t="str">
        <f t="shared" si="13"/>
        <v>PHC0197-62-1:Syed Asghar Ali Shah</v>
      </c>
      <c r="AU79" s="335" t="s">
        <v>1859</v>
      </c>
      <c r="AV79" s="156" t="s">
        <v>361</v>
      </c>
      <c r="AW79" s="336" t="s">
        <v>1859</v>
      </c>
      <c r="AX79" s="161" t="s">
        <v>1860</v>
      </c>
      <c r="AY79" s="331" t="s">
        <v>1859</v>
      </c>
      <c r="AZ79" s="331" t="s">
        <v>1859</v>
      </c>
      <c r="BR79" s="236"/>
      <c r="BT79" s="236"/>
      <c r="BU79" s="236"/>
      <c r="BV79" s="237"/>
    </row>
    <row r="80" spans="18:74" ht="30">
      <c r="R80" s="22" t="s">
        <v>222</v>
      </c>
      <c r="AB80" s="215">
        <v>79</v>
      </c>
      <c r="AC80" s="35" t="s">
        <v>548</v>
      </c>
      <c r="AD80" s="33" t="s">
        <v>549</v>
      </c>
      <c r="AE80" s="37" t="str">
        <f t="shared" si="13"/>
        <v>PHC0200-71-1:Mr. Hayat Gul</v>
      </c>
      <c r="AU80" s="335" t="s">
        <v>1861</v>
      </c>
      <c r="AV80" s="156" t="s">
        <v>362</v>
      </c>
      <c r="AW80" s="336" t="s">
        <v>1861</v>
      </c>
      <c r="AX80" s="161" t="s">
        <v>362</v>
      </c>
      <c r="AY80" s="331" t="s">
        <v>1861</v>
      </c>
      <c r="AZ80" s="331" t="s">
        <v>1861</v>
      </c>
      <c r="BR80" s="236"/>
      <c r="BT80" s="236"/>
      <c r="BU80" s="236"/>
      <c r="BV80" s="237"/>
    </row>
    <row r="81" spans="18:74" ht="30">
      <c r="R81" s="22" t="s">
        <v>223</v>
      </c>
      <c r="AB81" s="215">
        <v>80</v>
      </c>
      <c r="AC81" s="35" t="s">
        <v>550</v>
      </c>
      <c r="AD81" s="33" t="s">
        <v>551</v>
      </c>
      <c r="AE81" s="37" t="str">
        <f t="shared" si="13"/>
        <v>PHC0203-68-1:Mr. Inamullah Wazir</v>
      </c>
      <c r="AU81" s="328" t="s">
        <v>1861</v>
      </c>
      <c r="AV81" s="224" t="s">
        <v>362</v>
      </c>
      <c r="AW81" s="336">
        <v>3501</v>
      </c>
      <c r="AX81" s="226" t="s">
        <v>1979</v>
      </c>
      <c r="AY81" s="328">
        <v>3501</v>
      </c>
      <c r="AZ81" s="329">
        <v>3500</v>
      </c>
      <c r="BR81" s="236"/>
      <c r="BT81" s="236"/>
      <c r="BU81" s="236"/>
      <c r="BV81" s="237"/>
    </row>
    <row r="82" spans="18:74" ht="30">
      <c r="R82" s="22" t="s">
        <v>224</v>
      </c>
      <c r="AB82" s="215">
        <v>81</v>
      </c>
      <c r="AC82" s="35" t="s">
        <v>552</v>
      </c>
      <c r="AD82" s="33" t="s">
        <v>553</v>
      </c>
      <c r="AE82" s="37" t="str">
        <f t="shared" si="13"/>
        <v>PHC0204-75-1:Mr. Irshad Ahmad Khan</v>
      </c>
      <c r="AU82" s="328" t="s">
        <v>1861</v>
      </c>
      <c r="AV82" s="225" t="s">
        <v>362</v>
      </c>
      <c r="AW82" s="336">
        <v>3502</v>
      </c>
      <c r="AX82" s="227" t="s">
        <v>1980</v>
      </c>
      <c r="AY82" s="328">
        <v>3502</v>
      </c>
      <c r="AZ82" s="329">
        <v>3500</v>
      </c>
      <c r="BR82" s="236"/>
      <c r="BT82" s="236"/>
      <c r="BU82" s="236"/>
      <c r="BV82" s="237"/>
    </row>
    <row r="83" spans="18:74">
      <c r="R83" s="22" t="s">
        <v>225</v>
      </c>
      <c r="AB83" s="215">
        <v>82</v>
      </c>
      <c r="AC83" s="35" t="s">
        <v>554</v>
      </c>
      <c r="AD83" s="33" t="s">
        <v>555</v>
      </c>
      <c r="AE83" s="37" t="str">
        <f t="shared" si="13"/>
        <v>PHC0205-73-1:Mr. Abid Sarwar</v>
      </c>
      <c r="BR83" s="236"/>
      <c r="BT83" s="236"/>
      <c r="BU83" s="236"/>
      <c r="BV83" s="237"/>
    </row>
    <row r="84" spans="18:74">
      <c r="R84" s="22" t="s">
        <v>226</v>
      </c>
      <c r="AB84" s="215">
        <v>83</v>
      </c>
      <c r="AC84" s="35" t="s">
        <v>556</v>
      </c>
      <c r="AD84" s="33" t="s">
        <v>557</v>
      </c>
      <c r="AE84" s="37" t="str">
        <f t="shared" si="13"/>
        <v>PHC0206-73-1:Miss Phool Bibi</v>
      </c>
      <c r="BR84" s="236"/>
      <c r="BT84" s="236"/>
      <c r="BU84" s="236"/>
      <c r="BV84" s="237"/>
    </row>
    <row r="85" spans="18:74">
      <c r="R85" s="22" t="s">
        <v>227</v>
      </c>
      <c r="AB85" s="215">
        <v>84</v>
      </c>
      <c r="AC85" s="35" t="s">
        <v>558</v>
      </c>
      <c r="AD85" s="33" t="s">
        <v>559</v>
      </c>
      <c r="AE85" s="37" t="str">
        <f t="shared" si="13"/>
        <v>PHC0207-74-1:Mr. Hidayatullah Khan</v>
      </c>
      <c r="BR85" s="236"/>
      <c r="BT85" s="236"/>
      <c r="BU85" s="236"/>
      <c r="BV85" s="237"/>
    </row>
    <row r="86" spans="18:74">
      <c r="R86" s="22" t="s">
        <v>228</v>
      </c>
      <c r="AB86" s="215">
        <v>85</v>
      </c>
      <c r="AC86" s="35" t="s">
        <v>560</v>
      </c>
      <c r="AD86" s="33" t="s">
        <v>561</v>
      </c>
      <c r="AE86" s="37" t="str">
        <f t="shared" si="13"/>
        <v>PHC0208-68-1:Mr. Haq Nawaz</v>
      </c>
      <c r="BR86" s="236"/>
      <c r="BT86" s="236"/>
      <c r="BU86" s="236"/>
      <c r="BV86" s="237"/>
    </row>
    <row r="87" spans="18:74">
      <c r="R87" s="22" t="s">
        <v>229</v>
      </c>
      <c r="AB87" s="215">
        <v>86</v>
      </c>
      <c r="AC87" s="35" t="s">
        <v>562</v>
      </c>
      <c r="AD87" s="33" t="s">
        <v>563</v>
      </c>
      <c r="AE87" s="37" t="str">
        <f t="shared" si="13"/>
        <v>PHC0210-72-1:Mr. Abdul Baseer</v>
      </c>
      <c r="BR87" s="236"/>
      <c r="BT87" s="236"/>
      <c r="BU87" s="236"/>
      <c r="BV87" s="237"/>
    </row>
    <row r="88" spans="18:74">
      <c r="R88" s="22" t="s">
        <v>230</v>
      </c>
      <c r="AB88" s="215">
        <v>87</v>
      </c>
      <c r="AC88" s="35" t="s">
        <v>564</v>
      </c>
      <c r="AD88" s="33" t="s">
        <v>565</v>
      </c>
      <c r="AE88" s="37" t="str">
        <f t="shared" si="13"/>
        <v>PHC0211-71-1:Mr. Ajmal Khan Wazir</v>
      </c>
      <c r="BR88" s="236"/>
      <c r="BT88" s="236"/>
      <c r="BU88" s="236"/>
      <c r="BV88" s="237"/>
    </row>
    <row r="89" spans="18:74">
      <c r="R89" s="22" t="s">
        <v>231</v>
      </c>
      <c r="AB89" s="215">
        <v>88</v>
      </c>
      <c r="AC89" s="35" t="s">
        <v>566</v>
      </c>
      <c r="AD89" s="33" t="s">
        <v>567</v>
      </c>
      <c r="AE89" s="37" t="str">
        <f t="shared" si="13"/>
        <v>PHC0213-70-1:Mr. Wali Muhammad Khan</v>
      </c>
      <c r="BR89" s="236"/>
      <c r="BT89" s="236"/>
      <c r="BU89" s="236"/>
      <c r="BV89" s="237"/>
    </row>
    <row r="90" spans="18:74">
      <c r="R90" s="22" t="s">
        <v>232</v>
      </c>
      <c r="AB90" s="215">
        <v>89</v>
      </c>
      <c r="AC90" s="35" t="s">
        <v>568</v>
      </c>
      <c r="AD90" s="33" t="s">
        <v>569</v>
      </c>
      <c r="AE90" s="37" t="str">
        <f t="shared" si="13"/>
        <v>PHC0215-78-1:Mr. Kashif Nadeem</v>
      </c>
      <c r="BR90" s="236"/>
      <c r="BT90" s="236"/>
      <c r="BU90" s="236"/>
      <c r="BV90" s="237"/>
    </row>
    <row r="91" spans="18:74">
      <c r="R91" s="22" t="s">
        <v>233</v>
      </c>
      <c r="AB91" s="215">
        <v>90</v>
      </c>
      <c r="AC91" s="35" t="s">
        <v>570</v>
      </c>
      <c r="AD91" s="33" t="s">
        <v>571</v>
      </c>
      <c r="AE91" s="37" t="str">
        <f t="shared" si="13"/>
        <v>PHC0216-79-1:Mrs. Sadia Arshad</v>
      </c>
      <c r="BR91" s="236"/>
      <c r="BT91" s="236"/>
      <c r="BU91" s="236"/>
      <c r="BV91" s="237"/>
    </row>
    <row r="92" spans="18:74">
      <c r="R92" s="22" t="s">
        <v>234</v>
      </c>
      <c r="AB92" s="215">
        <v>91</v>
      </c>
      <c r="AC92" s="35" t="s">
        <v>572</v>
      </c>
      <c r="AD92" s="33" t="s">
        <v>573</v>
      </c>
      <c r="AE92" s="37" t="str">
        <f t="shared" si="13"/>
        <v>PHC0218-72-1:Mr. Ijaz Rashid</v>
      </c>
      <c r="BR92" s="236"/>
      <c r="BT92" s="236"/>
      <c r="BU92" s="236"/>
      <c r="BV92" s="237"/>
    </row>
    <row r="93" spans="18:74">
      <c r="R93" s="22" t="s">
        <v>235</v>
      </c>
      <c r="AB93" s="215">
        <v>92</v>
      </c>
      <c r="AC93" s="35" t="s">
        <v>574</v>
      </c>
      <c r="AD93" s="33" t="s">
        <v>575</v>
      </c>
      <c r="AE93" s="37" t="str">
        <f t="shared" si="13"/>
        <v>PHC0219-76-1:Mr. Nadeem Muhammad</v>
      </c>
      <c r="BR93" s="236"/>
      <c r="BT93" s="236"/>
      <c r="BU93" s="236"/>
      <c r="BV93" s="237"/>
    </row>
    <row r="94" spans="18:74">
      <c r="R94" s="22" t="s">
        <v>236</v>
      </c>
      <c r="AB94" s="215">
        <v>93</v>
      </c>
      <c r="AC94" s="35" t="s">
        <v>576</v>
      </c>
      <c r="AD94" s="33" t="s">
        <v>577</v>
      </c>
      <c r="AE94" s="37" t="str">
        <f t="shared" si="13"/>
        <v>PHC0220-75-1:Mr. Muhammad Shoaib</v>
      </c>
      <c r="BR94" s="236"/>
      <c r="BT94" s="236"/>
      <c r="BU94" s="236"/>
      <c r="BV94" s="237"/>
    </row>
    <row r="95" spans="18:74">
      <c r="R95" s="22" t="s">
        <v>237</v>
      </c>
      <c r="AB95" s="215">
        <v>94</v>
      </c>
      <c r="AC95" s="35" t="s">
        <v>578</v>
      </c>
      <c r="AD95" s="33" t="s">
        <v>579</v>
      </c>
      <c r="AE95" s="37" t="str">
        <f t="shared" si="13"/>
        <v>PHC0221-75-1:Miss Zainab Rehman</v>
      </c>
      <c r="BR95" s="236"/>
      <c r="BT95" s="236"/>
      <c r="BU95" s="236"/>
      <c r="BV95" s="237"/>
    </row>
    <row r="96" spans="18:74">
      <c r="R96" s="22" t="s">
        <v>238</v>
      </c>
      <c r="AB96" s="215">
        <v>95</v>
      </c>
      <c r="AC96" s="35" t="s">
        <v>580</v>
      </c>
      <c r="AD96" s="33" t="s">
        <v>581</v>
      </c>
      <c r="AE96" s="37" t="str">
        <f t="shared" si="13"/>
        <v>PHC0223-76-1:Mr. Asif Rashid</v>
      </c>
      <c r="BR96" s="236"/>
      <c r="BT96" s="236"/>
      <c r="BU96" s="236"/>
      <c r="BV96" s="237"/>
    </row>
    <row r="97" spans="18:74">
      <c r="R97" s="22" t="s">
        <v>239</v>
      </c>
      <c r="AB97" s="215">
        <v>96</v>
      </c>
      <c r="AC97" s="35" t="s">
        <v>582</v>
      </c>
      <c r="AD97" s="33" t="s">
        <v>583</v>
      </c>
      <c r="AE97" s="37" t="str">
        <f t="shared" si="13"/>
        <v>PHC0224-78-1:Mr. Ghulam Abbas</v>
      </c>
      <c r="BR97" s="236"/>
      <c r="BT97" s="236"/>
      <c r="BU97" s="236"/>
      <c r="BV97" s="237"/>
    </row>
    <row r="98" spans="18:74">
      <c r="R98" s="22" t="s">
        <v>240</v>
      </c>
      <c r="AB98" s="215">
        <v>97</v>
      </c>
      <c r="AC98" s="35" t="s">
        <v>584</v>
      </c>
      <c r="AD98" s="33" t="s">
        <v>585</v>
      </c>
      <c r="AE98" s="37" t="str">
        <f t="shared" si="13"/>
        <v>PHC0225-77-1:Miss Hajira Rehman</v>
      </c>
      <c r="BR98" s="236"/>
      <c r="BT98" s="236"/>
      <c r="BU98" s="236"/>
      <c r="BV98" s="237"/>
    </row>
    <row r="99" spans="18:74">
      <c r="R99" s="22" t="s">
        <v>241</v>
      </c>
      <c r="AB99" s="215">
        <v>98</v>
      </c>
      <c r="AC99" s="35" t="s">
        <v>586</v>
      </c>
      <c r="AD99" s="33" t="s">
        <v>587</v>
      </c>
      <c r="AE99" s="37" t="str">
        <f t="shared" si="13"/>
        <v>PHC0226-77-1:Mr. Zia-ur-Rehman</v>
      </c>
      <c r="BR99" s="236"/>
      <c r="BT99" s="236"/>
      <c r="BU99" s="236"/>
      <c r="BV99" s="237"/>
    </row>
    <row r="100" spans="18:74">
      <c r="R100" s="22" t="s">
        <v>242</v>
      </c>
      <c r="AB100" s="215">
        <v>99</v>
      </c>
      <c r="AC100" s="35" t="s">
        <v>588</v>
      </c>
      <c r="AD100" s="33" t="s">
        <v>589</v>
      </c>
      <c r="AE100" s="37" t="str">
        <f t="shared" si="13"/>
        <v>PHC0227-76-1:Mr. Usman Wali</v>
      </c>
      <c r="BR100" s="236"/>
      <c r="BT100" s="236"/>
      <c r="BU100" s="236"/>
      <c r="BV100" s="237"/>
    </row>
    <row r="101" spans="18:74">
      <c r="R101" s="22" t="s">
        <v>243</v>
      </c>
      <c r="AB101" s="215">
        <v>100</v>
      </c>
      <c r="AC101" s="35" t="s">
        <v>590</v>
      </c>
      <c r="AD101" s="33" t="s">
        <v>591</v>
      </c>
      <c r="AE101" s="37" t="str">
        <f t="shared" si="13"/>
        <v>PHC0228-73-1:Mr. Abdul Jabbar</v>
      </c>
      <c r="BR101" s="236"/>
      <c r="BT101" s="236"/>
      <c r="BU101" s="236"/>
      <c r="BV101" s="237"/>
    </row>
    <row r="102" spans="18:74">
      <c r="R102" s="22" t="s">
        <v>244</v>
      </c>
      <c r="AB102" s="215">
        <v>101</v>
      </c>
      <c r="AC102" s="35" t="s">
        <v>592</v>
      </c>
      <c r="AD102" s="33" t="s">
        <v>593</v>
      </c>
      <c r="AE102" s="37" t="str">
        <f t="shared" si="13"/>
        <v>PHC0229-76-1:Miss Hina Khan</v>
      </c>
      <c r="BR102" s="236"/>
      <c r="BT102" s="236"/>
      <c r="BU102" s="236"/>
      <c r="BV102" s="237"/>
    </row>
    <row r="103" spans="18:74">
      <c r="R103" s="22" t="s">
        <v>245</v>
      </c>
      <c r="AB103" s="215">
        <v>102</v>
      </c>
      <c r="AC103" s="35" t="s">
        <v>594</v>
      </c>
      <c r="AD103" s="33" t="s">
        <v>595</v>
      </c>
      <c r="AE103" s="37" t="str">
        <f t="shared" si="13"/>
        <v>PHC0232-77-1:Miss Sumbal Naseer</v>
      </c>
      <c r="BR103" s="236"/>
      <c r="BT103" s="236"/>
      <c r="BU103" s="236"/>
      <c r="BV103" s="237"/>
    </row>
    <row r="104" spans="18:74" ht="30">
      <c r="R104" s="22" t="s">
        <v>246</v>
      </c>
      <c r="AB104" s="215">
        <v>103</v>
      </c>
      <c r="AC104" s="35" t="s">
        <v>596</v>
      </c>
      <c r="AD104" s="33" t="s">
        <v>597</v>
      </c>
      <c r="AE104" s="37" t="str">
        <f t="shared" si="13"/>
        <v>PHC0233-78-1:Mr. Shah Wali Ullah Hamid Hashmi</v>
      </c>
      <c r="BR104" s="236"/>
      <c r="BT104" s="236"/>
      <c r="BU104" s="236"/>
      <c r="BV104" s="237"/>
    </row>
    <row r="105" spans="18:74">
      <c r="R105" s="22" t="s">
        <v>247</v>
      </c>
      <c r="AB105" s="215">
        <v>104</v>
      </c>
      <c r="AC105" s="35" t="s">
        <v>598</v>
      </c>
      <c r="AD105" s="33" t="s">
        <v>599</v>
      </c>
      <c r="AE105" s="37" t="str">
        <f t="shared" si="13"/>
        <v>PHC0234-73-1:Mr. Usman Bashir Khan</v>
      </c>
      <c r="BR105" s="236"/>
      <c r="BT105" s="236"/>
      <c r="BU105" s="236"/>
      <c r="BV105" s="237"/>
    </row>
    <row r="106" spans="18:74">
      <c r="R106" s="22" t="s">
        <v>248</v>
      </c>
      <c r="AB106" s="215">
        <v>105</v>
      </c>
      <c r="AC106" s="35" t="s">
        <v>600</v>
      </c>
      <c r="AD106" s="33" t="s">
        <v>601</v>
      </c>
      <c r="AE106" s="37" t="str">
        <f t="shared" si="13"/>
        <v>PHC0235-73-1:Miss Faryal Zia Mufti</v>
      </c>
      <c r="BR106" s="236"/>
      <c r="BT106" s="236"/>
      <c r="BU106" s="236"/>
      <c r="BV106" s="237"/>
    </row>
    <row r="107" spans="18:74">
      <c r="R107" s="22" t="s">
        <v>249</v>
      </c>
      <c r="AB107" s="215">
        <v>106</v>
      </c>
      <c r="AC107" s="35" t="s">
        <v>602</v>
      </c>
      <c r="AD107" s="33" t="s">
        <v>603</v>
      </c>
      <c r="AE107" s="37" t="str">
        <f t="shared" si="13"/>
        <v>PHC0236-77-1:Mr. Ali Gohar</v>
      </c>
      <c r="BR107" s="236"/>
      <c r="BT107" s="236"/>
      <c r="BU107" s="236"/>
      <c r="BV107" s="237"/>
    </row>
    <row r="108" spans="18:74">
      <c r="R108" s="22" t="s">
        <v>250</v>
      </c>
      <c r="AB108" s="215">
        <v>107</v>
      </c>
      <c r="AC108" s="35" t="s">
        <v>604</v>
      </c>
      <c r="AD108" s="33" t="s">
        <v>605</v>
      </c>
      <c r="AE108" s="37" t="str">
        <f t="shared" si="13"/>
        <v>PHC0239-75-1:Mr. Shaukat Ahmad Khan</v>
      </c>
      <c r="BR108" s="236"/>
      <c r="BT108" s="236"/>
      <c r="BU108" s="236"/>
      <c r="BV108" s="237"/>
    </row>
    <row r="109" spans="18:74">
      <c r="R109" s="22" t="s">
        <v>251</v>
      </c>
      <c r="AB109" s="215">
        <v>108</v>
      </c>
      <c r="AC109" s="35" t="s">
        <v>606</v>
      </c>
      <c r="AD109" s="33" t="s">
        <v>607</v>
      </c>
      <c r="AE109" s="37" t="str">
        <f t="shared" si="13"/>
        <v>PHC0240-74-1:Miss Sumera Wali</v>
      </c>
      <c r="BR109" s="236"/>
      <c r="BT109" s="236"/>
      <c r="BU109" s="236"/>
      <c r="BV109" s="237"/>
    </row>
    <row r="110" spans="18:74">
      <c r="R110" s="22" t="s">
        <v>252</v>
      </c>
      <c r="AB110" s="215">
        <v>109</v>
      </c>
      <c r="AC110" s="35" t="s">
        <v>608</v>
      </c>
      <c r="AD110" s="33" t="s">
        <v>609</v>
      </c>
      <c r="AE110" s="37" t="str">
        <f t="shared" si="13"/>
        <v>PHC0241-78-1:Mr. Ahmad Iftikhar</v>
      </c>
      <c r="BR110" s="236"/>
      <c r="BT110" s="236"/>
      <c r="BU110" s="236"/>
      <c r="BV110" s="237"/>
    </row>
    <row r="111" spans="18:74">
      <c r="R111" s="22" t="s">
        <v>253</v>
      </c>
      <c r="AB111" s="215">
        <v>110</v>
      </c>
      <c r="AC111" s="35" t="s">
        <v>610</v>
      </c>
      <c r="AD111" s="33" t="s">
        <v>611</v>
      </c>
      <c r="AE111" s="37" t="str">
        <f t="shared" si="13"/>
        <v>PHC0242-73-1:Mr. Dost Muhammad Khan</v>
      </c>
      <c r="BR111" s="236"/>
      <c r="BT111" s="236"/>
      <c r="BU111" s="236"/>
      <c r="BV111" s="237"/>
    </row>
    <row r="112" spans="18:74">
      <c r="R112" s="22" t="s">
        <v>254</v>
      </c>
      <c r="AB112" s="215">
        <v>111</v>
      </c>
      <c r="AC112" s="35" t="s">
        <v>612</v>
      </c>
      <c r="AD112" s="33" t="s">
        <v>613</v>
      </c>
      <c r="AE112" s="37" t="str">
        <f t="shared" si="13"/>
        <v>PHC0243-77-1:Mr. Tanveer Iqbal</v>
      </c>
      <c r="BR112" s="236"/>
      <c r="BT112" s="236"/>
      <c r="BU112" s="236"/>
      <c r="BV112" s="237"/>
    </row>
    <row r="113" spans="18:74">
      <c r="R113" s="22" t="s">
        <v>255</v>
      </c>
      <c r="AB113" s="215">
        <v>112</v>
      </c>
      <c r="AC113" s="35" t="s">
        <v>614</v>
      </c>
      <c r="AD113" s="33" t="s">
        <v>615</v>
      </c>
      <c r="AE113" s="37" t="str">
        <f t="shared" si="13"/>
        <v>PHC0245-76-1:Mr. Asad Ali</v>
      </c>
      <c r="BR113" s="236"/>
      <c r="BT113" s="236"/>
      <c r="BU113" s="236"/>
      <c r="BV113" s="237"/>
    </row>
    <row r="114" spans="18:74">
      <c r="R114" s="22" t="s">
        <v>256</v>
      </c>
      <c r="AB114" s="215">
        <v>113</v>
      </c>
      <c r="AC114" s="35" t="s">
        <v>616</v>
      </c>
      <c r="AD114" s="33" t="s">
        <v>617</v>
      </c>
      <c r="AE114" s="37" t="str">
        <f t="shared" si="13"/>
        <v>PHC0246-78-1:Miss Farzina Shaid</v>
      </c>
      <c r="BR114" s="236"/>
      <c r="BT114" s="236"/>
      <c r="BU114" s="236"/>
      <c r="BV114" s="237"/>
    </row>
    <row r="115" spans="18:74">
      <c r="R115" s="22" t="s">
        <v>257</v>
      </c>
      <c r="AB115" s="215">
        <v>114</v>
      </c>
      <c r="AC115" s="35" t="s">
        <v>618</v>
      </c>
      <c r="AD115" s="33" t="s">
        <v>619</v>
      </c>
      <c r="AE115" s="37" t="str">
        <f t="shared" si="13"/>
        <v>PHC0248-76-1:Mr. Ishfaq Ali Haider</v>
      </c>
      <c r="BR115" s="236"/>
      <c r="BT115" s="236"/>
      <c r="BU115" s="236"/>
      <c r="BV115" s="237"/>
    </row>
    <row r="116" spans="18:74" ht="30">
      <c r="R116" s="22" t="s">
        <v>258</v>
      </c>
      <c r="AB116" s="215">
        <v>115</v>
      </c>
      <c r="AC116" s="35" t="s">
        <v>620</v>
      </c>
      <c r="AD116" s="33" t="s">
        <v>621</v>
      </c>
      <c r="AE116" s="37" t="str">
        <f t="shared" si="13"/>
        <v>PHC0250-75-1:Mr. Ihteshamul Haq Danishmand Khan</v>
      </c>
      <c r="BR116" s="236"/>
      <c r="BT116" s="236"/>
      <c r="BU116" s="236"/>
      <c r="BV116" s="237"/>
    </row>
    <row r="117" spans="18:74">
      <c r="R117" s="22" t="s">
        <v>259</v>
      </c>
      <c r="AB117" s="215">
        <v>116</v>
      </c>
      <c r="AC117" s="35" t="s">
        <v>622</v>
      </c>
      <c r="AD117" s="33" t="s">
        <v>623</v>
      </c>
      <c r="AE117" s="37" t="str">
        <f t="shared" si="13"/>
        <v>PHC0251-75-1:Miss Zeba Rasheed</v>
      </c>
      <c r="BR117" s="236"/>
      <c r="BT117" s="236"/>
      <c r="BU117" s="236"/>
      <c r="BV117" s="237"/>
    </row>
    <row r="118" spans="18:74">
      <c r="R118" s="22" t="s">
        <v>260</v>
      </c>
      <c r="AB118" s="215">
        <v>117</v>
      </c>
      <c r="AC118" s="35" t="s">
        <v>624</v>
      </c>
      <c r="AD118" s="33" t="s">
        <v>625</v>
      </c>
      <c r="AE118" s="37" t="str">
        <f t="shared" si="13"/>
        <v>PHC0252-72-1:Miss Aalia Sadia Lodhi</v>
      </c>
      <c r="BR118" s="236"/>
      <c r="BT118" s="236"/>
      <c r="BU118" s="236"/>
      <c r="BV118" s="237"/>
    </row>
    <row r="119" spans="18:74">
      <c r="R119" s="22" t="s">
        <v>261</v>
      </c>
      <c r="AB119" s="215">
        <v>118</v>
      </c>
      <c r="AC119" s="35" t="s">
        <v>626</v>
      </c>
      <c r="AD119" s="33" t="s">
        <v>627</v>
      </c>
      <c r="AE119" s="37" t="str">
        <f t="shared" si="13"/>
        <v>PHC0254-73-1:Miss Sadia Andaleeb</v>
      </c>
      <c r="BR119" s="236"/>
      <c r="BT119" s="236"/>
      <c r="BU119" s="236"/>
      <c r="BV119" s="237"/>
    </row>
    <row r="120" spans="18:74">
      <c r="R120" s="22" t="s">
        <v>262</v>
      </c>
      <c r="AB120" s="215">
        <v>119</v>
      </c>
      <c r="AC120" s="35" t="s">
        <v>628</v>
      </c>
      <c r="AD120" s="33" t="s">
        <v>629</v>
      </c>
      <c r="AE120" s="37" t="str">
        <f t="shared" si="13"/>
        <v>PHC0255-74-1:Mr. Muhammad Jamshed</v>
      </c>
      <c r="BR120" s="236"/>
      <c r="BT120" s="236"/>
      <c r="BU120" s="236"/>
      <c r="BV120" s="237"/>
    </row>
    <row r="121" spans="18:74">
      <c r="R121" s="22" t="s">
        <v>263</v>
      </c>
      <c r="AB121" s="215">
        <v>120</v>
      </c>
      <c r="AC121" s="35" t="s">
        <v>630</v>
      </c>
      <c r="AD121" s="33" t="s">
        <v>631</v>
      </c>
      <c r="AE121" s="37" t="str">
        <f t="shared" si="13"/>
        <v>PHC0256-77-1:Miss Nusrat Naz</v>
      </c>
      <c r="BR121" s="236"/>
      <c r="BT121" s="236"/>
      <c r="BU121" s="236"/>
      <c r="BV121" s="237"/>
    </row>
    <row r="122" spans="18:74">
      <c r="R122" s="22" t="s">
        <v>264</v>
      </c>
      <c r="AB122" s="215">
        <v>121</v>
      </c>
      <c r="AC122" s="35" t="s">
        <v>632</v>
      </c>
      <c r="AD122" s="33" t="s">
        <v>633</v>
      </c>
      <c r="AE122" s="37" t="str">
        <f t="shared" si="13"/>
        <v>PHC0259-74-1:Mr. Muhammad Asim</v>
      </c>
      <c r="BR122" s="236"/>
      <c r="BT122" s="236"/>
      <c r="BU122" s="236"/>
      <c r="BV122" s="237"/>
    </row>
    <row r="123" spans="18:74">
      <c r="R123" s="22" t="s">
        <v>265</v>
      </c>
      <c r="AB123" s="215">
        <v>122</v>
      </c>
      <c r="AC123" s="35" t="s">
        <v>634</v>
      </c>
      <c r="AD123" s="33" t="s">
        <v>635</v>
      </c>
      <c r="AE123" s="37" t="str">
        <f t="shared" si="13"/>
        <v>PHC0260-74-1:Mr. Arbab Sohail Hamid</v>
      </c>
      <c r="BR123" s="234"/>
      <c r="BT123" s="234"/>
      <c r="BU123" s="234"/>
    </row>
    <row r="124" spans="18:74">
      <c r="R124" s="22" t="s">
        <v>266</v>
      </c>
      <c r="AB124" s="215">
        <v>123</v>
      </c>
      <c r="AC124" s="35" t="s">
        <v>636</v>
      </c>
      <c r="AD124" s="33" t="s">
        <v>637</v>
      </c>
      <c r="AE124" s="37" t="str">
        <f t="shared" si="13"/>
        <v>PHC0261-78-1:Miss Shabana Mehsood</v>
      </c>
      <c r="BR124" s="234"/>
      <c r="BT124" s="234"/>
      <c r="BU124" s="234"/>
    </row>
    <row r="125" spans="18:74">
      <c r="R125" s="22" t="s">
        <v>267</v>
      </c>
      <c r="AB125" s="215">
        <v>124</v>
      </c>
      <c r="AC125" s="35" t="s">
        <v>638</v>
      </c>
      <c r="AD125" s="33" t="s">
        <v>639</v>
      </c>
      <c r="AE125" s="37" t="str">
        <f t="shared" si="13"/>
        <v>PHC0264-80-1:Miss Nadia Syed</v>
      </c>
      <c r="BR125" s="234"/>
      <c r="BT125" s="234"/>
      <c r="BU125" s="234"/>
    </row>
    <row r="126" spans="18:74" ht="30">
      <c r="R126" s="22" t="s">
        <v>268</v>
      </c>
      <c r="AB126" s="215">
        <v>125</v>
      </c>
      <c r="AC126" s="35" t="s">
        <v>640</v>
      </c>
      <c r="AD126" s="33" t="s">
        <v>641</v>
      </c>
      <c r="AE126" s="37" t="str">
        <f t="shared" si="13"/>
        <v>PHC0265-80-1:Miss Wadeeya Mushtaq Malik</v>
      </c>
      <c r="BR126" s="234"/>
      <c r="BT126" s="234"/>
      <c r="BU126" s="234"/>
    </row>
    <row r="127" spans="18:74">
      <c r="R127" s="22" t="s">
        <v>269</v>
      </c>
      <c r="AB127" s="215">
        <v>126</v>
      </c>
      <c r="AC127" s="35" t="s">
        <v>642</v>
      </c>
      <c r="AD127" s="33" t="s">
        <v>643</v>
      </c>
      <c r="AE127" s="37" t="str">
        <f t="shared" si="13"/>
        <v>PHC0267-77-1:Mr Tufail Ahmad</v>
      </c>
      <c r="BR127" s="234"/>
      <c r="BT127" s="234"/>
      <c r="BU127" s="234"/>
    </row>
    <row r="128" spans="18:74">
      <c r="R128" s="22" t="s">
        <v>270</v>
      </c>
      <c r="AB128" s="215">
        <v>127</v>
      </c>
      <c r="AC128" s="35" t="s">
        <v>644</v>
      </c>
      <c r="AD128" s="33" t="s">
        <v>645</v>
      </c>
      <c r="AE128" s="37" t="str">
        <f t="shared" si="13"/>
        <v>PHC0268-79-1:Miss Lubna Zaman</v>
      </c>
      <c r="BR128" s="234"/>
      <c r="BT128" s="234"/>
      <c r="BU128" s="234"/>
    </row>
    <row r="129" spans="18:73">
      <c r="R129" s="22" t="s">
        <v>271</v>
      </c>
      <c r="AB129" s="215">
        <v>128</v>
      </c>
      <c r="AC129" s="35" t="s">
        <v>646</v>
      </c>
      <c r="AD129" s="33" t="s">
        <v>647</v>
      </c>
      <c r="AE129" s="37" t="str">
        <f t="shared" si="13"/>
        <v>PHC0269-78-1:Syed Iftekhar Shah</v>
      </c>
      <c r="BR129" s="234"/>
      <c r="BT129" s="234"/>
      <c r="BU129" s="234"/>
    </row>
    <row r="130" spans="18:73">
      <c r="R130" s="22" t="s">
        <v>272</v>
      </c>
      <c r="AB130" s="215">
        <v>129</v>
      </c>
      <c r="AC130" s="35" t="s">
        <v>648</v>
      </c>
      <c r="AD130" s="33" t="s">
        <v>649</v>
      </c>
      <c r="AE130" s="37" t="str">
        <f t="shared" si="13"/>
        <v>PHC0271-76-1:Miss Hussan Bano</v>
      </c>
      <c r="BR130" s="234"/>
      <c r="BT130" s="234"/>
      <c r="BU130" s="234"/>
    </row>
    <row r="131" spans="18:73">
      <c r="R131" s="22" t="s">
        <v>273</v>
      </c>
      <c r="AB131" s="215">
        <v>130</v>
      </c>
      <c r="AC131" s="35" t="s">
        <v>650</v>
      </c>
      <c r="AD131" s="33" t="s">
        <v>651</v>
      </c>
      <c r="AE131" s="37" t="str">
        <f t="shared" ref="AE131:AE194" si="14">CONCATENATE(AC131,":",AD131)</f>
        <v>PHC0272-79-1:Syed Hamid Qasim</v>
      </c>
      <c r="BR131" s="234"/>
      <c r="BT131" s="234"/>
      <c r="BU131" s="234"/>
    </row>
    <row r="132" spans="18:73">
      <c r="R132" s="22" t="s">
        <v>274</v>
      </c>
      <c r="AB132" s="215">
        <v>131</v>
      </c>
      <c r="AC132" s="35" t="s">
        <v>652</v>
      </c>
      <c r="AD132" s="33" t="s">
        <v>653</v>
      </c>
      <c r="AE132" s="37" t="str">
        <f t="shared" si="14"/>
        <v>PHC0275-76-1:Ms Saima Asim</v>
      </c>
      <c r="BR132" s="234"/>
      <c r="BT132" s="234"/>
      <c r="BU132" s="234"/>
    </row>
    <row r="133" spans="18:73">
      <c r="R133" s="22" t="s">
        <v>275</v>
      </c>
      <c r="AB133" s="215">
        <v>132</v>
      </c>
      <c r="AC133" s="35" t="s">
        <v>654</v>
      </c>
      <c r="AD133" s="33" t="s">
        <v>655</v>
      </c>
      <c r="AE133" s="37" t="str">
        <f t="shared" si="14"/>
        <v>PHC0276-76-1:Mr. Ajmal Tahir</v>
      </c>
      <c r="BR133" s="234"/>
      <c r="BT133" s="234"/>
      <c r="BU133" s="234"/>
    </row>
    <row r="134" spans="18:73">
      <c r="R134" s="22" t="s">
        <v>276</v>
      </c>
      <c r="AB134" s="215">
        <v>133</v>
      </c>
      <c r="AC134" s="35" t="s">
        <v>656</v>
      </c>
      <c r="AD134" s="33" t="s">
        <v>657</v>
      </c>
      <c r="AE134" s="37" t="str">
        <f t="shared" si="14"/>
        <v>PHC0277-77-1:Mr Abid Zaman</v>
      </c>
      <c r="BR134" s="234"/>
      <c r="BT134" s="234"/>
      <c r="BU134" s="234"/>
    </row>
    <row r="135" spans="18:73" ht="30">
      <c r="R135" s="22" t="s">
        <v>277</v>
      </c>
      <c r="AB135" s="215">
        <v>134</v>
      </c>
      <c r="AC135" s="35" t="s">
        <v>658</v>
      </c>
      <c r="AD135" s="33" t="s">
        <v>659</v>
      </c>
      <c r="AE135" s="37" t="str">
        <f t="shared" si="14"/>
        <v>PHC0278-76-1:Mr Ahmad Ihsanullah Qureshi</v>
      </c>
      <c r="BR135" s="234"/>
      <c r="BT135" s="234"/>
      <c r="BU135" s="234"/>
    </row>
    <row r="136" spans="18:73" ht="30">
      <c r="R136" s="22" t="s">
        <v>278</v>
      </c>
      <c r="AB136" s="215">
        <v>135</v>
      </c>
      <c r="AC136" s="35" t="s">
        <v>660</v>
      </c>
      <c r="AD136" s="33" t="s">
        <v>661</v>
      </c>
      <c r="AE136" s="37" t="str">
        <f t="shared" si="14"/>
        <v>PHC0280-75-1:Mr Malik Muhammad Hasnain</v>
      </c>
      <c r="BR136" s="234"/>
      <c r="BT136" s="234"/>
      <c r="BU136" s="234"/>
    </row>
    <row r="137" spans="18:73">
      <c r="R137" s="22" t="s">
        <v>279</v>
      </c>
      <c r="AB137" s="215">
        <v>136</v>
      </c>
      <c r="AC137" s="35" t="s">
        <v>662</v>
      </c>
      <c r="AD137" s="33" t="s">
        <v>663</v>
      </c>
      <c r="AE137" s="37" t="str">
        <f t="shared" si="14"/>
        <v>PHC0281-72-1:Mr. Ijaz-ul-Haq Awan</v>
      </c>
      <c r="BR137" s="234"/>
      <c r="BT137" s="234"/>
      <c r="BU137" s="234"/>
    </row>
    <row r="138" spans="18:73">
      <c r="R138" s="22" t="s">
        <v>280</v>
      </c>
      <c r="AB138" s="215">
        <v>137</v>
      </c>
      <c r="AC138" s="35" t="s">
        <v>664</v>
      </c>
      <c r="AD138" s="33" t="s">
        <v>665</v>
      </c>
      <c r="AE138" s="37" t="str">
        <f t="shared" si="14"/>
        <v>PHC0283-76-1:Mian Zahidullah Jan</v>
      </c>
      <c r="BR138" s="234"/>
      <c r="BT138" s="234"/>
      <c r="BU138" s="234"/>
    </row>
    <row r="139" spans="18:73">
      <c r="R139" s="22" t="s">
        <v>281</v>
      </c>
      <c r="AB139" s="215">
        <v>138</v>
      </c>
      <c r="AC139" s="35" t="s">
        <v>666</v>
      </c>
      <c r="AD139" s="33" t="s">
        <v>667</v>
      </c>
      <c r="AE139" s="37" t="str">
        <f t="shared" si="14"/>
        <v>PHC0284-78-1:Mr. Asim Riaz</v>
      </c>
      <c r="BR139" s="234"/>
      <c r="BT139" s="234"/>
      <c r="BU139" s="234"/>
    </row>
    <row r="140" spans="18:73">
      <c r="R140" s="22" t="s">
        <v>282</v>
      </c>
      <c r="AB140" s="215">
        <v>139</v>
      </c>
      <c r="AC140" s="35" t="s">
        <v>668</v>
      </c>
      <c r="AD140" s="33" t="s">
        <v>669</v>
      </c>
      <c r="AE140" s="37" t="str">
        <f t="shared" si="14"/>
        <v>PHC0285-75-1:Mr Abdul Basit</v>
      </c>
      <c r="BR140" s="234"/>
      <c r="BT140" s="234"/>
      <c r="BU140" s="235"/>
    </row>
    <row r="141" spans="18:73">
      <c r="R141" s="22" t="s">
        <v>283</v>
      </c>
      <c r="AB141" s="215">
        <v>140</v>
      </c>
      <c r="AC141" s="35" t="s">
        <v>670</v>
      </c>
      <c r="AD141" s="33" t="s">
        <v>671</v>
      </c>
      <c r="AE141" s="37" t="str">
        <f t="shared" si="14"/>
        <v>PHC0286-72-1:Mr Sultan Hussain</v>
      </c>
      <c r="BR141" s="234"/>
      <c r="BT141" s="234"/>
      <c r="BU141" s="235"/>
    </row>
    <row r="142" spans="18:73">
      <c r="AB142" s="215">
        <v>141</v>
      </c>
      <c r="AC142" s="35" t="s">
        <v>672</v>
      </c>
      <c r="AD142" s="33" t="s">
        <v>673</v>
      </c>
      <c r="AE142" s="37" t="str">
        <f t="shared" si="14"/>
        <v>PHC0287-76-1:Mr Adil Zeib Khan</v>
      </c>
      <c r="BR142" s="234"/>
      <c r="BT142" s="234"/>
      <c r="BU142" s="235"/>
    </row>
    <row r="143" spans="18:73">
      <c r="AB143" s="215">
        <v>142</v>
      </c>
      <c r="AC143" s="35" t="s">
        <v>674</v>
      </c>
      <c r="AD143" s="33" t="s">
        <v>675</v>
      </c>
      <c r="AE143" s="37" t="str">
        <f t="shared" si="14"/>
        <v>PHC0288-79-1:Syed Zahid Shah</v>
      </c>
      <c r="BR143" s="234"/>
      <c r="BT143" s="234"/>
      <c r="BU143" s="235"/>
    </row>
    <row r="144" spans="18:73">
      <c r="AB144" s="215">
        <v>143</v>
      </c>
      <c r="AC144" s="35" t="s">
        <v>676</v>
      </c>
      <c r="AD144" s="33" t="s">
        <v>677</v>
      </c>
      <c r="AE144" s="37" t="str">
        <f t="shared" si="14"/>
        <v>PHC0289-68-1:Dr. Qazi Atta Ullah</v>
      </c>
      <c r="BR144" s="234"/>
      <c r="BT144" s="234"/>
      <c r="BU144" s="235"/>
    </row>
    <row r="145" spans="28:73">
      <c r="AB145" s="215">
        <v>144</v>
      </c>
      <c r="AC145" s="35" t="s">
        <v>678</v>
      </c>
      <c r="AD145" s="33" t="s">
        <v>679</v>
      </c>
      <c r="AE145" s="37" t="str">
        <f t="shared" si="14"/>
        <v>PHC0290-73-1:Mr Amin Said</v>
      </c>
      <c r="BR145" s="234"/>
      <c r="BT145" s="234"/>
      <c r="BU145" s="235"/>
    </row>
    <row r="146" spans="28:73">
      <c r="AB146" s="215">
        <v>145</v>
      </c>
      <c r="AC146" s="35" t="s">
        <v>680</v>
      </c>
      <c r="AD146" s="33" t="s">
        <v>681</v>
      </c>
      <c r="AE146" s="37" t="str">
        <f t="shared" si="14"/>
        <v>PHC0291-75-1:Mr Sher Aziz</v>
      </c>
      <c r="BR146" s="234"/>
      <c r="BT146" s="234"/>
      <c r="BU146" s="235"/>
    </row>
    <row r="147" spans="28:73">
      <c r="AB147" s="215">
        <v>146</v>
      </c>
      <c r="AC147" s="35" t="s">
        <v>682</v>
      </c>
      <c r="AD147" s="33" t="s">
        <v>683</v>
      </c>
      <c r="AE147" s="37" t="str">
        <f t="shared" si="14"/>
        <v>PHC0292-76-1:Mr. Faisal Anjum</v>
      </c>
      <c r="BR147" s="234"/>
      <c r="BT147" s="234"/>
      <c r="BU147" s="235"/>
    </row>
    <row r="148" spans="28:73">
      <c r="AB148" s="215">
        <v>147</v>
      </c>
      <c r="AC148" s="35" t="s">
        <v>684</v>
      </c>
      <c r="AD148" s="33" t="s">
        <v>685</v>
      </c>
      <c r="AE148" s="37" t="str">
        <f t="shared" si="14"/>
        <v>PHC0294-78-1:Miss Hina Mehwish</v>
      </c>
      <c r="BR148" s="234"/>
      <c r="BT148" s="234"/>
      <c r="BU148" s="235"/>
    </row>
    <row r="149" spans="28:73" ht="30">
      <c r="AB149" s="215">
        <v>148</v>
      </c>
      <c r="AC149" s="35" t="s">
        <v>686</v>
      </c>
      <c r="AD149" s="33" t="s">
        <v>687</v>
      </c>
      <c r="AE149" s="37" t="str">
        <f t="shared" si="14"/>
        <v>PHC0295-76-1:Raja Muhammad Shoaib Khan</v>
      </c>
      <c r="BR149" s="234"/>
      <c r="BT149" s="234"/>
      <c r="BU149" s="235"/>
    </row>
    <row r="150" spans="28:73">
      <c r="AB150" s="215">
        <v>149</v>
      </c>
      <c r="AC150" s="35" t="s">
        <v>688</v>
      </c>
      <c r="AD150" s="33" t="s">
        <v>689</v>
      </c>
      <c r="AE150" s="37" t="str">
        <f t="shared" si="14"/>
        <v>PHC0296-75-1:Mr. Alamgir Shah</v>
      </c>
      <c r="BR150" s="234"/>
      <c r="BT150" s="234"/>
      <c r="BU150" s="235"/>
    </row>
    <row r="151" spans="28:73">
      <c r="AB151" s="215">
        <v>150</v>
      </c>
      <c r="AC151" s="35" t="s">
        <v>690</v>
      </c>
      <c r="AD151" s="33" t="s">
        <v>691</v>
      </c>
      <c r="AE151" s="37" t="str">
        <f t="shared" si="14"/>
        <v>PHC0297-73-1:Mr. Nisar Muhammad Khan</v>
      </c>
      <c r="BR151" s="234"/>
      <c r="BT151" s="234"/>
      <c r="BU151" s="235"/>
    </row>
    <row r="152" spans="28:73">
      <c r="AB152" s="215">
        <v>151</v>
      </c>
      <c r="AC152" s="35" t="s">
        <v>692</v>
      </c>
      <c r="AD152" s="33" t="s">
        <v>693</v>
      </c>
      <c r="AE152" s="37" t="str">
        <f t="shared" si="14"/>
        <v>PHC0298-79-1:Miss Javeria Sartaj</v>
      </c>
      <c r="BR152" s="234"/>
      <c r="BT152" s="234"/>
      <c r="BU152" s="235"/>
    </row>
    <row r="153" spans="28:73">
      <c r="AB153" s="215">
        <v>152</v>
      </c>
      <c r="AC153" s="35" t="s">
        <v>694</v>
      </c>
      <c r="AD153" s="33" t="s">
        <v>695</v>
      </c>
      <c r="AE153" s="37" t="str">
        <f t="shared" si="14"/>
        <v>PHC0299-78-1:Miss Kiran Naz</v>
      </c>
      <c r="BR153" s="234"/>
      <c r="BT153" s="234"/>
      <c r="BU153" s="235"/>
    </row>
    <row r="154" spans="28:73">
      <c r="AB154" s="215">
        <v>153</v>
      </c>
      <c r="AC154" s="35" t="s">
        <v>696</v>
      </c>
      <c r="AD154" s="33" t="s">
        <v>697</v>
      </c>
      <c r="AE154" s="37" t="str">
        <f t="shared" si="14"/>
        <v>PHC0300-74-1:Syed Mudassir Shah Termizi</v>
      </c>
      <c r="BR154" s="234"/>
      <c r="BT154" s="234"/>
      <c r="BU154" s="235"/>
    </row>
    <row r="155" spans="28:73" ht="30">
      <c r="AB155" s="215">
        <v>154</v>
      </c>
      <c r="AC155" s="35" t="s">
        <v>698</v>
      </c>
      <c r="AD155" s="33" t="s">
        <v>699</v>
      </c>
      <c r="AE155" s="37" t="str">
        <f t="shared" si="14"/>
        <v>PHC0302-79-1:Mr. Muhammad Ghayyas Khan</v>
      </c>
      <c r="BR155" s="234"/>
      <c r="BT155" s="234"/>
      <c r="BU155" s="235"/>
    </row>
    <row r="156" spans="28:73">
      <c r="AB156" s="215">
        <v>155</v>
      </c>
      <c r="AC156" s="35" t="s">
        <v>700</v>
      </c>
      <c r="AD156" s="33" t="s">
        <v>701</v>
      </c>
      <c r="AE156" s="37" t="str">
        <f t="shared" si="14"/>
        <v>PHC0303-79-1:Mr. Wajid Ali</v>
      </c>
      <c r="BR156" s="234"/>
      <c r="BT156" s="234"/>
      <c r="BU156" s="235"/>
    </row>
    <row r="157" spans="28:73">
      <c r="AB157" s="215">
        <v>156</v>
      </c>
      <c r="AC157" s="35" t="s">
        <v>702</v>
      </c>
      <c r="AD157" s="33" t="s">
        <v>703</v>
      </c>
      <c r="AE157" s="37" t="str">
        <f t="shared" si="14"/>
        <v>PHC0304-68-1:Mr. Muhammad Fiaz</v>
      </c>
      <c r="BR157" s="234"/>
      <c r="BT157" s="234"/>
      <c r="BU157" s="235"/>
    </row>
    <row r="158" spans="28:73">
      <c r="AB158" s="215">
        <v>157</v>
      </c>
      <c r="AC158" s="35" t="s">
        <v>704</v>
      </c>
      <c r="AD158" s="33" t="s">
        <v>705</v>
      </c>
      <c r="AE158" s="37" t="str">
        <f t="shared" si="14"/>
        <v>PHC0305-76-1:Syed Shaukatullah Shah</v>
      </c>
      <c r="BR158" s="234"/>
      <c r="BT158" s="234"/>
      <c r="BU158" s="235"/>
    </row>
    <row r="159" spans="28:73">
      <c r="AB159" s="215">
        <v>158</v>
      </c>
      <c r="AC159" s="35" t="s">
        <v>706</v>
      </c>
      <c r="AD159" s="33" t="s">
        <v>707</v>
      </c>
      <c r="AE159" s="37" t="str">
        <f t="shared" si="14"/>
        <v>PHC0306-69-1:Mr. Abdul Wahab Qureshi</v>
      </c>
      <c r="BR159" s="234"/>
      <c r="BT159" s="234"/>
      <c r="BU159" s="235"/>
    </row>
    <row r="160" spans="28:73">
      <c r="AB160" s="215">
        <v>159</v>
      </c>
      <c r="AC160" s="35" t="s">
        <v>708</v>
      </c>
      <c r="AD160" s="33" t="s">
        <v>709</v>
      </c>
      <c r="AE160" s="37" t="str">
        <f t="shared" si="14"/>
        <v>PHC0308-75-1:Mr. Zaeem Ahmad</v>
      </c>
      <c r="BR160" s="234"/>
      <c r="BT160" s="234"/>
      <c r="BU160" s="235"/>
    </row>
    <row r="161" spans="28:73">
      <c r="AB161" s="215">
        <v>160</v>
      </c>
      <c r="AC161" s="35" t="s">
        <v>710</v>
      </c>
      <c r="AD161" s="33" t="s">
        <v>711</v>
      </c>
      <c r="AE161" s="37" t="str">
        <f t="shared" si="14"/>
        <v>PHC0309-75-1:Mr. Abdul Majid</v>
      </c>
      <c r="BR161" s="234"/>
      <c r="BT161" s="234"/>
      <c r="BU161" s="235"/>
    </row>
    <row r="162" spans="28:73">
      <c r="AB162" s="215">
        <v>161</v>
      </c>
      <c r="AC162" s="35" t="s">
        <v>712</v>
      </c>
      <c r="AD162" s="33" t="s">
        <v>713</v>
      </c>
      <c r="AE162" s="37" t="str">
        <f t="shared" si="14"/>
        <v>PHC0310-77-1:Mr. Fida Muhammad</v>
      </c>
      <c r="BR162" s="234"/>
      <c r="BT162" s="234"/>
      <c r="BU162" s="235"/>
    </row>
    <row r="163" spans="28:73">
      <c r="AB163" s="215">
        <v>162</v>
      </c>
      <c r="AC163" s="35" t="s">
        <v>714</v>
      </c>
      <c r="AD163" s="33" t="s">
        <v>715</v>
      </c>
      <c r="AE163" s="37" t="str">
        <f t="shared" si="14"/>
        <v>PHC0311-66-1:Mr. Aman Ullah Khan</v>
      </c>
      <c r="BR163" s="234"/>
      <c r="BT163" s="234"/>
      <c r="BU163" s="235"/>
    </row>
    <row r="164" spans="28:73">
      <c r="AB164" s="215">
        <v>163</v>
      </c>
      <c r="AC164" s="35" t="s">
        <v>716</v>
      </c>
      <c r="AD164" s="33" t="s">
        <v>717</v>
      </c>
      <c r="AE164" s="37" t="str">
        <f t="shared" si="14"/>
        <v>PHC0312-73-1:Mr. Muhammad Tayyib Jan</v>
      </c>
      <c r="BR164" s="234"/>
      <c r="BT164" s="234"/>
      <c r="BU164" s="235"/>
    </row>
    <row r="165" spans="28:73">
      <c r="AB165" s="215">
        <v>164</v>
      </c>
      <c r="AC165" s="35" t="s">
        <v>718</v>
      </c>
      <c r="AD165" s="33" t="s">
        <v>719</v>
      </c>
      <c r="AE165" s="37" t="str">
        <f t="shared" si="14"/>
        <v>PHC0313-78-1:Mirza Muhammad Kashif</v>
      </c>
      <c r="BR165" s="234"/>
      <c r="BT165" s="234"/>
      <c r="BU165" s="235"/>
    </row>
    <row r="166" spans="28:73">
      <c r="AB166" s="215">
        <v>165</v>
      </c>
      <c r="AC166" s="35" t="s">
        <v>720</v>
      </c>
      <c r="AD166" s="33" t="s">
        <v>721</v>
      </c>
      <c r="AE166" s="37" t="str">
        <f t="shared" si="14"/>
        <v>PHC0315-76-1:Mr. Afzal Ahmad</v>
      </c>
      <c r="BR166" s="234"/>
      <c r="BT166" s="234"/>
      <c r="BU166" s="235"/>
    </row>
    <row r="167" spans="28:73">
      <c r="AB167" s="215">
        <v>166</v>
      </c>
      <c r="AC167" s="35" t="s">
        <v>722</v>
      </c>
      <c r="AD167" s="33" t="s">
        <v>723</v>
      </c>
      <c r="AE167" s="37" t="str">
        <f t="shared" si="14"/>
        <v>PHC0316-65-1:Mr. Attaullah Jan</v>
      </c>
      <c r="BR167" s="234"/>
      <c r="BT167" s="234"/>
      <c r="BU167" s="235"/>
    </row>
    <row r="168" spans="28:73">
      <c r="AB168" s="215">
        <v>167</v>
      </c>
      <c r="AC168" s="35" t="s">
        <v>724</v>
      </c>
      <c r="AD168" s="33" t="s">
        <v>725</v>
      </c>
      <c r="AE168" s="37" t="str">
        <f t="shared" si="14"/>
        <v>PHC0317-75-1:Mr. Aftab Iqbal</v>
      </c>
      <c r="BR168" s="234"/>
      <c r="BT168" s="234"/>
      <c r="BU168" s="235"/>
    </row>
    <row r="169" spans="28:73">
      <c r="AB169" s="215">
        <v>168</v>
      </c>
      <c r="AC169" s="35" t="s">
        <v>726</v>
      </c>
      <c r="AD169" s="33" t="s">
        <v>727</v>
      </c>
      <c r="AE169" s="37" t="str">
        <f t="shared" si="14"/>
        <v>PHC0318-77-1:Mr. Nasir Khan</v>
      </c>
      <c r="BR169" s="234"/>
      <c r="BT169" s="234"/>
      <c r="BU169" s="235"/>
    </row>
    <row r="170" spans="28:73">
      <c r="AB170" s="215">
        <v>169</v>
      </c>
      <c r="AC170" s="35" t="s">
        <v>728</v>
      </c>
      <c r="AD170" s="33" t="s">
        <v>729</v>
      </c>
      <c r="AE170" s="37" t="str">
        <f t="shared" si="14"/>
        <v>PHC0319-79-1:Mr. Muhammad Faisal</v>
      </c>
      <c r="BR170" s="234"/>
      <c r="BT170" s="234"/>
      <c r="BU170" s="235"/>
    </row>
    <row r="171" spans="28:73">
      <c r="AB171" s="215">
        <v>170</v>
      </c>
      <c r="AC171" s="35" t="s">
        <v>730</v>
      </c>
      <c r="AD171" s="33" t="s">
        <v>731</v>
      </c>
      <c r="AE171" s="37" t="str">
        <f t="shared" si="14"/>
        <v>PHC0320-75-1:Mr. Zafar Ullah</v>
      </c>
      <c r="BR171" s="234"/>
      <c r="BT171" s="234"/>
      <c r="BU171" s="235"/>
    </row>
    <row r="172" spans="28:73" ht="30">
      <c r="AB172" s="215">
        <v>171</v>
      </c>
      <c r="AC172" s="35" t="s">
        <v>732</v>
      </c>
      <c r="AD172" s="33" t="s">
        <v>733</v>
      </c>
      <c r="AE172" s="37" t="str">
        <f t="shared" si="14"/>
        <v>PHC0321-78-1:Mr. Muhammad Umer Al-Farooq</v>
      </c>
      <c r="BR172" s="234"/>
      <c r="BT172" s="234"/>
      <c r="BU172" s="235"/>
    </row>
    <row r="173" spans="28:73">
      <c r="AB173" s="215">
        <v>172</v>
      </c>
      <c r="AC173" s="35" t="s">
        <v>734</v>
      </c>
      <c r="AD173" s="33" t="s">
        <v>735</v>
      </c>
      <c r="AE173" s="37" t="str">
        <f t="shared" si="14"/>
        <v>PHC0323-76-1:Mr. Tilla Muhammad</v>
      </c>
      <c r="BR173" s="234"/>
      <c r="BT173" s="234"/>
      <c r="BU173" s="235"/>
    </row>
    <row r="174" spans="28:73">
      <c r="AB174" s="215">
        <v>173</v>
      </c>
      <c r="AC174" s="35" t="s">
        <v>736</v>
      </c>
      <c r="AD174" s="33" t="s">
        <v>737</v>
      </c>
      <c r="AE174" s="37" t="str">
        <f t="shared" si="14"/>
        <v>PHC0324-78-1:Mr. Fazal Gul</v>
      </c>
      <c r="BR174" s="234"/>
      <c r="BT174" s="234"/>
      <c r="BU174" s="235"/>
    </row>
    <row r="175" spans="28:73" ht="30">
      <c r="AB175" s="215">
        <v>174</v>
      </c>
      <c r="AC175" s="35" t="s">
        <v>738</v>
      </c>
      <c r="AD175" s="33" t="s">
        <v>739</v>
      </c>
      <c r="AE175" s="37" t="str">
        <f t="shared" si="14"/>
        <v>PHC0325-78-1:Mr. Shabbir Muhammad Durrani</v>
      </c>
      <c r="BR175" s="234"/>
      <c r="BT175" s="234"/>
      <c r="BU175" s="235"/>
    </row>
    <row r="176" spans="28:73">
      <c r="AB176" s="215">
        <v>175</v>
      </c>
      <c r="AC176" s="35" t="s">
        <v>740</v>
      </c>
      <c r="AD176" s="33" t="s">
        <v>741</v>
      </c>
      <c r="AE176" s="37" t="str">
        <f t="shared" si="14"/>
        <v>PHC0327-79-1:Mr. Ikramullah</v>
      </c>
      <c r="BR176" s="234"/>
      <c r="BT176" s="234"/>
      <c r="BU176" s="235"/>
    </row>
    <row r="177" spans="28:73">
      <c r="AB177" s="215">
        <v>176</v>
      </c>
      <c r="AC177" s="35" t="s">
        <v>742</v>
      </c>
      <c r="AD177" s="33" t="s">
        <v>743</v>
      </c>
      <c r="AE177" s="37" t="str">
        <f t="shared" si="14"/>
        <v>PHC0328-76-1:Mr. Abdul Salam Khan</v>
      </c>
      <c r="BR177" s="234"/>
      <c r="BT177" s="234"/>
      <c r="BU177" s="235"/>
    </row>
    <row r="178" spans="28:73">
      <c r="AB178" s="215">
        <v>177</v>
      </c>
      <c r="AC178" s="35" t="s">
        <v>744</v>
      </c>
      <c r="AD178" s="33" t="s">
        <v>745</v>
      </c>
      <c r="AE178" s="37" t="str">
        <f t="shared" si="14"/>
        <v>PHC0329-73-1:Miss Aqsa Saeed</v>
      </c>
      <c r="BR178" s="234"/>
      <c r="BT178" s="234"/>
      <c r="BU178" s="235"/>
    </row>
    <row r="179" spans="28:73">
      <c r="AB179" s="215">
        <v>178</v>
      </c>
      <c r="AC179" s="35" t="s">
        <v>746</v>
      </c>
      <c r="AD179" s="33" t="s">
        <v>747</v>
      </c>
      <c r="AE179" s="37" t="str">
        <f t="shared" si="14"/>
        <v>PHC0330-75-1:Mr. Tariq Abbas</v>
      </c>
      <c r="BR179" s="234"/>
      <c r="BT179" s="234"/>
      <c r="BU179" s="235"/>
    </row>
    <row r="180" spans="28:73">
      <c r="AB180" s="215">
        <v>179</v>
      </c>
      <c r="AC180" s="35" t="s">
        <v>748</v>
      </c>
      <c r="AD180" s="33" t="s">
        <v>749</v>
      </c>
      <c r="AE180" s="37" t="str">
        <f t="shared" si="14"/>
        <v>PHC0332-75-1:Mr. Muhammad Iqbal</v>
      </c>
      <c r="BR180" s="234"/>
      <c r="BT180" s="234"/>
      <c r="BU180" s="235"/>
    </row>
    <row r="181" spans="28:73">
      <c r="AB181" s="215">
        <v>180</v>
      </c>
      <c r="AC181" s="35" t="s">
        <v>750</v>
      </c>
      <c r="AD181" s="33" t="s">
        <v>751</v>
      </c>
      <c r="AE181" s="37" t="str">
        <f t="shared" si="14"/>
        <v>PHC0334-77-1:Mr. Muhammad Asif</v>
      </c>
      <c r="BR181" s="234"/>
      <c r="BT181" s="234"/>
      <c r="BU181" s="235"/>
    </row>
    <row r="182" spans="28:73">
      <c r="AB182" s="215">
        <v>181</v>
      </c>
      <c r="AC182" s="35" t="s">
        <v>752</v>
      </c>
      <c r="AD182" s="33" t="s">
        <v>753</v>
      </c>
      <c r="AE182" s="37" t="str">
        <f t="shared" si="14"/>
        <v>PHC0335-75-1:Mr. Muhammad Asghar Ali</v>
      </c>
      <c r="BR182" s="234"/>
      <c r="BT182" s="234"/>
      <c r="BU182" s="235"/>
    </row>
    <row r="183" spans="28:73">
      <c r="AB183" s="215">
        <v>182</v>
      </c>
      <c r="AC183" s="35" t="s">
        <v>754</v>
      </c>
      <c r="AD183" s="33" t="s">
        <v>755</v>
      </c>
      <c r="AE183" s="37" t="str">
        <f t="shared" si="14"/>
        <v>PHC0336-78-1:Mr. Assad Ullah</v>
      </c>
      <c r="BR183" s="234"/>
      <c r="BT183" s="234"/>
      <c r="BU183" s="235"/>
    </row>
    <row r="184" spans="28:73">
      <c r="AB184" s="215">
        <v>183</v>
      </c>
      <c r="AC184" s="35" t="s">
        <v>756</v>
      </c>
      <c r="AD184" s="33" t="s">
        <v>757</v>
      </c>
      <c r="AE184" s="37" t="str">
        <f t="shared" si="14"/>
        <v>PHC0337-79-1:Mr. Shahid Mehmood</v>
      </c>
      <c r="BR184" s="234"/>
      <c r="BT184" s="234"/>
      <c r="BU184" s="235"/>
    </row>
    <row r="185" spans="28:73">
      <c r="AB185" s="215">
        <v>184</v>
      </c>
      <c r="AC185" s="35" t="s">
        <v>758</v>
      </c>
      <c r="AD185" s="33" t="s">
        <v>759</v>
      </c>
      <c r="AE185" s="37" t="str">
        <f t="shared" si="14"/>
        <v>PHC0338-73-1:Mr. Ejaz ur Rehman Qazi</v>
      </c>
      <c r="BR185" s="234"/>
      <c r="BT185" s="234"/>
      <c r="BU185" s="235"/>
    </row>
    <row r="186" spans="28:73">
      <c r="AB186" s="215">
        <v>185</v>
      </c>
      <c r="AC186" s="35" t="s">
        <v>760</v>
      </c>
      <c r="AD186" s="33" t="s">
        <v>761</v>
      </c>
      <c r="AE186" s="37" t="str">
        <f t="shared" si="14"/>
        <v>PHC0339-76-1:Miss Mah Jabeen</v>
      </c>
      <c r="BR186" s="234"/>
      <c r="BT186" s="234"/>
      <c r="BU186" s="235"/>
    </row>
    <row r="187" spans="28:73">
      <c r="AB187" s="215">
        <v>186</v>
      </c>
      <c r="AC187" s="35" t="s">
        <v>762</v>
      </c>
      <c r="AD187" s="33" t="s">
        <v>763</v>
      </c>
      <c r="AE187" s="37" t="str">
        <f t="shared" si="14"/>
        <v>PHC0340-77-1:Mr. Naseer Ahmed</v>
      </c>
      <c r="BR187" s="234"/>
      <c r="BT187" s="234"/>
      <c r="BU187" s="235"/>
    </row>
    <row r="188" spans="28:73">
      <c r="AB188" s="215">
        <v>187</v>
      </c>
      <c r="AC188" s="35" t="s">
        <v>764</v>
      </c>
      <c r="AD188" s="33" t="s">
        <v>765</v>
      </c>
      <c r="AE188" s="37" t="str">
        <f t="shared" si="14"/>
        <v>PHC0341-67-3:Mr. Kalim Arshad Khan</v>
      </c>
      <c r="BR188" s="234"/>
      <c r="BT188" s="234"/>
      <c r="BU188" s="235"/>
    </row>
    <row r="189" spans="28:73">
      <c r="AB189" s="215">
        <v>188</v>
      </c>
      <c r="AC189" s="35" t="s">
        <v>766</v>
      </c>
      <c r="AD189" s="33" t="s">
        <v>767</v>
      </c>
      <c r="AE189" s="37" t="str">
        <f t="shared" si="14"/>
        <v>PHC0342-69-1:Miss Farhana Tabassum</v>
      </c>
      <c r="BR189" s="234"/>
      <c r="BT189" s="234"/>
      <c r="BU189" s="235"/>
    </row>
    <row r="190" spans="28:73">
      <c r="AB190" s="215">
        <v>189</v>
      </c>
      <c r="AC190" s="35" t="s">
        <v>768</v>
      </c>
      <c r="AD190" s="33" t="s">
        <v>769</v>
      </c>
      <c r="AE190" s="37" t="str">
        <f t="shared" si="14"/>
        <v>PHC0343-79-1:Syed Hassan Raza Shah</v>
      </c>
      <c r="BR190" s="234"/>
      <c r="BT190" s="234"/>
      <c r="BU190" s="235"/>
    </row>
    <row r="191" spans="28:73">
      <c r="AB191" s="215">
        <v>190</v>
      </c>
      <c r="AC191" s="35" t="s">
        <v>770</v>
      </c>
      <c r="AD191" s="33" t="s">
        <v>771</v>
      </c>
      <c r="AE191" s="37" t="str">
        <f t="shared" si="14"/>
        <v>PHC0346-79-1:Mr. Abdul Qayum Siddiqi</v>
      </c>
      <c r="BR191" s="234"/>
      <c r="BT191" s="234"/>
      <c r="BU191" s="235"/>
    </row>
    <row r="192" spans="28:73">
      <c r="AB192" s="215">
        <v>191</v>
      </c>
      <c r="AC192" s="35" t="s">
        <v>772</v>
      </c>
      <c r="AD192" s="33" t="s">
        <v>773</v>
      </c>
      <c r="AE192" s="37" t="str">
        <f t="shared" si="14"/>
        <v>PHC0347-74-1:Mr. Nasrullah Khan</v>
      </c>
      <c r="BR192" s="234"/>
      <c r="BT192" s="234"/>
      <c r="BU192" s="235"/>
    </row>
    <row r="193" spans="28:73">
      <c r="AB193" s="215">
        <v>192</v>
      </c>
      <c r="AC193" s="35" t="s">
        <v>774</v>
      </c>
      <c r="AD193" s="33" t="s">
        <v>775</v>
      </c>
      <c r="AE193" s="37" t="str">
        <f t="shared" si="14"/>
        <v>PHC0348-78-1:Mr. Ubaid Ullah</v>
      </c>
      <c r="BR193" s="234"/>
      <c r="BT193" s="234"/>
      <c r="BU193" s="235"/>
    </row>
    <row r="194" spans="28:73">
      <c r="AB194" s="215">
        <v>193</v>
      </c>
      <c r="AC194" s="35" t="s">
        <v>776</v>
      </c>
      <c r="AD194" s="33" t="s">
        <v>777</v>
      </c>
      <c r="AE194" s="37" t="str">
        <f t="shared" si="14"/>
        <v>PHC0349-79-1:Mr. Muhammad Ayaz</v>
      </c>
      <c r="BR194" s="234"/>
      <c r="BT194" s="234"/>
      <c r="BU194" s="235"/>
    </row>
    <row r="195" spans="28:73">
      <c r="AB195" s="215">
        <v>194</v>
      </c>
      <c r="AC195" s="35" t="s">
        <v>778</v>
      </c>
      <c r="AD195" s="33" t="s">
        <v>779</v>
      </c>
      <c r="AE195" s="37" t="str">
        <f t="shared" ref="AE195:AE258" si="15">CONCATENATE(AC195,":",AD195)</f>
        <v>PHC0350-79-1:Mr. Muhammad Ishaq</v>
      </c>
      <c r="BR195" s="234"/>
      <c r="BT195" s="234"/>
      <c r="BU195" s="235"/>
    </row>
    <row r="196" spans="28:73">
      <c r="AB196" s="215">
        <v>195</v>
      </c>
      <c r="AC196" s="35" t="s">
        <v>780</v>
      </c>
      <c r="AD196" s="33" t="s">
        <v>781</v>
      </c>
      <c r="AE196" s="37" t="str">
        <f t="shared" si="15"/>
        <v>PHC0351-79-1:Mr. Muhammad Zahoor</v>
      </c>
      <c r="BR196" s="234"/>
      <c r="BT196" s="234"/>
      <c r="BU196" s="235"/>
    </row>
    <row r="197" spans="28:73">
      <c r="AB197" s="215">
        <v>196</v>
      </c>
      <c r="AC197" s="35" t="s">
        <v>782</v>
      </c>
      <c r="AD197" s="33" t="s">
        <v>783</v>
      </c>
      <c r="AE197" s="37" t="str">
        <f t="shared" si="15"/>
        <v>PHC0353-74-1:Mr. Islam ud Din</v>
      </c>
      <c r="BR197" s="234"/>
      <c r="BT197" s="234"/>
      <c r="BU197" s="235"/>
    </row>
    <row r="198" spans="28:73">
      <c r="AB198" s="215">
        <v>197</v>
      </c>
      <c r="AC198" s="35" t="s">
        <v>784</v>
      </c>
      <c r="AD198" s="33" t="s">
        <v>785</v>
      </c>
      <c r="AE198" s="37" t="str">
        <f t="shared" si="15"/>
        <v>PHC0355-77-1:Mr. Bakht Zada</v>
      </c>
      <c r="BR198" s="234"/>
      <c r="BT198" s="234"/>
      <c r="BU198" s="235"/>
    </row>
    <row r="199" spans="28:73">
      <c r="AB199" s="215">
        <v>198</v>
      </c>
      <c r="AC199" s="35" t="s">
        <v>786</v>
      </c>
      <c r="AD199" s="33" t="s">
        <v>787</v>
      </c>
      <c r="AE199" s="37" t="str">
        <f t="shared" si="15"/>
        <v>PHC0357-72-1:Mr. Asmat Ullah</v>
      </c>
      <c r="BR199" s="234"/>
      <c r="BT199" s="234"/>
      <c r="BU199" s="235"/>
    </row>
    <row r="200" spans="28:73">
      <c r="AB200" s="215">
        <v>199</v>
      </c>
      <c r="AC200" s="35" t="s">
        <v>788</v>
      </c>
      <c r="AD200" s="33" t="s">
        <v>789</v>
      </c>
      <c r="AE200" s="37" t="str">
        <f t="shared" si="15"/>
        <v>PHC0358-80-1:Sayed Fazal Wadood</v>
      </c>
      <c r="BR200" s="234"/>
      <c r="BT200" s="234"/>
      <c r="BU200" s="235"/>
    </row>
    <row r="201" spans="28:73">
      <c r="AB201" s="215">
        <v>200</v>
      </c>
      <c r="AC201" s="35" t="s">
        <v>790</v>
      </c>
      <c r="AD201" s="33" t="s">
        <v>791</v>
      </c>
      <c r="AE201" s="37" t="str">
        <f t="shared" si="15"/>
        <v>PHC0359-76-1:Mr. Muhammad Qasim</v>
      </c>
      <c r="BR201" s="234"/>
      <c r="BT201" s="234"/>
      <c r="BU201" s="235"/>
    </row>
    <row r="202" spans="28:73">
      <c r="AB202" s="215">
        <v>201</v>
      </c>
      <c r="AC202" s="35" t="s">
        <v>792</v>
      </c>
      <c r="AD202" s="33" t="s">
        <v>793</v>
      </c>
      <c r="AE202" s="37" t="str">
        <f t="shared" si="15"/>
        <v>PHC0360-78-1:Syed Murad Ali Shah</v>
      </c>
      <c r="BR202" s="234"/>
      <c r="BT202" s="234"/>
      <c r="BU202" s="235"/>
    </row>
    <row r="203" spans="28:73">
      <c r="AB203" s="215">
        <v>202</v>
      </c>
      <c r="AC203" s="35" t="s">
        <v>794</v>
      </c>
      <c r="AD203" s="33" t="s">
        <v>795</v>
      </c>
      <c r="AE203" s="37" t="str">
        <f t="shared" si="15"/>
        <v>PHC0362-72-1:Miss Shah Sultan</v>
      </c>
      <c r="BR203" s="234"/>
      <c r="BT203" s="234"/>
      <c r="BU203" s="235"/>
    </row>
    <row r="204" spans="28:73">
      <c r="AB204" s="215">
        <v>203</v>
      </c>
      <c r="AC204" s="35" t="s">
        <v>796</v>
      </c>
      <c r="AD204" s="33" t="s">
        <v>797</v>
      </c>
      <c r="AE204" s="37" t="str">
        <f t="shared" si="15"/>
        <v>PHC0363-79-1:Mr. Qaiser Khan Afridi</v>
      </c>
      <c r="BR204" s="234"/>
      <c r="BT204" s="234"/>
      <c r="BU204" s="235"/>
    </row>
    <row r="205" spans="28:73">
      <c r="AB205" s="215">
        <v>204</v>
      </c>
      <c r="AC205" s="35" t="s">
        <v>798</v>
      </c>
      <c r="AD205" s="33" t="s">
        <v>799</v>
      </c>
      <c r="AE205" s="37" t="str">
        <f t="shared" si="15"/>
        <v>PHC0364-75-1:Mr. Ihsan ul Haq</v>
      </c>
      <c r="BR205" s="234"/>
      <c r="BT205" s="234"/>
      <c r="BU205" s="235"/>
    </row>
    <row r="206" spans="28:73">
      <c r="AB206" s="215">
        <v>205</v>
      </c>
      <c r="AC206" s="35" t="s">
        <v>800</v>
      </c>
      <c r="AD206" s="33" t="s">
        <v>801</v>
      </c>
      <c r="AE206" s="37" t="str">
        <f t="shared" si="15"/>
        <v>PHC0365-79-1:Mr. Irshad Ali</v>
      </c>
      <c r="BR206" s="234"/>
      <c r="BT206" s="234"/>
      <c r="BU206" s="235"/>
    </row>
    <row r="207" spans="28:73">
      <c r="AB207" s="215">
        <v>206</v>
      </c>
      <c r="AC207" s="35" t="s">
        <v>802</v>
      </c>
      <c r="AD207" s="33" t="s">
        <v>803</v>
      </c>
      <c r="AE207" s="37" t="str">
        <f t="shared" si="15"/>
        <v>PHC0366-74-1:Mr. Abdul Hassan Mohmand</v>
      </c>
      <c r="BR207" s="234"/>
      <c r="BT207" s="234"/>
      <c r="BU207" s="235"/>
    </row>
    <row r="208" spans="28:73">
      <c r="AB208" s="215">
        <v>207</v>
      </c>
      <c r="AC208" s="35" t="s">
        <v>804</v>
      </c>
      <c r="AD208" s="33" t="s">
        <v>805</v>
      </c>
      <c r="AE208" s="37" t="str">
        <f t="shared" si="15"/>
        <v>PHC0368-77-1:Mr. Muhammad Ilyas Khan</v>
      </c>
      <c r="BR208" s="234"/>
      <c r="BT208" s="234"/>
      <c r="BU208" s="235"/>
    </row>
    <row r="209" spans="28:73">
      <c r="AB209" s="215">
        <v>208</v>
      </c>
      <c r="AC209" s="35" t="s">
        <v>806</v>
      </c>
      <c r="AD209" s="33" t="s">
        <v>807</v>
      </c>
      <c r="AE209" s="37" t="str">
        <f t="shared" si="15"/>
        <v>PHC0369-75-1:Mr. Issa Khan</v>
      </c>
      <c r="BR209" s="234"/>
      <c r="BT209" s="234"/>
      <c r="BU209" s="235"/>
    </row>
    <row r="210" spans="28:73">
      <c r="AB210" s="215">
        <v>209</v>
      </c>
      <c r="AC210" s="35" t="s">
        <v>808</v>
      </c>
      <c r="AD210" s="33" t="s">
        <v>809</v>
      </c>
      <c r="AE210" s="37" t="str">
        <f t="shared" si="15"/>
        <v>PHC0370-79-1:Mr. Adam Khan</v>
      </c>
      <c r="BR210" s="234"/>
      <c r="BT210" s="234"/>
      <c r="BU210" s="235"/>
    </row>
    <row r="211" spans="28:73">
      <c r="AB211" s="215">
        <v>210</v>
      </c>
      <c r="AC211" s="35" t="s">
        <v>810</v>
      </c>
      <c r="AD211" s="33" t="s">
        <v>811</v>
      </c>
      <c r="AE211" s="37" t="str">
        <f t="shared" si="15"/>
        <v>PHC0371-76-1:Miss Shams-ul-Huda</v>
      </c>
      <c r="BR211" s="234"/>
      <c r="BT211" s="234"/>
      <c r="BU211" s="235"/>
    </row>
    <row r="212" spans="28:73" ht="30">
      <c r="AB212" s="215">
        <v>211</v>
      </c>
      <c r="AC212" s="35" t="s">
        <v>812</v>
      </c>
      <c r="AD212" s="33" t="s">
        <v>813</v>
      </c>
      <c r="AE212" s="37" t="str">
        <f t="shared" si="15"/>
        <v>PHC0372-71-1:Mrs. Nusrat Yasmeen Intekhab</v>
      </c>
      <c r="BR212" s="234"/>
      <c r="BT212" s="234"/>
      <c r="BU212" s="235"/>
    </row>
    <row r="213" spans="28:73">
      <c r="AB213" s="215">
        <v>212</v>
      </c>
      <c r="AC213" s="35" t="s">
        <v>814</v>
      </c>
      <c r="AD213" s="33" t="s">
        <v>815</v>
      </c>
      <c r="AE213" s="37" t="str">
        <f t="shared" si="15"/>
        <v>PHC0374-70-3:Mr. Khalid Khan</v>
      </c>
      <c r="BR213" s="234"/>
      <c r="BT213" s="234"/>
      <c r="BU213" s="235"/>
    </row>
    <row r="214" spans="28:73">
      <c r="AB214" s="215">
        <v>213</v>
      </c>
      <c r="AC214" s="35" t="s">
        <v>816</v>
      </c>
      <c r="AD214" s="33" t="s">
        <v>817</v>
      </c>
      <c r="AE214" s="37" t="str">
        <f t="shared" si="15"/>
        <v>PHC0375-71-3:Mr. Mamrez Khan Khalil</v>
      </c>
      <c r="BR214" s="234"/>
      <c r="BT214" s="234"/>
      <c r="BU214" s="235"/>
    </row>
    <row r="215" spans="28:73">
      <c r="AB215" s="215">
        <v>214</v>
      </c>
      <c r="AC215" s="35" t="s">
        <v>818</v>
      </c>
      <c r="AD215" s="33" t="s">
        <v>819</v>
      </c>
      <c r="AE215" s="37" t="str">
        <f t="shared" si="15"/>
        <v>PHC0378-72-3:Ms. Farah Attaullah</v>
      </c>
      <c r="BR215" s="234"/>
      <c r="BT215" s="234"/>
      <c r="BU215" s="235"/>
    </row>
    <row r="216" spans="28:73" ht="30">
      <c r="AB216" s="215">
        <v>215</v>
      </c>
      <c r="AC216" s="35" t="s">
        <v>820</v>
      </c>
      <c r="AD216" s="33" t="s">
        <v>821</v>
      </c>
      <c r="AE216" s="37" t="str">
        <f t="shared" si="15"/>
        <v>PHC0379-70-3:Mrs. Shahnaz Hameed Khattak</v>
      </c>
      <c r="BR216" s="234"/>
      <c r="BT216" s="234"/>
      <c r="BU216" s="235"/>
    </row>
    <row r="217" spans="28:73">
      <c r="AB217" s="215">
        <v>216</v>
      </c>
      <c r="AC217" s="35" t="s">
        <v>822</v>
      </c>
      <c r="AD217" s="33" t="s">
        <v>823</v>
      </c>
      <c r="AE217" s="37" t="str">
        <f t="shared" si="15"/>
        <v>PHC0380-71-3:Ms. Rashida Bano</v>
      </c>
      <c r="BR217" s="234"/>
      <c r="BT217" s="234"/>
      <c r="BU217" s="235"/>
    </row>
    <row r="218" spans="28:73">
      <c r="AB218" s="215">
        <v>217</v>
      </c>
      <c r="AC218" s="35" t="s">
        <v>824</v>
      </c>
      <c r="AD218" s="33" t="s">
        <v>825</v>
      </c>
      <c r="AE218" s="37" t="str">
        <f t="shared" si="15"/>
        <v>PHC0381-71-3:Mr. Fareed Khan Alizai</v>
      </c>
      <c r="BR218" s="234"/>
      <c r="BT218" s="234"/>
      <c r="BU218" s="235"/>
    </row>
    <row r="219" spans="28:73" ht="30">
      <c r="AB219" s="215">
        <v>218</v>
      </c>
      <c r="AC219" s="35" t="s">
        <v>826</v>
      </c>
      <c r="AD219" s="33" t="s">
        <v>827</v>
      </c>
      <c r="AE219" s="37" t="str">
        <f t="shared" si="15"/>
        <v>PHC0382-72-1:Mr. Muhammad Sher Ali Khan</v>
      </c>
      <c r="BR219" s="234"/>
      <c r="BT219" s="234"/>
      <c r="BU219" s="235"/>
    </row>
    <row r="220" spans="28:73">
      <c r="AB220" s="215">
        <v>219</v>
      </c>
      <c r="AC220" s="35" t="s">
        <v>828</v>
      </c>
      <c r="AD220" s="33" t="s">
        <v>829</v>
      </c>
      <c r="AE220" s="37" t="str">
        <f t="shared" si="15"/>
        <v>PHC0383-73-1:Mr. Inam Khan</v>
      </c>
      <c r="BR220" s="234"/>
      <c r="BT220" s="234"/>
      <c r="BU220" s="235"/>
    </row>
    <row r="221" spans="28:73">
      <c r="AB221" s="215">
        <v>220</v>
      </c>
      <c r="AC221" s="35" t="s">
        <v>830</v>
      </c>
      <c r="AD221" s="33" t="s">
        <v>831</v>
      </c>
      <c r="AE221" s="37" t="str">
        <f t="shared" si="15"/>
        <v>PHC0384-74-1:Mr. Fazal Nasir Shah</v>
      </c>
      <c r="BR221" s="234"/>
      <c r="BT221" s="234"/>
      <c r="BU221" s="235"/>
    </row>
    <row r="222" spans="28:73">
      <c r="AB222" s="215">
        <v>221</v>
      </c>
      <c r="AC222" s="35" t="s">
        <v>832</v>
      </c>
      <c r="AD222" s="33" t="s">
        <v>833</v>
      </c>
      <c r="AE222" s="37" t="str">
        <f t="shared" si="15"/>
        <v>PHC0385-74-1:Mr. Hussain Ali</v>
      </c>
      <c r="BR222" s="234"/>
      <c r="BT222" s="234"/>
      <c r="BU222" s="235"/>
    </row>
    <row r="223" spans="28:73">
      <c r="AB223" s="215">
        <v>222</v>
      </c>
      <c r="AC223" s="35" t="s">
        <v>834</v>
      </c>
      <c r="AD223" s="33" t="s">
        <v>835</v>
      </c>
      <c r="AE223" s="37" t="str">
        <f t="shared" si="15"/>
        <v>PHC0386-74-1:Miss Haseena Saqlain</v>
      </c>
      <c r="BR223" s="234"/>
      <c r="BT223" s="234"/>
      <c r="BU223" s="235"/>
    </row>
    <row r="224" spans="28:73">
      <c r="AB224" s="215">
        <v>223</v>
      </c>
      <c r="AC224" s="35" t="s">
        <v>836</v>
      </c>
      <c r="AD224" s="33" t="s">
        <v>837</v>
      </c>
      <c r="AE224" s="37" t="str">
        <f t="shared" si="15"/>
        <v>PHC0388-75-1:Mr. Shaukat Ali</v>
      </c>
      <c r="BR224" s="234"/>
      <c r="BT224" s="234"/>
      <c r="BU224" s="235"/>
    </row>
    <row r="225" spans="28:73">
      <c r="AB225" s="215">
        <v>224</v>
      </c>
      <c r="AC225" s="35" t="s">
        <v>838</v>
      </c>
      <c r="AD225" s="33" t="s">
        <v>839</v>
      </c>
      <c r="AE225" s="37" t="str">
        <f t="shared" si="15"/>
        <v>PHC0389-75-1:Mr. Muhammad Mushtaq</v>
      </c>
      <c r="BR225" s="234"/>
      <c r="BT225" s="234"/>
      <c r="BU225" s="235"/>
    </row>
    <row r="226" spans="28:73">
      <c r="AB226" s="215">
        <v>225</v>
      </c>
      <c r="AC226" s="35" t="s">
        <v>840</v>
      </c>
      <c r="AD226" s="33" t="s">
        <v>841</v>
      </c>
      <c r="AE226" s="37" t="str">
        <f t="shared" si="15"/>
        <v>PHC0390-75-1:Mr. Akbar Ali</v>
      </c>
      <c r="BR226" s="234"/>
      <c r="BT226" s="234"/>
      <c r="BU226" s="235"/>
    </row>
    <row r="227" spans="28:73">
      <c r="AB227" s="215">
        <v>226</v>
      </c>
      <c r="AC227" s="35" t="s">
        <v>842</v>
      </c>
      <c r="AD227" s="33" t="s">
        <v>843</v>
      </c>
      <c r="AE227" s="37" t="str">
        <f t="shared" si="15"/>
        <v>PHC0391-75-1:Miss Imrana Shaheen</v>
      </c>
      <c r="BR227" s="234"/>
      <c r="BT227" s="234"/>
      <c r="BU227" s="235"/>
    </row>
    <row r="228" spans="28:73">
      <c r="AB228" s="215">
        <v>227</v>
      </c>
      <c r="AC228" s="35" t="s">
        <v>844</v>
      </c>
      <c r="AD228" s="33" t="s">
        <v>841</v>
      </c>
      <c r="AE228" s="37" t="str">
        <f t="shared" si="15"/>
        <v>PHC0393-76-1:Mr. Akbar Ali</v>
      </c>
      <c r="BR228" s="234"/>
      <c r="BT228" s="234"/>
      <c r="BU228" s="235"/>
    </row>
    <row r="229" spans="28:73">
      <c r="AB229" s="215">
        <v>228</v>
      </c>
      <c r="AC229" s="35" t="s">
        <v>845</v>
      </c>
      <c r="AD229" s="33" t="s">
        <v>846</v>
      </c>
      <c r="AE229" s="37" t="str">
        <f t="shared" si="15"/>
        <v>PHC0394-77-1:Miss Quratul Ain Chand Irfan</v>
      </c>
      <c r="BR229" s="234"/>
      <c r="BT229" s="234"/>
      <c r="BU229" s="235"/>
    </row>
    <row r="230" spans="28:73">
      <c r="AB230" s="215">
        <v>229</v>
      </c>
      <c r="AC230" s="35" t="s">
        <v>847</v>
      </c>
      <c r="AD230" s="33" t="s">
        <v>848</v>
      </c>
      <c r="AE230" s="37" t="str">
        <f t="shared" si="15"/>
        <v>PHC0395-77-1:Mr. Ijaz Younis</v>
      </c>
      <c r="BR230" s="234"/>
      <c r="BT230" s="234"/>
      <c r="BU230" s="235"/>
    </row>
    <row r="231" spans="28:73">
      <c r="AB231" s="215">
        <v>230</v>
      </c>
      <c r="AC231" s="35" t="s">
        <v>849</v>
      </c>
      <c r="AD231" s="33" t="s">
        <v>850</v>
      </c>
      <c r="AE231" s="37" t="str">
        <f t="shared" si="15"/>
        <v>PHC0396-77-1:Mr. Shah Faisal</v>
      </c>
      <c r="BR231" s="234"/>
      <c r="BT231" s="234"/>
      <c r="BU231" s="235"/>
    </row>
    <row r="232" spans="28:73">
      <c r="AB232" s="215">
        <v>231</v>
      </c>
      <c r="AC232" s="35" t="s">
        <v>851</v>
      </c>
      <c r="AD232" s="33" t="s">
        <v>852</v>
      </c>
      <c r="AE232" s="37" t="str">
        <f t="shared" si="15"/>
        <v>PHC0397-77-1:Mr. Ishtiaq Ahmad</v>
      </c>
      <c r="BR232" s="234"/>
      <c r="BT232" s="234"/>
      <c r="BU232" s="235"/>
    </row>
    <row r="233" spans="28:73">
      <c r="AB233" s="215">
        <v>232</v>
      </c>
      <c r="AC233" s="35" t="s">
        <v>853</v>
      </c>
      <c r="AD233" s="33" t="s">
        <v>854</v>
      </c>
      <c r="AE233" s="37" t="str">
        <f t="shared" si="15"/>
        <v>PHC0398-78-1:Mr. Khalid Mansoor</v>
      </c>
      <c r="BR233" s="234"/>
      <c r="BT233" s="234"/>
      <c r="BU233" s="235"/>
    </row>
    <row r="234" spans="28:73">
      <c r="AB234" s="215">
        <v>233</v>
      </c>
      <c r="AC234" s="35" t="s">
        <v>855</v>
      </c>
      <c r="AD234" s="33" t="s">
        <v>856</v>
      </c>
      <c r="AE234" s="37" t="str">
        <f t="shared" si="15"/>
        <v>PHC0399-78-1:Mr. Ijaz-ur-Rahman</v>
      </c>
      <c r="BR234" s="234"/>
      <c r="BT234" s="234"/>
      <c r="BU234" s="235"/>
    </row>
    <row r="235" spans="28:73">
      <c r="AB235" s="215">
        <v>234</v>
      </c>
      <c r="AC235" s="35" t="s">
        <v>857</v>
      </c>
      <c r="AD235" s="33" t="s">
        <v>858</v>
      </c>
      <c r="AE235" s="37" t="str">
        <f t="shared" si="15"/>
        <v>PHC0400-78-1:Syed Israr Ali Shah</v>
      </c>
      <c r="BR235" s="234"/>
      <c r="BT235" s="234"/>
      <c r="BU235" s="235"/>
    </row>
    <row r="236" spans="28:73">
      <c r="AB236" s="215">
        <v>235</v>
      </c>
      <c r="AC236" s="35" t="s">
        <v>859</v>
      </c>
      <c r="AD236" s="33" t="s">
        <v>860</v>
      </c>
      <c r="AE236" s="37" t="str">
        <f t="shared" si="15"/>
        <v>PHC0401-78-1:Miss Kiran Shaukat</v>
      </c>
      <c r="BR236" s="234"/>
      <c r="BT236" s="234"/>
      <c r="BU236" s="235"/>
    </row>
    <row r="237" spans="28:73">
      <c r="AB237" s="215">
        <v>236</v>
      </c>
      <c r="AC237" s="35" t="s">
        <v>861</v>
      </c>
      <c r="AD237" s="33" t="s">
        <v>862</v>
      </c>
      <c r="AE237" s="37" t="str">
        <f t="shared" si="15"/>
        <v>PHC0402-78-1:Mr. Muhammad Irfan</v>
      </c>
      <c r="BR237" s="234"/>
      <c r="BT237" s="234"/>
      <c r="BU237" s="235"/>
    </row>
    <row r="238" spans="28:73">
      <c r="AB238" s="215">
        <v>237</v>
      </c>
      <c r="AC238" s="35" t="s">
        <v>863</v>
      </c>
      <c r="AD238" s="33" t="s">
        <v>864</v>
      </c>
      <c r="AE238" s="37" t="str">
        <f t="shared" si="15"/>
        <v>PHC0403-78-1:Mr. Najeeb-ul-Haq</v>
      </c>
      <c r="BR238" s="234"/>
      <c r="BT238" s="234"/>
      <c r="BU238" s="235"/>
    </row>
    <row r="239" spans="28:73">
      <c r="AB239" s="215">
        <v>238</v>
      </c>
      <c r="AC239" s="35" t="s">
        <v>865</v>
      </c>
      <c r="AD239" s="33" t="s">
        <v>866</v>
      </c>
      <c r="AE239" s="37" t="str">
        <f t="shared" si="15"/>
        <v>PHC0405-79-1:Mr. Muhammad Hanif</v>
      </c>
      <c r="BR239" s="234"/>
      <c r="BT239" s="234"/>
      <c r="BU239" s="235"/>
    </row>
    <row r="240" spans="28:73">
      <c r="AB240" s="215">
        <v>239</v>
      </c>
      <c r="AC240" s="35" t="s">
        <v>867</v>
      </c>
      <c r="AD240" s="33" t="s">
        <v>868</v>
      </c>
      <c r="AE240" s="37" t="str">
        <f t="shared" si="15"/>
        <v>PHC0406-79-1:Mr. Muhammad Ilyas</v>
      </c>
      <c r="BR240" s="234"/>
      <c r="BT240" s="234"/>
      <c r="BU240" s="235"/>
    </row>
    <row r="241" spans="28:73">
      <c r="AB241" s="215">
        <v>240</v>
      </c>
      <c r="AC241" s="35" t="s">
        <v>869</v>
      </c>
      <c r="AD241" s="33" t="s">
        <v>870</v>
      </c>
      <c r="AE241" s="37" t="str">
        <f t="shared" si="15"/>
        <v>PHC0407-79-1:Mr. Iftikhar Ahmad</v>
      </c>
      <c r="BR241" s="234"/>
      <c r="BT241" s="234"/>
      <c r="BU241" s="235"/>
    </row>
    <row r="242" spans="28:73">
      <c r="AB242" s="215">
        <v>241</v>
      </c>
      <c r="AC242" s="35" t="s">
        <v>871</v>
      </c>
      <c r="AD242" s="33" t="s">
        <v>872</v>
      </c>
      <c r="AE242" s="37" t="str">
        <f t="shared" si="15"/>
        <v>PHC0408-79-1:Syeda Tehreema Sabahat</v>
      </c>
    </row>
    <row r="243" spans="28:73">
      <c r="AB243" s="215">
        <v>242</v>
      </c>
      <c r="AC243" s="35" t="s">
        <v>873</v>
      </c>
      <c r="AD243" s="33" t="s">
        <v>874</v>
      </c>
      <c r="AE243" s="37" t="str">
        <f t="shared" si="15"/>
        <v>PHC0409-79-1:Mr. Muhammad Jamil Khan</v>
      </c>
    </row>
    <row r="244" spans="28:73">
      <c r="AB244" s="215">
        <v>243</v>
      </c>
      <c r="AC244" s="35" t="s">
        <v>875</v>
      </c>
      <c r="AD244" s="33" t="s">
        <v>876</v>
      </c>
      <c r="AE244" s="37" t="str">
        <f t="shared" si="15"/>
        <v>PHC0410-79-1:Mr. Nadeem Akhtar</v>
      </c>
    </row>
    <row r="245" spans="28:73">
      <c r="AB245" s="215">
        <v>244</v>
      </c>
      <c r="AC245" s="35" t="s">
        <v>877</v>
      </c>
      <c r="AD245" s="33" t="s">
        <v>878</v>
      </c>
      <c r="AE245" s="37" t="str">
        <f t="shared" si="15"/>
        <v>PHC0411-79-1:Mr. Asif Kamal</v>
      </c>
    </row>
    <row r="246" spans="28:73">
      <c r="AB246" s="215">
        <v>245</v>
      </c>
      <c r="AC246" s="35" t="s">
        <v>879</v>
      </c>
      <c r="AD246" s="33" t="s">
        <v>880</v>
      </c>
      <c r="AE246" s="37" t="str">
        <f t="shared" si="15"/>
        <v>PHC0412-80-1:Mr. Sheraz Tariq</v>
      </c>
    </row>
    <row r="247" spans="28:73">
      <c r="AB247" s="215">
        <v>246</v>
      </c>
      <c r="AC247" s="35" t="s">
        <v>881</v>
      </c>
      <c r="AD247" s="33" t="s">
        <v>882</v>
      </c>
      <c r="AE247" s="37" t="str">
        <f t="shared" si="15"/>
        <v>PHC0413-80-1:Mr. Khalid Anwar</v>
      </c>
    </row>
    <row r="248" spans="28:73">
      <c r="AB248" s="215">
        <v>247</v>
      </c>
      <c r="AC248" s="35" t="s">
        <v>883</v>
      </c>
      <c r="AD248" s="33" t="s">
        <v>884</v>
      </c>
      <c r="AE248" s="37" t="str">
        <f t="shared" si="15"/>
        <v>PHC0414-80-1:Mr. Ishfaq Ahmad</v>
      </c>
    </row>
    <row r="249" spans="28:73" ht="30">
      <c r="AB249" s="215">
        <v>248</v>
      </c>
      <c r="AC249" s="35" t="s">
        <v>885</v>
      </c>
      <c r="AD249" s="33" t="s">
        <v>886</v>
      </c>
      <c r="AE249" s="37" t="str">
        <f t="shared" si="15"/>
        <v>PHC0415-80-1:Mr. Muhammad Rehan Samad</v>
      </c>
    </row>
    <row r="250" spans="28:73">
      <c r="AB250" s="215">
        <v>249</v>
      </c>
      <c r="AC250" s="35" t="s">
        <v>887</v>
      </c>
      <c r="AD250" s="33" t="s">
        <v>888</v>
      </c>
      <c r="AE250" s="37" t="str">
        <f t="shared" si="15"/>
        <v>PHC0416-80-1:Miss Tania Hashmi</v>
      </c>
    </row>
    <row r="251" spans="28:73">
      <c r="AB251" s="215">
        <v>250</v>
      </c>
      <c r="AC251" s="35" t="s">
        <v>889</v>
      </c>
      <c r="AD251" s="33" t="s">
        <v>890</v>
      </c>
      <c r="AE251" s="37" t="str">
        <f t="shared" si="15"/>
        <v>PHC0417-81-1:Mr. Shakeel Arshad</v>
      </c>
    </row>
    <row r="252" spans="28:73">
      <c r="AB252" s="215">
        <v>251</v>
      </c>
      <c r="AC252" s="35" t="s">
        <v>891</v>
      </c>
      <c r="AD252" s="33" t="s">
        <v>892</v>
      </c>
      <c r="AE252" s="37" t="str">
        <f t="shared" si="15"/>
        <v>PHC0418-81-1:Mr. Hamid Kamal</v>
      </c>
    </row>
    <row r="253" spans="28:73">
      <c r="AB253" s="215">
        <v>252</v>
      </c>
      <c r="AC253" s="35" t="s">
        <v>893</v>
      </c>
      <c r="AD253" s="33" t="s">
        <v>894</v>
      </c>
      <c r="AE253" s="37" t="str">
        <f t="shared" si="15"/>
        <v>PHC0419-81-1:Syed Mansoor Shah Bukhari</v>
      </c>
    </row>
    <row r="254" spans="28:73">
      <c r="AB254" s="215">
        <v>253</v>
      </c>
      <c r="AC254" s="35" t="s">
        <v>895</v>
      </c>
      <c r="AD254" s="33" t="s">
        <v>896</v>
      </c>
      <c r="AE254" s="37" t="str">
        <f t="shared" si="15"/>
        <v>PHC0420-81-1:Mr. Shahzad Ali Khan</v>
      </c>
    </row>
    <row r="255" spans="28:73">
      <c r="AB255" s="215">
        <v>254</v>
      </c>
      <c r="AC255" s="35" t="s">
        <v>897</v>
      </c>
      <c r="AD255" s="33" t="s">
        <v>898</v>
      </c>
      <c r="AE255" s="37" t="str">
        <f t="shared" si="15"/>
        <v>PHC0421-81-1:Ms Beenish Ismail Syed</v>
      </c>
    </row>
    <row r="256" spans="28:73">
      <c r="AB256" s="215">
        <v>255</v>
      </c>
      <c r="AC256" s="35" t="s">
        <v>899</v>
      </c>
      <c r="AD256" s="33" t="s">
        <v>900</v>
      </c>
      <c r="AE256" s="37" t="str">
        <f t="shared" si="15"/>
        <v>PHC0422-81-1:Miss Nighat Bibi</v>
      </c>
    </row>
    <row r="257" spans="28:31" ht="30">
      <c r="AB257" s="215">
        <v>256</v>
      </c>
      <c r="AC257" s="35" t="s">
        <v>901</v>
      </c>
      <c r="AD257" s="33" t="s">
        <v>902</v>
      </c>
      <c r="AE257" s="37" t="str">
        <f t="shared" si="15"/>
        <v>PHC0424-82-1:Mr. Seemab Waheed Siddiqui</v>
      </c>
    </row>
    <row r="258" spans="28:31">
      <c r="AB258" s="215">
        <v>257</v>
      </c>
      <c r="AC258" s="35" t="s">
        <v>903</v>
      </c>
      <c r="AD258" s="33" t="s">
        <v>904</v>
      </c>
      <c r="AE258" s="37" t="str">
        <f t="shared" si="15"/>
        <v>PHC0425-82-1:Mr. Farman Ullah</v>
      </c>
    </row>
    <row r="259" spans="28:31">
      <c r="AB259" s="215">
        <v>258</v>
      </c>
      <c r="AC259" s="35" t="s">
        <v>905</v>
      </c>
      <c r="AD259" s="33" t="s">
        <v>577</v>
      </c>
      <c r="AE259" s="37" t="str">
        <f t="shared" ref="AE259:AE322" si="16">CONCATENATE(AC259,":",AD259)</f>
        <v>PHC0426-82-1:Mr. Muhammad Shoaib</v>
      </c>
    </row>
    <row r="260" spans="28:31">
      <c r="AB260" s="215">
        <v>259</v>
      </c>
      <c r="AC260" s="35" t="s">
        <v>906</v>
      </c>
      <c r="AD260" s="33" t="s">
        <v>907</v>
      </c>
      <c r="AE260" s="37" t="str">
        <f t="shared" si="16"/>
        <v>PHC0427-82-1:Mr. Attaullah</v>
      </c>
    </row>
    <row r="261" spans="28:31">
      <c r="AB261" s="215">
        <v>260</v>
      </c>
      <c r="AC261" s="35" t="s">
        <v>908</v>
      </c>
      <c r="AD261" s="33" t="s">
        <v>909</v>
      </c>
      <c r="AE261" s="37" t="str">
        <f t="shared" si="16"/>
        <v>PHC0428-82-1:Mr. Aftab Javed</v>
      </c>
    </row>
    <row r="262" spans="28:31">
      <c r="AB262" s="215">
        <v>261</v>
      </c>
      <c r="AC262" s="35" t="s">
        <v>910</v>
      </c>
      <c r="AD262" s="33" t="s">
        <v>911</v>
      </c>
      <c r="AE262" s="37" t="str">
        <f t="shared" si="16"/>
        <v>PHC0430-82-1:Miss Marya Wajahat</v>
      </c>
    </row>
    <row r="263" spans="28:31">
      <c r="AB263" s="215">
        <v>262</v>
      </c>
      <c r="AC263" s="35" t="s">
        <v>912</v>
      </c>
      <c r="AD263" s="33" t="s">
        <v>913</v>
      </c>
      <c r="AE263" s="37" t="str">
        <f t="shared" si="16"/>
        <v>PHC0432-82-1:Mr. Mohsin Abbas</v>
      </c>
    </row>
    <row r="264" spans="28:31">
      <c r="AB264" s="215">
        <v>263</v>
      </c>
      <c r="AC264" s="35" t="s">
        <v>914</v>
      </c>
      <c r="AD264" s="33" t="s">
        <v>915</v>
      </c>
      <c r="AE264" s="37" t="str">
        <f t="shared" si="16"/>
        <v>PHC0434-83-1:Miss Nadia Gul Wazir</v>
      </c>
    </row>
    <row r="265" spans="28:31">
      <c r="AB265" s="215">
        <v>264</v>
      </c>
      <c r="AC265" s="35" t="s">
        <v>916</v>
      </c>
      <c r="AD265" s="33" t="s">
        <v>917</v>
      </c>
      <c r="AE265" s="37" t="str">
        <f t="shared" si="16"/>
        <v>PHC0435-83-1:Mr. Imran Ullah</v>
      </c>
    </row>
    <row r="266" spans="28:31">
      <c r="AB266" s="215">
        <v>265</v>
      </c>
      <c r="AC266" s="35" t="s">
        <v>918</v>
      </c>
      <c r="AD266" s="33" t="s">
        <v>919</v>
      </c>
      <c r="AE266" s="37" t="str">
        <f t="shared" si="16"/>
        <v>PHC0436-84-1:Miss Sidra Azmat</v>
      </c>
    </row>
    <row r="267" spans="28:31">
      <c r="AB267" s="215">
        <v>266</v>
      </c>
      <c r="AC267" s="35" t="s">
        <v>920</v>
      </c>
      <c r="AD267" s="33" t="s">
        <v>921</v>
      </c>
      <c r="AE267" s="37" t="str">
        <f t="shared" si="16"/>
        <v>PHC0437-83-1:Mr. Muhammad Wali</v>
      </c>
    </row>
    <row r="268" spans="28:31">
      <c r="AB268" s="215">
        <v>267</v>
      </c>
      <c r="AC268" s="35" t="s">
        <v>922</v>
      </c>
      <c r="AD268" s="33" t="s">
        <v>923</v>
      </c>
      <c r="AE268" s="37" t="str">
        <f t="shared" si="16"/>
        <v>PHC0438-84-1:Mr. Arshad Khan</v>
      </c>
    </row>
    <row r="269" spans="28:31">
      <c r="AB269" s="215">
        <v>268</v>
      </c>
      <c r="AC269" s="35" t="s">
        <v>924</v>
      </c>
      <c r="AD269" s="33" t="s">
        <v>925</v>
      </c>
      <c r="AE269" s="37" t="str">
        <f t="shared" si="16"/>
        <v>PHC0440-81-1:Mr. Omar Azmat Khan</v>
      </c>
    </row>
    <row r="270" spans="28:31">
      <c r="AB270" s="215">
        <v>269</v>
      </c>
      <c r="AC270" s="35" t="s">
        <v>926</v>
      </c>
      <c r="AD270" s="33" t="s">
        <v>927</v>
      </c>
      <c r="AE270" s="37" t="str">
        <f t="shared" si="16"/>
        <v>PHC0441-82-1:Mr. Mazhar Hussain</v>
      </c>
    </row>
    <row r="271" spans="28:31">
      <c r="AB271" s="215">
        <v>270</v>
      </c>
      <c r="AC271" s="35" t="s">
        <v>928</v>
      </c>
      <c r="AD271" s="33" t="s">
        <v>929</v>
      </c>
      <c r="AE271" s="37" t="str">
        <f t="shared" si="16"/>
        <v>PHC0442-81-1:Mr. Mohib-ur-Rehman</v>
      </c>
    </row>
    <row r="272" spans="28:31">
      <c r="AB272" s="215">
        <v>271</v>
      </c>
      <c r="AC272" s="35" t="s">
        <v>930</v>
      </c>
      <c r="AD272" s="33" t="s">
        <v>931</v>
      </c>
      <c r="AE272" s="37" t="str">
        <f t="shared" si="16"/>
        <v>PHC0443-85-1:Mr. Basharat Rauf</v>
      </c>
    </row>
    <row r="273" spans="28:31">
      <c r="AB273" s="215">
        <v>272</v>
      </c>
      <c r="AC273" s="35" t="s">
        <v>932</v>
      </c>
      <c r="AD273" s="33" t="s">
        <v>933</v>
      </c>
      <c r="AE273" s="37" t="str">
        <f t="shared" si="16"/>
        <v>PHC0444-83-1:Mr. Muhammad Aaqib</v>
      </c>
    </row>
    <row r="274" spans="28:31">
      <c r="AB274" s="215">
        <v>273</v>
      </c>
      <c r="AC274" s="35" t="s">
        <v>934</v>
      </c>
      <c r="AD274" s="33" t="s">
        <v>935</v>
      </c>
      <c r="AE274" s="37" t="str">
        <f t="shared" si="16"/>
        <v>PHC0447-82-1:Miss Saira Bano</v>
      </c>
    </row>
    <row r="275" spans="28:31">
      <c r="AB275" s="215">
        <v>274</v>
      </c>
      <c r="AC275" s="35" t="s">
        <v>936</v>
      </c>
      <c r="AD275" s="33" t="s">
        <v>937</v>
      </c>
      <c r="AE275" s="37" t="str">
        <f t="shared" si="16"/>
        <v>PHC0448-78-1:Mr. Qaiser Shahzad</v>
      </c>
    </row>
    <row r="276" spans="28:31">
      <c r="AB276" s="215">
        <v>275</v>
      </c>
      <c r="AC276" s="35" t="s">
        <v>938</v>
      </c>
      <c r="AD276" s="33" t="s">
        <v>939</v>
      </c>
      <c r="AE276" s="37" t="str">
        <f t="shared" si="16"/>
        <v>PHC0449-80-1:Mr. Sheraz Firdos</v>
      </c>
    </row>
    <row r="277" spans="28:31">
      <c r="AB277" s="215">
        <v>276</v>
      </c>
      <c r="AC277" s="35" t="s">
        <v>940</v>
      </c>
      <c r="AD277" s="33" t="s">
        <v>941</v>
      </c>
      <c r="AE277" s="37" t="str">
        <f t="shared" si="16"/>
        <v>PHC0450-80-1:Mr. Zia Ul Hassan</v>
      </c>
    </row>
    <row r="278" spans="28:31">
      <c r="AB278" s="215">
        <v>277</v>
      </c>
      <c r="AC278" s="35" t="s">
        <v>942</v>
      </c>
      <c r="AD278" s="33" t="s">
        <v>943</v>
      </c>
      <c r="AE278" s="37" t="str">
        <f t="shared" si="16"/>
        <v>PHC0451-84-1:Miss Faiza Gul</v>
      </c>
    </row>
    <row r="279" spans="28:31">
      <c r="AB279" s="215">
        <v>278</v>
      </c>
      <c r="AC279" s="35" t="s">
        <v>944</v>
      </c>
      <c r="AD279" s="33" t="s">
        <v>945</v>
      </c>
      <c r="AE279" s="37" t="str">
        <f t="shared" si="16"/>
        <v>PHC0452-79-1:Mr. Tanveer Usman</v>
      </c>
    </row>
    <row r="280" spans="28:31">
      <c r="AB280" s="215">
        <v>279</v>
      </c>
      <c r="AC280" s="35" t="s">
        <v>946</v>
      </c>
      <c r="AD280" s="33" t="s">
        <v>947</v>
      </c>
      <c r="AE280" s="37" t="str">
        <f t="shared" si="16"/>
        <v>PHC0453-79-1:Mr. Muhammad Asghar</v>
      </c>
    </row>
    <row r="281" spans="28:31">
      <c r="AB281" s="215">
        <v>280</v>
      </c>
      <c r="AC281" s="35" t="s">
        <v>948</v>
      </c>
      <c r="AD281" s="33" t="s">
        <v>949</v>
      </c>
      <c r="AE281" s="37" t="str">
        <f t="shared" si="16"/>
        <v>PHC0454-81-1:Mr. Rehmatullah</v>
      </c>
    </row>
    <row r="282" spans="28:31">
      <c r="AB282" s="215">
        <v>281</v>
      </c>
      <c r="AC282" s="35" t="s">
        <v>950</v>
      </c>
      <c r="AD282" s="33" t="s">
        <v>951</v>
      </c>
      <c r="AE282" s="37" t="str">
        <f t="shared" si="16"/>
        <v>PHC0455-83-1:Miss Farkhanda Nosheen</v>
      </c>
    </row>
    <row r="283" spans="28:31">
      <c r="AB283" s="215">
        <v>282</v>
      </c>
      <c r="AC283" s="35" t="s">
        <v>952</v>
      </c>
      <c r="AD283" s="33" t="s">
        <v>481</v>
      </c>
      <c r="AE283" s="37" t="str">
        <f t="shared" si="16"/>
        <v>PHC0456-80-1:Mr. Aurangzeb</v>
      </c>
    </row>
    <row r="284" spans="28:31">
      <c r="AB284" s="215">
        <v>283</v>
      </c>
      <c r="AC284" s="35" t="s">
        <v>953</v>
      </c>
      <c r="AD284" s="33" t="s">
        <v>954</v>
      </c>
      <c r="AE284" s="37" t="str">
        <f t="shared" si="16"/>
        <v>PHC0457-84-1:Mr. Sheraz Khan</v>
      </c>
    </row>
    <row r="285" spans="28:31">
      <c r="AB285" s="215">
        <v>284</v>
      </c>
      <c r="AC285" s="35" t="s">
        <v>955</v>
      </c>
      <c r="AD285" s="33" t="s">
        <v>956</v>
      </c>
      <c r="AE285" s="37" t="str">
        <f t="shared" si="16"/>
        <v>PHC0458-80-1:Mr. Muhammad Haroon</v>
      </c>
    </row>
    <row r="286" spans="28:31">
      <c r="AB286" s="215">
        <v>285</v>
      </c>
      <c r="AC286" s="35" t="s">
        <v>957</v>
      </c>
      <c r="AD286" s="33" t="s">
        <v>958</v>
      </c>
      <c r="AE286" s="37" t="str">
        <f t="shared" si="16"/>
        <v>PHC0459-84-1:Mr. Sardar Jawad Ahmad</v>
      </c>
    </row>
    <row r="287" spans="28:31">
      <c r="AB287" s="215">
        <v>286</v>
      </c>
      <c r="AC287" s="35" t="s">
        <v>959</v>
      </c>
      <c r="AD287" s="33" t="s">
        <v>960</v>
      </c>
      <c r="AE287" s="37" t="str">
        <f t="shared" si="16"/>
        <v>PHC0460-82-1:Miss Rabia Abbasi</v>
      </c>
    </row>
    <row r="288" spans="28:31">
      <c r="AB288" s="215">
        <v>287</v>
      </c>
      <c r="AC288" s="35" t="s">
        <v>961</v>
      </c>
      <c r="AD288" s="33" t="s">
        <v>962</v>
      </c>
      <c r="AE288" s="37" t="str">
        <f t="shared" si="16"/>
        <v>PHC0461-78-1:Miss Tahira Zainab Malik</v>
      </c>
    </row>
    <row r="289" spans="28:31">
      <c r="AB289" s="215">
        <v>288</v>
      </c>
      <c r="AC289" s="35" t="s">
        <v>963</v>
      </c>
      <c r="AD289" s="33" t="s">
        <v>964</v>
      </c>
      <c r="AE289" s="37" t="str">
        <f t="shared" si="16"/>
        <v>PHC0462-83-1:Miss Qurrat-Ul-Ain Rashid</v>
      </c>
    </row>
    <row r="290" spans="28:31">
      <c r="AB290" s="215">
        <v>289</v>
      </c>
      <c r="AC290" s="35" t="s">
        <v>965</v>
      </c>
      <c r="AD290" s="33" t="s">
        <v>966</v>
      </c>
      <c r="AE290" s="37" t="str">
        <f t="shared" si="16"/>
        <v>PHC0463-75-1:Mr. Zia Jehangir</v>
      </c>
    </row>
    <row r="291" spans="28:31">
      <c r="AB291" s="215">
        <v>290</v>
      </c>
      <c r="AC291" s="35" t="s">
        <v>967</v>
      </c>
      <c r="AD291" s="33" t="s">
        <v>968</v>
      </c>
      <c r="AE291" s="37" t="str">
        <f t="shared" si="16"/>
        <v>PHC0464-79-1:Mr. Gulzar Ullah</v>
      </c>
    </row>
    <row r="292" spans="28:31">
      <c r="AB292" s="215">
        <v>291</v>
      </c>
      <c r="AC292" s="35" t="s">
        <v>969</v>
      </c>
      <c r="AD292" s="33" t="s">
        <v>970</v>
      </c>
      <c r="AE292" s="37" t="str">
        <f t="shared" si="16"/>
        <v>PHC0465-79-1:Mr. Baddar Munir</v>
      </c>
    </row>
    <row r="293" spans="28:31">
      <c r="AB293" s="215">
        <v>292</v>
      </c>
      <c r="AC293" s="35" t="s">
        <v>971</v>
      </c>
      <c r="AD293" s="33" t="s">
        <v>972</v>
      </c>
      <c r="AE293" s="37" t="str">
        <f t="shared" si="16"/>
        <v>PHC0467-82-1:Miss Madiha Rehman</v>
      </c>
    </row>
    <row r="294" spans="28:31">
      <c r="AB294" s="215">
        <v>293</v>
      </c>
      <c r="AC294" s="35" t="s">
        <v>973</v>
      </c>
      <c r="AD294" s="33" t="s">
        <v>974</v>
      </c>
      <c r="AE294" s="37" t="str">
        <f t="shared" si="16"/>
        <v>PHC0469-77-1:Miss Saeeda Akhtar</v>
      </c>
    </row>
    <row r="295" spans="28:31">
      <c r="AB295" s="215">
        <v>294</v>
      </c>
      <c r="AC295" s="35" t="s">
        <v>975</v>
      </c>
      <c r="AD295" s="33" t="s">
        <v>976</v>
      </c>
      <c r="AE295" s="37" t="str">
        <f t="shared" si="16"/>
        <v>PHC0470-82-1:Miss Amina Haider</v>
      </c>
    </row>
    <row r="296" spans="28:31">
      <c r="AB296" s="215">
        <v>295</v>
      </c>
      <c r="AC296" s="35" t="s">
        <v>977</v>
      </c>
      <c r="AD296" s="33" t="s">
        <v>978</v>
      </c>
      <c r="AE296" s="37" t="str">
        <f t="shared" si="16"/>
        <v>PHC0471-84-1:Miss Maliha Allauddin</v>
      </c>
    </row>
    <row r="297" spans="28:31">
      <c r="AB297" s="215">
        <v>296</v>
      </c>
      <c r="AC297" s="35" t="s">
        <v>979</v>
      </c>
      <c r="AD297" s="33" t="s">
        <v>980</v>
      </c>
      <c r="AE297" s="37" t="str">
        <f t="shared" si="16"/>
        <v>PHC0472-80-1:Miss Sanam Sajjad</v>
      </c>
    </row>
    <row r="298" spans="28:31">
      <c r="AB298" s="215">
        <v>297</v>
      </c>
      <c r="AC298" s="35" t="s">
        <v>981</v>
      </c>
      <c r="AD298" s="33" t="s">
        <v>982</v>
      </c>
      <c r="AE298" s="37" t="str">
        <f t="shared" si="16"/>
        <v>PHC0473-82-1:Mr. Ghulam Hamid</v>
      </c>
    </row>
    <row r="299" spans="28:31">
      <c r="AB299" s="215">
        <v>298</v>
      </c>
      <c r="AC299" s="35" t="s">
        <v>983</v>
      </c>
      <c r="AD299" s="33" t="s">
        <v>984</v>
      </c>
      <c r="AE299" s="37" t="str">
        <f t="shared" si="16"/>
        <v>PHC0474-77-1:Mr. Muhammad Sohail</v>
      </c>
    </row>
    <row r="300" spans="28:31">
      <c r="AB300" s="215">
        <v>299</v>
      </c>
      <c r="AC300" s="35" t="s">
        <v>985</v>
      </c>
      <c r="AD300" s="33" t="s">
        <v>986</v>
      </c>
      <c r="AE300" s="37" t="str">
        <f t="shared" si="16"/>
        <v>PHC0475-77-1:Mr. Saleem-ur-Rehman</v>
      </c>
    </row>
    <row r="301" spans="28:31">
      <c r="AB301" s="215">
        <v>300</v>
      </c>
      <c r="AC301" s="35" t="s">
        <v>987</v>
      </c>
      <c r="AD301" s="33" t="s">
        <v>988</v>
      </c>
      <c r="AE301" s="37" t="str">
        <f t="shared" si="16"/>
        <v>PHC0476-81-1:Mr. Fahad Ahmad</v>
      </c>
    </row>
    <row r="302" spans="28:31" ht="30">
      <c r="AB302" s="215">
        <v>301</v>
      </c>
      <c r="AC302" s="35" t="s">
        <v>989</v>
      </c>
      <c r="AD302" s="33" t="s">
        <v>990</v>
      </c>
      <c r="AE302" s="37" t="str">
        <f t="shared" si="16"/>
        <v>PHC0478-81-1:Mr. Naeem Ullah Khan Jadoon</v>
      </c>
    </row>
    <row r="303" spans="28:31">
      <c r="AB303" s="215">
        <v>302</v>
      </c>
      <c r="AC303" s="35" t="s">
        <v>991</v>
      </c>
      <c r="AD303" s="33" t="s">
        <v>992</v>
      </c>
      <c r="AE303" s="37" t="str">
        <f t="shared" si="16"/>
        <v>PHC0479-84-1:Syed Ijlal Hussain</v>
      </c>
    </row>
    <row r="304" spans="28:31">
      <c r="AB304" s="215">
        <v>303</v>
      </c>
      <c r="AC304" s="35" t="s">
        <v>993</v>
      </c>
      <c r="AD304" s="33" t="s">
        <v>994</v>
      </c>
      <c r="AE304" s="37" t="str">
        <f t="shared" si="16"/>
        <v>PHC0481-81-1:Mr. Naveed Ullah</v>
      </c>
    </row>
    <row r="305" spans="28:31">
      <c r="AB305" s="215">
        <v>304</v>
      </c>
      <c r="AC305" s="35" t="s">
        <v>995</v>
      </c>
      <c r="AD305" s="33" t="s">
        <v>996</v>
      </c>
      <c r="AE305" s="37" t="str">
        <f t="shared" si="16"/>
        <v>PHC0482-78-1:Mr. Amir Ali Afridi</v>
      </c>
    </row>
    <row r="306" spans="28:31">
      <c r="AB306" s="215">
        <v>305</v>
      </c>
      <c r="AC306" s="35" t="s">
        <v>997</v>
      </c>
      <c r="AD306" s="33" t="s">
        <v>998</v>
      </c>
      <c r="AE306" s="37" t="str">
        <f t="shared" si="16"/>
        <v>PHC0483-79-1:Mr. Muhammad Hayat</v>
      </c>
    </row>
    <row r="307" spans="28:31">
      <c r="AB307" s="215">
        <v>306</v>
      </c>
      <c r="AC307" s="35" t="s">
        <v>999</v>
      </c>
      <c r="AD307" s="33" t="s">
        <v>1000</v>
      </c>
      <c r="AE307" s="37" t="str">
        <f t="shared" si="16"/>
        <v>PHC0484-73-1:Mr. Farman Ali</v>
      </c>
    </row>
    <row r="308" spans="28:31">
      <c r="AB308" s="215">
        <v>307</v>
      </c>
      <c r="AC308" s="35" t="s">
        <v>1001</v>
      </c>
      <c r="AD308" s="33" t="s">
        <v>1002</v>
      </c>
      <c r="AE308" s="37" t="str">
        <f t="shared" si="16"/>
        <v>PHC0485-83-1:Mr. Naveed Ahmad</v>
      </c>
    </row>
    <row r="309" spans="28:31">
      <c r="AB309" s="215">
        <v>308</v>
      </c>
      <c r="AC309" s="35" t="s">
        <v>1003</v>
      </c>
      <c r="AD309" s="33" t="s">
        <v>1004</v>
      </c>
      <c r="AE309" s="37" t="str">
        <f t="shared" si="16"/>
        <v>PHC0486-81-1:Mr. Muhammad Ismail</v>
      </c>
    </row>
    <row r="310" spans="28:31">
      <c r="AB310" s="215">
        <v>309</v>
      </c>
      <c r="AC310" s="35" t="s">
        <v>1005</v>
      </c>
      <c r="AD310" s="33" t="s">
        <v>1006</v>
      </c>
      <c r="AE310" s="37" t="str">
        <f t="shared" si="16"/>
        <v>PHC0487-79-1:Mr. Saqib Khan</v>
      </c>
    </row>
    <row r="311" spans="28:31">
      <c r="AB311" s="215">
        <v>310</v>
      </c>
      <c r="AC311" s="35" t="s">
        <v>1007</v>
      </c>
      <c r="AD311" s="33" t="s">
        <v>1008</v>
      </c>
      <c r="AE311" s="37" t="str">
        <f t="shared" si="16"/>
        <v>PHC0488-75-1:Ms Aliya</v>
      </c>
    </row>
    <row r="312" spans="28:31">
      <c r="AB312" s="215">
        <v>311</v>
      </c>
      <c r="AC312" s="35" t="s">
        <v>1009</v>
      </c>
      <c r="AD312" s="33" t="s">
        <v>1010</v>
      </c>
      <c r="AE312" s="37" t="str">
        <f t="shared" si="16"/>
        <v>PHC0489-83-1:Miss Nazia Hassan</v>
      </c>
    </row>
    <row r="313" spans="28:31">
      <c r="AB313" s="215">
        <v>312</v>
      </c>
      <c r="AC313" s="35" t="s">
        <v>1011</v>
      </c>
      <c r="AD313" s="33" t="s">
        <v>1012</v>
      </c>
      <c r="AE313" s="37" t="str">
        <f t="shared" si="16"/>
        <v>PHC0490-80-1:Miss Qura-Tul-Ain</v>
      </c>
    </row>
    <row r="314" spans="28:31">
      <c r="AB314" s="215">
        <v>313</v>
      </c>
      <c r="AC314" s="35" t="s">
        <v>1013</v>
      </c>
      <c r="AD314" s="33" t="s">
        <v>1014</v>
      </c>
      <c r="AE314" s="37" t="str">
        <f t="shared" si="16"/>
        <v>PHC0492-82-1:Mr. Asif Raza</v>
      </c>
    </row>
    <row r="315" spans="28:31">
      <c r="AB315" s="215">
        <v>314</v>
      </c>
      <c r="AC315" s="35" t="s">
        <v>1015</v>
      </c>
      <c r="AD315" s="33" t="s">
        <v>1016</v>
      </c>
      <c r="AE315" s="37" t="str">
        <f t="shared" si="16"/>
        <v>PHC0493-77-3:Mr. Adil Majeed Khan</v>
      </c>
    </row>
    <row r="316" spans="28:31">
      <c r="AB316" s="215">
        <v>315</v>
      </c>
      <c r="AC316" s="35" t="s">
        <v>1017</v>
      </c>
      <c r="AD316" s="33" t="s">
        <v>1018</v>
      </c>
      <c r="AE316" s="37" t="str">
        <f t="shared" si="16"/>
        <v>PHC0494-78-3:Mr. Shakir Ullah Khan</v>
      </c>
    </row>
    <row r="317" spans="28:31">
      <c r="AB317" s="215">
        <v>316</v>
      </c>
      <c r="AC317" s="35" t="s">
        <v>1019</v>
      </c>
      <c r="AD317" s="33" t="s">
        <v>1020</v>
      </c>
      <c r="AE317" s="37" t="str">
        <f t="shared" si="16"/>
        <v>PHC0495-79-3: Arbab Aziz Ahmad</v>
      </c>
    </row>
    <row r="318" spans="28:31">
      <c r="AB318" s="215">
        <v>317</v>
      </c>
      <c r="AC318" s="35" t="s">
        <v>1021</v>
      </c>
      <c r="AD318" s="33" t="s">
        <v>1022</v>
      </c>
      <c r="AE318" s="37" t="str">
        <f t="shared" si="16"/>
        <v>PHC0496-78-3:Syed Yasir Shabbir</v>
      </c>
    </row>
    <row r="319" spans="28:31">
      <c r="AB319" s="215">
        <v>318</v>
      </c>
      <c r="AC319" s="35" t="s">
        <v>1023</v>
      </c>
      <c r="AD319" s="33" t="s">
        <v>1024</v>
      </c>
      <c r="AE319" s="37" t="str">
        <f t="shared" si="16"/>
        <v>PHC0498-76-3:Mr. Rashid Ullah Kundi</v>
      </c>
    </row>
    <row r="320" spans="28:31">
      <c r="AB320" s="215">
        <v>319</v>
      </c>
      <c r="AC320" s="35" t="s">
        <v>1025</v>
      </c>
      <c r="AD320" s="33" t="s">
        <v>1026</v>
      </c>
      <c r="AE320" s="37" t="str">
        <f t="shared" si="16"/>
        <v>PHC0499-79-3:Mr. Jamal Shah Mahsood</v>
      </c>
    </row>
    <row r="321" spans="28:31" ht="30">
      <c r="AB321" s="215">
        <v>320</v>
      </c>
      <c r="AC321" s="35" t="s">
        <v>1027</v>
      </c>
      <c r="AD321" s="33" t="s">
        <v>1028</v>
      </c>
      <c r="AE321" s="37" t="str">
        <f t="shared" si="16"/>
        <v>PHC0500-78-3:Mr. Muhammad Saeed Amjad</v>
      </c>
    </row>
    <row r="322" spans="28:31">
      <c r="AB322" s="215">
        <v>321</v>
      </c>
      <c r="AC322" s="35" t="s">
        <v>1029</v>
      </c>
      <c r="AD322" s="33" t="s">
        <v>1030</v>
      </c>
      <c r="AE322" s="37" t="str">
        <f t="shared" si="16"/>
        <v>PHC0502-76-3:Mr. Naveed-ur-Rahman</v>
      </c>
    </row>
    <row r="323" spans="28:31">
      <c r="AB323" s="215">
        <v>322</v>
      </c>
      <c r="AC323" s="35" t="s">
        <v>1031</v>
      </c>
      <c r="AD323" s="33" t="s">
        <v>1032</v>
      </c>
      <c r="AE323" s="37" t="str">
        <f t="shared" ref="AE323:AE386" si="17">CONCATENATE(AC323,":",AD323)</f>
        <v>PHC0503-79-3:Mr. Said Badshah</v>
      </c>
    </row>
    <row r="324" spans="28:31">
      <c r="AB324" s="215">
        <v>323</v>
      </c>
      <c r="AC324" s="35" t="s">
        <v>1033</v>
      </c>
      <c r="AD324" s="33" t="s">
        <v>837</v>
      </c>
      <c r="AE324" s="37" t="str">
        <f t="shared" si="17"/>
        <v>PHC0504-77-3:Mr. Shaukat Ali</v>
      </c>
    </row>
    <row r="325" spans="28:31">
      <c r="AB325" s="215">
        <v>324</v>
      </c>
      <c r="AC325" s="35" t="s">
        <v>1034</v>
      </c>
      <c r="AD325" s="33" t="s">
        <v>1035</v>
      </c>
      <c r="AE325" s="37" t="str">
        <f t="shared" si="17"/>
        <v>PHC0505-77-3:Mr. Zia-ul-Haq</v>
      </c>
    </row>
    <row r="326" spans="28:31">
      <c r="AB326" s="215">
        <v>325</v>
      </c>
      <c r="AC326" s="35" t="s">
        <v>1036</v>
      </c>
      <c r="AD326" s="33" t="s">
        <v>1037</v>
      </c>
      <c r="AE326" s="37" t="str">
        <f t="shared" si="17"/>
        <v>PHC0506-76-3:Mr. Bakht Alam</v>
      </c>
    </row>
    <row r="327" spans="28:31">
      <c r="AB327" s="215">
        <v>326</v>
      </c>
      <c r="AC327" s="35" t="s">
        <v>1038</v>
      </c>
      <c r="AD327" s="33" t="s">
        <v>1039</v>
      </c>
      <c r="AE327" s="37" t="str">
        <f t="shared" si="17"/>
        <v>PHC0507-79-3:Mr. Wajid Ali Khan</v>
      </c>
    </row>
    <row r="328" spans="28:31">
      <c r="AB328" s="215">
        <v>327</v>
      </c>
      <c r="AC328" s="35" t="s">
        <v>1040</v>
      </c>
      <c r="AD328" s="33" t="s">
        <v>1041</v>
      </c>
      <c r="AE328" s="37" t="str">
        <f t="shared" si="17"/>
        <v>PHC0508-79-3:Mr. Rahat Ullah</v>
      </c>
    </row>
    <row r="329" spans="28:31">
      <c r="AB329" s="215">
        <v>328</v>
      </c>
      <c r="AC329" s="35" t="s">
        <v>1042</v>
      </c>
      <c r="AD329" s="33" t="s">
        <v>1043</v>
      </c>
      <c r="AE329" s="37" t="str">
        <f t="shared" si="17"/>
        <v>PHC0509-80-3:Mr. Amjad Hussain</v>
      </c>
    </row>
    <row r="330" spans="28:31" ht="30">
      <c r="AB330" s="215">
        <v>329</v>
      </c>
      <c r="AC330" s="35" t="s">
        <v>1044</v>
      </c>
      <c r="AD330" s="33" t="s">
        <v>1045</v>
      </c>
      <c r="AE330" s="37" t="str">
        <f t="shared" si="17"/>
        <v>PHC0510-76-3:Mr. Mohammad Tahir Aurangzeb</v>
      </c>
    </row>
    <row r="331" spans="28:31">
      <c r="AB331" s="215">
        <v>330</v>
      </c>
      <c r="AC331" s="35" t="s">
        <v>1046</v>
      </c>
      <c r="AD331" s="33" t="s">
        <v>1047</v>
      </c>
      <c r="AE331" s="37" t="str">
        <f t="shared" si="17"/>
        <v>PHC0511-79-3:Mr. Mohammad Khan</v>
      </c>
    </row>
    <row r="332" spans="28:31">
      <c r="AB332" s="215">
        <v>331</v>
      </c>
      <c r="AC332" s="35" t="s">
        <v>1048</v>
      </c>
      <c r="AD332" s="33" t="s">
        <v>1049</v>
      </c>
      <c r="AE332" s="37" t="str">
        <f t="shared" si="17"/>
        <v>PHC0512-78-3:Mr. Iftikhar Elahi</v>
      </c>
    </row>
    <row r="333" spans="28:31">
      <c r="AB333" s="215">
        <v>332</v>
      </c>
      <c r="AC333" s="35" t="s">
        <v>1050</v>
      </c>
      <c r="AD333" s="33" t="s">
        <v>531</v>
      </c>
      <c r="AE333" s="37" t="str">
        <f t="shared" si="17"/>
        <v>PHC0513-71-3:Mr. Liaqat Ali</v>
      </c>
    </row>
    <row r="334" spans="28:31">
      <c r="AB334" s="215">
        <v>333</v>
      </c>
      <c r="AC334" s="35" t="s">
        <v>1051</v>
      </c>
      <c r="AD334" s="33" t="s">
        <v>1052</v>
      </c>
      <c r="AE334" s="37" t="str">
        <f t="shared" si="17"/>
        <v>PHC0514-80-3:Mr. Kashif Dilawar</v>
      </c>
    </row>
    <row r="335" spans="28:31">
      <c r="AB335" s="215">
        <v>334</v>
      </c>
      <c r="AC335" s="35" t="s">
        <v>1053</v>
      </c>
      <c r="AD335" s="33" t="s">
        <v>1054</v>
      </c>
      <c r="AE335" s="37" t="str">
        <f t="shared" si="17"/>
        <v>PHC0515-70-3:Mr. Muhammad Zaib Khan</v>
      </c>
    </row>
    <row r="336" spans="28:31">
      <c r="AB336" s="215">
        <v>335</v>
      </c>
      <c r="AC336" s="35" t="s">
        <v>1055</v>
      </c>
      <c r="AD336" s="33" t="s">
        <v>1056</v>
      </c>
      <c r="AE336" s="37" t="str">
        <f t="shared" si="17"/>
        <v>PHC0517-78-3:Mr. Mian Mahmood</v>
      </c>
    </row>
    <row r="337" spans="28:31">
      <c r="AB337" s="215">
        <v>336</v>
      </c>
      <c r="AC337" s="35" t="s">
        <v>1057</v>
      </c>
      <c r="AD337" s="33" t="s">
        <v>1058</v>
      </c>
      <c r="AE337" s="37" t="str">
        <f t="shared" si="17"/>
        <v>PHC0518-86-1:Mr. Raees Khan</v>
      </c>
    </row>
    <row r="338" spans="28:31">
      <c r="AB338" s="215">
        <v>337</v>
      </c>
      <c r="AC338" s="35" t="s">
        <v>1059</v>
      </c>
      <c r="AD338" s="33" t="s">
        <v>1060</v>
      </c>
      <c r="AE338" s="37" t="str">
        <f t="shared" si="17"/>
        <v>PHC0519-87-1:Mr. Saddiq Ahmed</v>
      </c>
    </row>
    <row r="339" spans="28:31">
      <c r="AB339" s="215">
        <v>338</v>
      </c>
      <c r="AC339" s="35" t="s">
        <v>1061</v>
      </c>
      <c r="AD339" s="33" t="s">
        <v>1062</v>
      </c>
      <c r="AE339" s="37" t="str">
        <f t="shared" si="17"/>
        <v>PHC0520-88-1:Syed Sabir Ali Shah</v>
      </c>
    </row>
    <row r="340" spans="28:31">
      <c r="AB340" s="215">
        <v>339</v>
      </c>
      <c r="AC340" s="35" t="s">
        <v>1063</v>
      </c>
      <c r="AD340" s="33" t="s">
        <v>1064</v>
      </c>
      <c r="AE340" s="37" t="str">
        <f t="shared" si="17"/>
        <v>PHC0521-87-1:Mr. Ijaz Mahsood</v>
      </c>
    </row>
    <row r="341" spans="28:31">
      <c r="AB341" s="215">
        <v>340</v>
      </c>
      <c r="AC341" s="35" t="s">
        <v>1065</v>
      </c>
      <c r="AD341" s="33" t="s">
        <v>1066</v>
      </c>
      <c r="AE341" s="37" t="str">
        <f t="shared" si="17"/>
        <v>PHC0522-87-1:Mr. Shaukat Hussain</v>
      </c>
    </row>
    <row r="342" spans="28:31">
      <c r="AB342" s="215">
        <v>341</v>
      </c>
      <c r="AC342" s="35" t="s">
        <v>1067</v>
      </c>
      <c r="AD342" s="33" t="s">
        <v>1068</v>
      </c>
      <c r="AE342" s="37" t="str">
        <f t="shared" si="17"/>
        <v>PHC0523-84-1:Mr. Yasir Hussain</v>
      </c>
    </row>
    <row r="343" spans="28:31">
      <c r="AB343" s="215">
        <v>342</v>
      </c>
      <c r="AC343" s="35" t="s">
        <v>1069</v>
      </c>
      <c r="AD343" s="33" t="s">
        <v>1070</v>
      </c>
      <c r="AE343" s="37" t="str">
        <f t="shared" si="17"/>
        <v>PHC0525-87-1:Mr. Aziz Ahmad</v>
      </c>
    </row>
    <row r="344" spans="28:31">
      <c r="AB344" s="215">
        <v>343</v>
      </c>
      <c r="AC344" s="35" t="s">
        <v>1071</v>
      </c>
      <c r="AD344" s="33" t="s">
        <v>1072</v>
      </c>
      <c r="AE344" s="37" t="str">
        <f t="shared" si="17"/>
        <v>PHC0526-87-1:Mr. Adnan Iqbal</v>
      </c>
    </row>
    <row r="345" spans="28:31">
      <c r="AB345" s="215">
        <v>344</v>
      </c>
      <c r="AC345" s="35" t="s">
        <v>1073</v>
      </c>
      <c r="AD345" s="33" t="s">
        <v>1074</v>
      </c>
      <c r="AE345" s="37" t="str">
        <f t="shared" si="17"/>
        <v>PHC0527-88-1:Mr. Rafaqat Zahoor</v>
      </c>
    </row>
    <row r="346" spans="28:31">
      <c r="AB346" s="215">
        <v>345</v>
      </c>
      <c r="AC346" s="35" t="s">
        <v>1075</v>
      </c>
      <c r="AD346" s="33" t="s">
        <v>1076</v>
      </c>
      <c r="AE346" s="37" t="str">
        <f t="shared" si="17"/>
        <v>PHC0528-85-1:Mr. Rashid Ali</v>
      </c>
    </row>
    <row r="347" spans="28:31">
      <c r="AB347" s="215">
        <v>346</v>
      </c>
      <c r="AC347" s="35" t="s">
        <v>1077</v>
      </c>
      <c r="AD347" s="33" t="s">
        <v>1078</v>
      </c>
      <c r="AE347" s="37" t="str">
        <f t="shared" si="17"/>
        <v>PHC0529-88-1:Mr. Samiullah Khan</v>
      </c>
    </row>
    <row r="348" spans="28:31">
      <c r="AB348" s="215">
        <v>347</v>
      </c>
      <c r="AC348" s="35" t="s">
        <v>1079</v>
      </c>
      <c r="AD348" s="33" t="s">
        <v>1080</v>
      </c>
      <c r="AE348" s="37" t="str">
        <f t="shared" si="17"/>
        <v>PHC0530-81-1:Ms. Irum Nousheen</v>
      </c>
    </row>
    <row r="349" spans="28:31">
      <c r="AB349" s="215">
        <v>348</v>
      </c>
      <c r="AC349" s="35" t="s">
        <v>1081</v>
      </c>
      <c r="AD349" s="33" t="s">
        <v>1082</v>
      </c>
      <c r="AE349" s="37" t="str">
        <f t="shared" si="17"/>
        <v>PHC0531-85-1:Mr. Arshad Ali</v>
      </c>
    </row>
    <row r="350" spans="28:31">
      <c r="AB350" s="215">
        <v>349</v>
      </c>
      <c r="AC350" s="35" t="s">
        <v>1083</v>
      </c>
      <c r="AD350" s="33" t="s">
        <v>1084</v>
      </c>
      <c r="AE350" s="37" t="str">
        <f t="shared" si="17"/>
        <v>PHC0532-85-1:Ms. Iram Aisha</v>
      </c>
    </row>
    <row r="351" spans="28:31">
      <c r="AB351" s="215">
        <v>350</v>
      </c>
      <c r="AC351" s="35" t="s">
        <v>1085</v>
      </c>
      <c r="AD351" s="33" t="s">
        <v>1086</v>
      </c>
      <c r="AE351" s="37" t="str">
        <f t="shared" si="17"/>
        <v>PHC0533-84-1:Mr. Riaz Aslam</v>
      </c>
    </row>
    <row r="352" spans="28:31">
      <c r="AB352" s="215">
        <v>351</v>
      </c>
      <c r="AC352" s="35" t="s">
        <v>1087</v>
      </c>
      <c r="AD352" s="33" t="s">
        <v>1088</v>
      </c>
      <c r="AE352" s="37" t="str">
        <f t="shared" si="17"/>
        <v>PHC0534-85-1:Mr. Sareer Shah</v>
      </c>
    </row>
    <row r="353" spans="28:31" ht="30">
      <c r="AB353" s="215">
        <v>352</v>
      </c>
      <c r="AC353" s="35" t="s">
        <v>1089</v>
      </c>
      <c r="AD353" s="33" t="s">
        <v>1090</v>
      </c>
      <c r="AE353" s="37" t="str">
        <f t="shared" si="17"/>
        <v>PHC0535-82-1:Mr. Salman Nadir  Muhammad</v>
      </c>
    </row>
    <row r="354" spans="28:31">
      <c r="AB354" s="215">
        <v>353</v>
      </c>
      <c r="AC354" s="35" t="s">
        <v>1091</v>
      </c>
      <c r="AD354" s="33" t="s">
        <v>1092</v>
      </c>
      <c r="AE354" s="37" t="str">
        <f t="shared" si="17"/>
        <v>PHC0536-85-1:Syed Furqan Mashwani</v>
      </c>
    </row>
    <row r="355" spans="28:31">
      <c r="AB355" s="215">
        <v>354</v>
      </c>
      <c r="AC355" s="35" t="s">
        <v>1093</v>
      </c>
      <c r="AD355" s="33" t="s">
        <v>1094</v>
      </c>
      <c r="AE355" s="37" t="str">
        <f t="shared" si="17"/>
        <v>PHC0537-82-1:Mr. Murtaza Khan</v>
      </c>
    </row>
    <row r="356" spans="28:31" ht="30">
      <c r="AB356" s="215">
        <v>355</v>
      </c>
      <c r="AC356" s="35" t="s">
        <v>1095</v>
      </c>
      <c r="AD356" s="33" t="s">
        <v>1096</v>
      </c>
      <c r="AE356" s="37" t="str">
        <f t="shared" si="17"/>
        <v>PHC0538-85-1:Mr. Muhammad Farooq Ahmad</v>
      </c>
    </row>
    <row r="357" spans="28:31">
      <c r="AB357" s="215">
        <v>356</v>
      </c>
      <c r="AC357" s="35" t="s">
        <v>1097</v>
      </c>
      <c r="AD357" s="33" t="s">
        <v>1098</v>
      </c>
      <c r="AE357" s="37" t="str">
        <f t="shared" si="17"/>
        <v>PHC0539-83-1:Mr. Muhammad Ikram</v>
      </c>
    </row>
    <row r="358" spans="28:31">
      <c r="AB358" s="215">
        <v>357</v>
      </c>
      <c r="AC358" s="35" t="s">
        <v>1099</v>
      </c>
      <c r="AD358" s="33" t="s">
        <v>1100</v>
      </c>
      <c r="AE358" s="37" t="str">
        <f t="shared" si="17"/>
        <v>PHC0540-85-1:Mr. Muhammad Imtiaz</v>
      </c>
    </row>
    <row r="359" spans="28:31">
      <c r="AB359" s="215">
        <v>358</v>
      </c>
      <c r="AC359" s="35" t="s">
        <v>1101</v>
      </c>
      <c r="AD359" s="33" t="s">
        <v>1102</v>
      </c>
      <c r="AE359" s="37" t="str">
        <f t="shared" si="17"/>
        <v>PHC0541-87-1:Mr. Mazhar Ali Khan</v>
      </c>
    </row>
    <row r="360" spans="28:31">
      <c r="AB360" s="215">
        <v>359</v>
      </c>
      <c r="AC360" s="35" t="s">
        <v>1103</v>
      </c>
      <c r="AD360" s="33" t="s">
        <v>1104</v>
      </c>
      <c r="AE360" s="37" t="str">
        <f t="shared" si="17"/>
        <v>PHC0542-83-1:Mr. Sadiq Ullah</v>
      </c>
    </row>
    <row r="361" spans="28:31">
      <c r="AB361" s="215">
        <v>360</v>
      </c>
      <c r="AC361" s="35" t="s">
        <v>1105</v>
      </c>
      <c r="AD361" s="33" t="s">
        <v>1106</v>
      </c>
      <c r="AE361" s="37" t="str">
        <f t="shared" si="17"/>
        <v>PHC0543-84-1:Mr. Abdul Haleem</v>
      </c>
    </row>
    <row r="362" spans="28:31">
      <c r="AB362" s="215">
        <v>361</v>
      </c>
      <c r="AC362" s="35" t="s">
        <v>1107</v>
      </c>
      <c r="AD362" s="33" t="s">
        <v>1108</v>
      </c>
      <c r="AE362" s="37" t="str">
        <f t="shared" si="17"/>
        <v>PHC0544-83-1:Ms. Alia Bibi</v>
      </c>
    </row>
    <row r="363" spans="28:31">
      <c r="AB363" s="215">
        <v>362</v>
      </c>
      <c r="AC363" s="35" t="s">
        <v>1109</v>
      </c>
      <c r="AD363" s="33" t="s">
        <v>1110</v>
      </c>
      <c r="AE363" s="37" t="str">
        <f t="shared" si="17"/>
        <v>PHC0546-88-1:Mr. Muhammad Waqar</v>
      </c>
    </row>
    <row r="364" spans="28:31">
      <c r="AB364" s="215">
        <v>363</v>
      </c>
      <c r="AC364" s="35" t="s">
        <v>1111</v>
      </c>
      <c r="AD364" s="33" t="s">
        <v>1112</v>
      </c>
      <c r="AE364" s="37" t="str">
        <f t="shared" si="17"/>
        <v>PHC0547-84-1:Mr. Alam Zeb Khan</v>
      </c>
    </row>
    <row r="365" spans="28:31">
      <c r="AB365" s="215">
        <v>364</v>
      </c>
      <c r="AC365" s="35" t="s">
        <v>1113</v>
      </c>
      <c r="AD365" s="33" t="s">
        <v>1114</v>
      </c>
      <c r="AE365" s="37" t="str">
        <f t="shared" si="17"/>
        <v>PHC0548-88-1:Mr. Muhammad Anwar</v>
      </c>
    </row>
    <row r="366" spans="28:31">
      <c r="AB366" s="215">
        <v>365</v>
      </c>
      <c r="AC366" s="35" t="s">
        <v>1115</v>
      </c>
      <c r="AD366" s="33" t="s">
        <v>1116</v>
      </c>
      <c r="AE366" s="37" t="str">
        <f t="shared" si="17"/>
        <v>PHC0549-89-1:Ms. Nazma Shah</v>
      </c>
    </row>
    <row r="367" spans="28:31">
      <c r="AB367" s="215">
        <v>366</v>
      </c>
      <c r="AC367" s="35" t="s">
        <v>1117</v>
      </c>
      <c r="AD367" s="33" t="s">
        <v>1118</v>
      </c>
      <c r="AE367" s="37" t="str">
        <f t="shared" si="17"/>
        <v>PHC0550-87-1:Ms. Asma Zahir</v>
      </c>
    </row>
    <row r="368" spans="28:31">
      <c r="AB368" s="215">
        <v>367</v>
      </c>
      <c r="AC368" s="35" t="s">
        <v>1119</v>
      </c>
      <c r="AD368" s="33" t="s">
        <v>1120</v>
      </c>
      <c r="AE368" s="37" t="str">
        <f t="shared" si="17"/>
        <v>PHC0551-82-1:Ms. Saima Razzaq</v>
      </c>
    </row>
    <row r="369" spans="28:31">
      <c r="AB369" s="215">
        <v>368</v>
      </c>
      <c r="AC369" s="35" t="s">
        <v>1121</v>
      </c>
      <c r="AD369" s="33" t="s">
        <v>1122</v>
      </c>
      <c r="AE369" s="37" t="str">
        <f t="shared" si="17"/>
        <v>PHC0552-81-1:Mr. Tanveed Akhtar</v>
      </c>
    </row>
    <row r="370" spans="28:31">
      <c r="AB370" s="215">
        <v>369</v>
      </c>
      <c r="AC370" s="35" t="s">
        <v>1123</v>
      </c>
      <c r="AD370" s="33" t="s">
        <v>1124</v>
      </c>
      <c r="AE370" s="37" t="str">
        <f t="shared" si="17"/>
        <v>PHC0553-83-1:Ms. Sehrish Rana</v>
      </c>
    </row>
    <row r="371" spans="28:31">
      <c r="AB371" s="215">
        <v>370</v>
      </c>
      <c r="AC371" s="35" t="s">
        <v>1125</v>
      </c>
      <c r="AD371" s="33" t="s">
        <v>1126</v>
      </c>
      <c r="AE371" s="37" t="str">
        <f t="shared" si="17"/>
        <v>PHC0555-88-1:Mr. Muhammad Kashif</v>
      </c>
    </row>
    <row r="372" spans="28:31">
      <c r="AB372" s="215">
        <v>371</v>
      </c>
      <c r="AC372" s="35" t="s">
        <v>1127</v>
      </c>
      <c r="AD372" s="33" t="s">
        <v>1128</v>
      </c>
      <c r="AE372" s="37" t="str">
        <f t="shared" si="17"/>
        <v>PHC0556-82-1:Mr. Mubarak Ali</v>
      </c>
    </row>
    <row r="373" spans="28:31" ht="30">
      <c r="AB373" s="215">
        <v>372</v>
      </c>
      <c r="AC373" s="35" t="s">
        <v>1129</v>
      </c>
      <c r="AD373" s="33" t="s">
        <v>1130</v>
      </c>
      <c r="AE373" s="37" t="str">
        <f t="shared" si="17"/>
        <v>PHC0557-85-1:Mr. Habib Ur Rehman Orakzai</v>
      </c>
    </row>
    <row r="374" spans="28:31">
      <c r="AB374" s="215">
        <v>373</v>
      </c>
      <c r="AC374" s="35" t="s">
        <v>1131</v>
      </c>
      <c r="AD374" s="33" t="s">
        <v>1132</v>
      </c>
      <c r="AE374" s="37" t="str">
        <f t="shared" si="17"/>
        <v>PHC0558-82-1:Syed Ahmad Mujtaba Kamal</v>
      </c>
    </row>
    <row r="375" spans="28:31">
      <c r="AB375" s="215">
        <v>374</v>
      </c>
      <c r="AC375" s="35" t="s">
        <v>1133</v>
      </c>
      <c r="AD375" s="33" t="s">
        <v>868</v>
      </c>
      <c r="AE375" s="37" t="str">
        <f t="shared" si="17"/>
        <v>PHC0559-84-1:Mr. Muhammad Ilyas</v>
      </c>
    </row>
    <row r="376" spans="28:31">
      <c r="AB376" s="215">
        <v>375</v>
      </c>
      <c r="AC376" s="35" t="s">
        <v>1134</v>
      </c>
      <c r="AD376" s="33" t="s">
        <v>1135</v>
      </c>
      <c r="AE376" s="37" t="str">
        <f t="shared" si="17"/>
        <v>PHC0560-86-1:Ms. Samina Sahar</v>
      </c>
    </row>
    <row r="377" spans="28:31">
      <c r="AB377" s="215">
        <v>376</v>
      </c>
      <c r="AC377" s="35" t="s">
        <v>1136</v>
      </c>
      <c r="AD377" s="33" t="s">
        <v>1137</v>
      </c>
      <c r="AE377" s="37" t="str">
        <f t="shared" si="17"/>
        <v>PHC0561-86-1:Ms. Sidra Jalal</v>
      </c>
    </row>
    <row r="378" spans="28:31">
      <c r="AB378" s="215">
        <v>377</v>
      </c>
      <c r="AC378" s="35" t="s">
        <v>1138</v>
      </c>
      <c r="AD378" s="33" t="s">
        <v>1139</v>
      </c>
      <c r="AE378" s="37" t="str">
        <f t="shared" si="17"/>
        <v>PHC0562-83-1:Mr. Noor-Ul-Haq</v>
      </c>
    </row>
    <row r="379" spans="28:31">
      <c r="AB379" s="215">
        <v>378</v>
      </c>
      <c r="AC379" s="35" t="s">
        <v>1140</v>
      </c>
      <c r="AD379" s="33" t="s">
        <v>1141</v>
      </c>
      <c r="AE379" s="37" t="str">
        <f t="shared" si="17"/>
        <v>PHC0563-83-1:Mr. Muhammad Raees</v>
      </c>
    </row>
    <row r="380" spans="28:31" ht="30">
      <c r="AB380" s="215">
        <v>379</v>
      </c>
      <c r="AC380" s="35" t="s">
        <v>1142</v>
      </c>
      <c r="AD380" s="33" t="s">
        <v>1143</v>
      </c>
      <c r="AE380" s="37" t="str">
        <f t="shared" si="17"/>
        <v>PHC0564-82-1:Mr. Muhammad Waheed Wali</v>
      </c>
    </row>
    <row r="381" spans="28:31">
      <c r="AB381" s="215">
        <v>380</v>
      </c>
      <c r="AC381" s="35" t="s">
        <v>1144</v>
      </c>
      <c r="AD381" s="33" t="s">
        <v>1145</v>
      </c>
      <c r="AE381" s="37" t="str">
        <f t="shared" si="17"/>
        <v>PHC0565-87-1:Ms. Shahnaz</v>
      </c>
    </row>
    <row r="382" spans="28:31">
      <c r="AB382" s="215">
        <v>381</v>
      </c>
      <c r="AC382" s="35" t="s">
        <v>1146</v>
      </c>
      <c r="AD382" s="33" t="s">
        <v>1147</v>
      </c>
      <c r="AE382" s="37" t="str">
        <f t="shared" si="17"/>
        <v>PHC0566-85-1:Mr. Tahir Khan</v>
      </c>
    </row>
    <row r="383" spans="28:31">
      <c r="AB383" s="215">
        <v>382</v>
      </c>
      <c r="AC383" s="35" t="s">
        <v>1148</v>
      </c>
      <c r="AD383" s="33" t="s">
        <v>1149</v>
      </c>
      <c r="AE383" s="37" t="str">
        <f t="shared" si="17"/>
        <v>PHC0567-84-1:Mr. Amjid Ullah</v>
      </c>
    </row>
    <row r="384" spans="28:31">
      <c r="AB384" s="215">
        <v>383</v>
      </c>
      <c r="AC384" s="35" t="s">
        <v>1150</v>
      </c>
      <c r="AD384" s="33" t="s">
        <v>525</v>
      </c>
      <c r="AE384" s="37" t="str">
        <f t="shared" si="17"/>
        <v>PHC0568-85-1:Mr. Riaz Ahmad</v>
      </c>
    </row>
    <row r="385" spans="28:31">
      <c r="AB385" s="215">
        <v>384</v>
      </c>
      <c r="AC385" s="35" t="s">
        <v>1151</v>
      </c>
      <c r="AD385" s="33" t="s">
        <v>1152</v>
      </c>
      <c r="AE385" s="37" t="str">
        <f t="shared" si="17"/>
        <v>PHC0569-82-1:Mr. Muhammad Ishfaq</v>
      </c>
    </row>
    <row r="386" spans="28:31" ht="30">
      <c r="AB386" s="215">
        <v>385</v>
      </c>
      <c r="AC386" s="35" t="s">
        <v>1153</v>
      </c>
      <c r="AD386" s="33" t="s">
        <v>1154</v>
      </c>
      <c r="AE386" s="37" t="str">
        <f t="shared" si="17"/>
        <v>PHC0570-89-1:Mr. Mohammad Ishaq Marwat</v>
      </c>
    </row>
    <row r="387" spans="28:31">
      <c r="AB387" s="215">
        <v>386</v>
      </c>
      <c r="AC387" s="35" t="s">
        <v>1155</v>
      </c>
      <c r="AD387" s="33" t="s">
        <v>1156</v>
      </c>
      <c r="AE387" s="37" t="str">
        <f t="shared" ref="AE387:AE450" si="18">CONCATENATE(AC387,":",AD387)</f>
        <v>PHC0571-84-1:Mr. Abdul Qayum Khan</v>
      </c>
    </row>
    <row r="388" spans="28:31">
      <c r="AB388" s="215">
        <v>387</v>
      </c>
      <c r="AC388" s="35" t="s">
        <v>1157</v>
      </c>
      <c r="AD388" s="33" t="s">
        <v>1158</v>
      </c>
      <c r="AE388" s="37" t="str">
        <f t="shared" si="18"/>
        <v>PHC0572-88-1:Ms. Aisha Hayat</v>
      </c>
    </row>
    <row r="389" spans="28:31">
      <c r="AB389" s="215">
        <v>388</v>
      </c>
      <c r="AC389" s="35" t="s">
        <v>1159</v>
      </c>
      <c r="AD389" s="33" t="s">
        <v>1160</v>
      </c>
      <c r="AE389" s="37" t="str">
        <f t="shared" si="18"/>
        <v>PHC0573-88-1:Mr. Atta Ur Rehman</v>
      </c>
    </row>
    <row r="390" spans="28:31">
      <c r="AB390" s="215">
        <v>389</v>
      </c>
      <c r="AC390" s="35" t="s">
        <v>1161</v>
      </c>
      <c r="AD390" s="33" t="s">
        <v>1162</v>
      </c>
      <c r="AE390" s="37" t="str">
        <f t="shared" si="18"/>
        <v>PHC0575-89-1:Mr. Hassan Ali Khan</v>
      </c>
    </row>
    <row r="391" spans="28:31">
      <c r="AB391" s="215">
        <v>390</v>
      </c>
      <c r="AC391" s="35" t="s">
        <v>1163</v>
      </c>
      <c r="AD391" s="33" t="s">
        <v>1164</v>
      </c>
      <c r="AE391" s="37" t="str">
        <f t="shared" si="18"/>
        <v>PHC0576-82-1:Mr. Asghar Habib</v>
      </c>
    </row>
    <row r="392" spans="28:31">
      <c r="AB392" s="215">
        <v>391</v>
      </c>
      <c r="AC392" s="35" t="s">
        <v>1165</v>
      </c>
      <c r="AD392" s="33" t="s">
        <v>1166</v>
      </c>
      <c r="AE392" s="37" t="str">
        <f t="shared" si="18"/>
        <v>PHC0577-83-1:Mr. Qazi Muhammad Adnan</v>
      </c>
    </row>
    <row r="393" spans="28:31">
      <c r="AB393" s="215">
        <v>392</v>
      </c>
      <c r="AC393" s="35" t="s">
        <v>1167</v>
      </c>
      <c r="AD393" s="33" t="s">
        <v>1168</v>
      </c>
      <c r="AE393" s="37" t="str">
        <f t="shared" si="18"/>
        <v>PHC0578-84-1:Mr. Zulfiqar Ahmad Khan</v>
      </c>
    </row>
    <row r="394" spans="28:31">
      <c r="AB394" s="215">
        <v>393</v>
      </c>
      <c r="AC394" s="35" t="s">
        <v>1169</v>
      </c>
      <c r="AD394" s="33" t="s">
        <v>1170</v>
      </c>
      <c r="AE394" s="37" t="str">
        <f t="shared" si="18"/>
        <v>PHC0579-83-1:Mr. Muhammad Junaid Alam</v>
      </c>
    </row>
    <row r="395" spans="28:31">
      <c r="AB395" s="215">
        <v>394</v>
      </c>
      <c r="AC395" s="35" t="s">
        <v>1171</v>
      </c>
      <c r="AD395" s="33" t="s">
        <v>1172</v>
      </c>
      <c r="AE395" s="37" t="str">
        <f t="shared" si="18"/>
        <v>PHC0580-85-1:Mr. Jamil Faqir</v>
      </c>
    </row>
    <row r="396" spans="28:31">
      <c r="AB396" s="215">
        <v>395</v>
      </c>
      <c r="AC396" s="35" t="s">
        <v>1173</v>
      </c>
      <c r="AD396" s="33" t="s">
        <v>1174</v>
      </c>
      <c r="AE396" s="37" t="str">
        <f t="shared" si="18"/>
        <v>PHC0581-88-1:Mr. Tariq Khan</v>
      </c>
    </row>
    <row r="397" spans="28:31">
      <c r="AB397" s="215">
        <v>396</v>
      </c>
      <c r="AC397" s="35" t="s">
        <v>1175</v>
      </c>
      <c r="AD397" s="33" t="s">
        <v>1176</v>
      </c>
      <c r="AE397" s="37" t="str">
        <f t="shared" si="18"/>
        <v>PHC0582-82-1:Ms. Sana Afzal</v>
      </c>
    </row>
    <row r="398" spans="28:31">
      <c r="AB398" s="215">
        <v>397</v>
      </c>
      <c r="AC398" s="35" t="s">
        <v>1177</v>
      </c>
      <c r="AD398" s="33" t="s">
        <v>1178</v>
      </c>
      <c r="AE398" s="37" t="str">
        <f t="shared" si="18"/>
        <v>PHC0583-85-1:Mr. Shahid Zaman</v>
      </c>
    </row>
    <row r="399" spans="28:31">
      <c r="AB399" s="215">
        <v>398</v>
      </c>
      <c r="AC399" s="35" t="s">
        <v>1179</v>
      </c>
      <c r="AD399" s="33" t="s">
        <v>1180</v>
      </c>
      <c r="AE399" s="37" t="str">
        <f t="shared" si="18"/>
        <v>PHC0584-86-1:Syed Abbas Bukhari</v>
      </c>
    </row>
    <row r="400" spans="28:31">
      <c r="AB400" s="215">
        <v>399</v>
      </c>
      <c r="AC400" s="35" t="s">
        <v>1181</v>
      </c>
      <c r="AD400" s="33" t="s">
        <v>1182</v>
      </c>
      <c r="AE400" s="37" t="str">
        <f t="shared" si="18"/>
        <v>PHC0586-85-1:Syed Wahaj Ali Shah</v>
      </c>
    </row>
    <row r="401" spans="28:31">
      <c r="AB401" s="215">
        <v>400</v>
      </c>
      <c r="AC401" s="35" t="s">
        <v>1183</v>
      </c>
      <c r="AD401" s="33" t="s">
        <v>1184</v>
      </c>
      <c r="AE401" s="37" t="str">
        <f t="shared" si="18"/>
        <v>PHC0587-86-1:Mr. Sharif Ullah</v>
      </c>
    </row>
    <row r="402" spans="28:31">
      <c r="AB402" s="215">
        <v>401</v>
      </c>
      <c r="AC402" s="35" t="s">
        <v>1185</v>
      </c>
      <c r="AD402" s="33" t="s">
        <v>1186</v>
      </c>
      <c r="AE402" s="37" t="str">
        <f t="shared" si="18"/>
        <v>PHC0588-86-1:Mr. Muhammad Latif Shah</v>
      </c>
    </row>
    <row r="403" spans="28:31">
      <c r="AB403" s="215">
        <v>402</v>
      </c>
      <c r="AC403" s="35" t="s">
        <v>1187</v>
      </c>
      <c r="AD403" s="33" t="s">
        <v>1188</v>
      </c>
      <c r="AE403" s="37" t="str">
        <f t="shared" si="18"/>
        <v>PHC0589-82-1:Mr. Zahir Khan</v>
      </c>
    </row>
    <row r="404" spans="28:31">
      <c r="AB404" s="215">
        <v>403</v>
      </c>
      <c r="AC404" s="35" t="s">
        <v>1189</v>
      </c>
      <c r="AD404" s="33" t="s">
        <v>1190</v>
      </c>
      <c r="AE404" s="37" t="str">
        <f t="shared" si="18"/>
        <v>PHC0590-82-1:Ms. Attia Rafiq</v>
      </c>
    </row>
    <row r="405" spans="28:31">
      <c r="AB405" s="215">
        <v>404</v>
      </c>
      <c r="AC405" s="35" t="s">
        <v>1191</v>
      </c>
      <c r="AD405" s="33" t="s">
        <v>1192</v>
      </c>
      <c r="AE405" s="37" t="str">
        <f t="shared" si="18"/>
        <v>PHC0591-85-1:Mr. Ilyas Saeed</v>
      </c>
    </row>
    <row r="406" spans="28:31">
      <c r="AB406" s="215">
        <v>405</v>
      </c>
      <c r="AC406" s="35" t="s">
        <v>1193</v>
      </c>
      <c r="AD406" s="33" t="s">
        <v>1194</v>
      </c>
      <c r="AE406" s="37" t="str">
        <f t="shared" si="18"/>
        <v>PHC0592-85-1:Mr. Bilal Khan Tanoli</v>
      </c>
    </row>
    <row r="407" spans="28:31">
      <c r="AB407" s="215">
        <v>406</v>
      </c>
      <c r="AC407" s="35" t="s">
        <v>1195</v>
      </c>
      <c r="AD407" s="33" t="s">
        <v>577</v>
      </c>
      <c r="AE407" s="37" t="str">
        <f t="shared" si="18"/>
        <v>PHC0593-86-1:Mr. Muhammad Shoaib</v>
      </c>
    </row>
    <row r="408" spans="28:31">
      <c r="AB408" s="215">
        <v>407</v>
      </c>
      <c r="AC408" s="35" t="s">
        <v>1196</v>
      </c>
      <c r="AD408" s="33" t="s">
        <v>1197</v>
      </c>
      <c r="AE408" s="37" t="str">
        <f t="shared" si="18"/>
        <v>PHC0594-89-1:Ms. Nazia Parveen</v>
      </c>
    </row>
    <row r="409" spans="28:31">
      <c r="AB409" s="215">
        <v>408</v>
      </c>
      <c r="AC409" s="35" t="s">
        <v>1198</v>
      </c>
      <c r="AD409" s="33" t="s">
        <v>1199</v>
      </c>
      <c r="AE409" s="37" t="str">
        <f t="shared" si="18"/>
        <v>PHC0595-80-1:Mr. Imtiaz Alam Khan</v>
      </c>
    </row>
    <row r="410" spans="28:31">
      <c r="AB410" s="215">
        <v>409</v>
      </c>
      <c r="AC410" s="35" t="s">
        <v>1200</v>
      </c>
      <c r="AD410" s="33" t="s">
        <v>1201</v>
      </c>
      <c r="AE410" s="37" t="str">
        <f t="shared" si="18"/>
        <v>PHC0596-86-1:Mr. Kamal Farid Tanoli</v>
      </c>
    </row>
    <row r="411" spans="28:31">
      <c r="AB411" s="215">
        <v>410</v>
      </c>
      <c r="AC411" s="35" t="s">
        <v>1202</v>
      </c>
      <c r="AD411" s="33" t="s">
        <v>1203</v>
      </c>
      <c r="AE411" s="37" t="str">
        <f t="shared" si="18"/>
        <v>PHC0597-83-1:Mr. Inam Ullah</v>
      </c>
    </row>
    <row r="412" spans="28:31">
      <c r="AB412" s="215">
        <v>411</v>
      </c>
      <c r="AC412" s="35" t="s">
        <v>1204</v>
      </c>
      <c r="AD412" s="33" t="s">
        <v>1205</v>
      </c>
      <c r="AE412" s="37" t="str">
        <f t="shared" si="18"/>
        <v>PHC0598-88-1:Ms. Sanam Khalid</v>
      </c>
    </row>
    <row r="413" spans="28:31">
      <c r="AB413" s="215">
        <v>412</v>
      </c>
      <c r="AC413" s="35" t="s">
        <v>1206</v>
      </c>
      <c r="AD413" s="33" t="s">
        <v>1207</v>
      </c>
      <c r="AE413" s="37" t="str">
        <f t="shared" si="18"/>
        <v>PHC0599-86-1:Mr. Khuram Shahzad</v>
      </c>
    </row>
    <row r="414" spans="28:31">
      <c r="AB414" s="215">
        <v>413</v>
      </c>
      <c r="AC414" s="35" t="s">
        <v>1208</v>
      </c>
      <c r="AD414" s="33" t="s">
        <v>1209</v>
      </c>
      <c r="AE414" s="37" t="str">
        <f t="shared" si="18"/>
        <v>PHC0600-83-1:Mr. Sajid Ali Khan</v>
      </c>
    </row>
    <row r="415" spans="28:31">
      <c r="AB415" s="215">
        <v>414</v>
      </c>
      <c r="AC415" s="35" t="s">
        <v>1210</v>
      </c>
      <c r="AD415" s="33" t="s">
        <v>1211</v>
      </c>
      <c r="AE415" s="37" t="str">
        <f t="shared" si="18"/>
        <v>PHC0601-85-1:Mr. Abdul Kaleem Khan</v>
      </c>
    </row>
    <row r="416" spans="28:31">
      <c r="AB416" s="215">
        <v>415</v>
      </c>
      <c r="AC416" s="35" t="s">
        <v>1212</v>
      </c>
      <c r="AD416" s="33" t="s">
        <v>1213</v>
      </c>
      <c r="AE416" s="37" t="str">
        <f t="shared" si="18"/>
        <v>PHC0602-83-1:Mr. Hassan Mahboob</v>
      </c>
    </row>
    <row r="417" spans="28:31">
      <c r="AB417" s="215">
        <v>416</v>
      </c>
      <c r="AC417" s="35" t="s">
        <v>1214</v>
      </c>
      <c r="AD417" s="33" t="s">
        <v>1215</v>
      </c>
      <c r="AE417" s="37" t="str">
        <f t="shared" si="18"/>
        <v>PHC0603-80-1:Mr. Muhammad Tariq Khan</v>
      </c>
    </row>
    <row r="418" spans="28:31">
      <c r="AB418" s="215">
        <v>417</v>
      </c>
      <c r="AC418" s="35" t="s">
        <v>1216</v>
      </c>
      <c r="AD418" s="33" t="s">
        <v>1217</v>
      </c>
      <c r="AE418" s="37" t="str">
        <f t="shared" si="18"/>
        <v>PHC0604-81-1:Mr. Shah Nofal</v>
      </c>
    </row>
    <row r="419" spans="28:31">
      <c r="AB419" s="215">
        <v>418</v>
      </c>
      <c r="AC419" s="35" t="s">
        <v>1218</v>
      </c>
      <c r="AD419" s="33" t="s">
        <v>1219</v>
      </c>
      <c r="AE419" s="37" t="str">
        <f t="shared" si="18"/>
        <v>PHC0605-81-1:Mr. Haider Ali Khan</v>
      </c>
    </row>
    <row r="420" spans="28:31">
      <c r="AB420" s="215">
        <v>419</v>
      </c>
      <c r="AC420" s="35" t="s">
        <v>1220</v>
      </c>
      <c r="AD420" s="33" t="s">
        <v>1221</v>
      </c>
      <c r="AE420" s="37" t="str">
        <f t="shared" si="18"/>
        <v>PHC0606-82-1:Mr. Zahid Ali Khan</v>
      </c>
    </row>
    <row r="421" spans="28:31">
      <c r="AB421" s="215">
        <v>420</v>
      </c>
      <c r="AC421" s="35" t="s">
        <v>1222</v>
      </c>
      <c r="AD421" s="33" t="s">
        <v>1223</v>
      </c>
      <c r="AE421" s="37" t="str">
        <f t="shared" si="18"/>
        <v>PHC0607-82-1:Mr. Hamid Sajjad</v>
      </c>
    </row>
    <row r="422" spans="28:31">
      <c r="AB422" s="215">
        <v>421</v>
      </c>
      <c r="AC422" s="35" t="s">
        <v>1224</v>
      </c>
      <c r="AD422" s="33" t="s">
        <v>1225</v>
      </c>
      <c r="AE422" s="37" t="str">
        <f t="shared" si="18"/>
        <v>PHC0608-86-1:Mr. Muhammad Adil Misal</v>
      </c>
    </row>
    <row r="423" spans="28:31">
      <c r="AB423" s="215">
        <v>422</v>
      </c>
      <c r="AC423" s="35" t="s">
        <v>1226</v>
      </c>
      <c r="AD423" s="33" t="s">
        <v>1227</v>
      </c>
      <c r="AE423" s="37" t="str">
        <f t="shared" si="18"/>
        <v>PHC0609-84-1:Mr. Liaqat Khan</v>
      </c>
    </row>
    <row r="424" spans="28:31">
      <c r="AB424" s="215">
        <v>423</v>
      </c>
      <c r="AC424" s="35" t="s">
        <v>1228</v>
      </c>
      <c r="AD424" s="33" t="s">
        <v>1229</v>
      </c>
      <c r="AE424" s="37" t="str">
        <f t="shared" si="18"/>
        <v>PHC0610-83-1:Ms. Farina Mehreen</v>
      </c>
    </row>
    <row r="425" spans="28:31">
      <c r="AB425" s="215">
        <v>424</v>
      </c>
      <c r="AC425" s="35" t="s">
        <v>1230</v>
      </c>
      <c r="AD425" s="33" t="s">
        <v>1231</v>
      </c>
      <c r="AE425" s="37" t="str">
        <f t="shared" si="18"/>
        <v>PHC0611-83-1:Mr. Hafeez Ullah</v>
      </c>
    </row>
    <row r="426" spans="28:31">
      <c r="AB426" s="215">
        <v>425</v>
      </c>
      <c r="AC426" s="35" t="s">
        <v>1232</v>
      </c>
      <c r="AD426" s="33" t="s">
        <v>1233</v>
      </c>
      <c r="AE426" s="37" t="str">
        <f t="shared" si="18"/>
        <v>PHC0612-88-1:Ms. Kinza Shoukat</v>
      </c>
    </row>
    <row r="427" spans="28:31">
      <c r="AB427" s="215">
        <v>426</v>
      </c>
      <c r="AC427" s="35" t="s">
        <v>1234</v>
      </c>
      <c r="AD427" s="33" t="s">
        <v>1235</v>
      </c>
      <c r="AE427" s="37" t="str">
        <f t="shared" si="18"/>
        <v>PHC0613-85-1:Mr. Nayyar Iqbal</v>
      </c>
    </row>
    <row r="428" spans="28:31">
      <c r="AB428" s="215">
        <v>427</v>
      </c>
      <c r="AC428" s="35" t="s">
        <v>1236</v>
      </c>
      <c r="AD428" s="33" t="s">
        <v>1237</v>
      </c>
      <c r="AE428" s="37" t="str">
        <f t="shared" si="18"/>
        <v>PHC0614-85-1:Mr. Muhammad Haris Nisar</v>
      </c>
    </row>
    <row r="429" spans="28:31">
      <c r="AB429" s="215">
        <v>428</v>
      </c>
      <c r="AC429" s="35" t="s">
        <v>1238</v>
      </c>
      <c r="AD429" s="33" t="s">
        <v>1239</v>
      </c>
      <c r="AE429" s="37" t="str">
        <f t="shared" si="18"/>
        <v>PHC0615-85-1:Mr. Sajid Amin</v>
      </c>
    </row>
    <row r="430" spans="28:31">
      <c r="AB430" s="215">
        <v>429</v>
      </c>
      <c r="AC430" s="35" t="s">
        <v>1240</v>
      </c>
      <c r="AD430" s="33" t="s">
        <v>1241</v>
      </c>
      <c r="AE430" s="37" t="str">
        <f t="shared" si="18"/>
        <v>PHC0616-80-1:Ms. Sadia Haroon</v>
      </c>
    </row>
    <row r="431" spans="28:31">
      <c r="AB431" s="215">
        <v>430</v>
      </c>
      <c r="AC431" s="35" t="s">
        <v>1242</v>
      </c>
      <c r="AD431" s="33" t="s">
        <v>1203</v>
      </c>
      <c r="AE431" s="37" t="str">
        <f t="shared" si="18"/>
        <v>PHC0617-84-1:Mr. Inam Ullah</v>
      </c>
    </row>
    <row r="432" spans="28:31">
      <c r="AB432" s="215">
        <v>431</v>
      </c>
      <c r="AC432" s="35" t="s">
        <v>1243</v>
      </c>
      <c r="AD432" s="33" t="s">
        <v>1244</v>
      </c>
      <c r="AE432" s="37" t="str">
        <f t="shared" si="18"/>
        <v>PHC0618-80-1:Mr. Shah Khalid</v>
      </c>
    </row>
    <row r="433" spans="28:31">
      <c r="AB433" s="215">
        <v>432</v>
      </c>
      <c r="AC433" s="35" t="s">
        <v>1245</v>
      </c>
      <c r="AD433" s="33" t="s">
        <v>1246</v>
      </c>
      <c r="AE433" s="37" t="str">
        <f t="shared" si="18"/>
        <v>PHC0619-89-1:Mr. Haroon Rashid</v>
      </c>
    </row>
    <row r="434" spans="28:31">
      <c r="AB434" s="215">
        <v>433</v>
      </c>
      <c r="AC434" s="35" t="s">
        <v>1247</v>
      </c>
      <c r="AD434" s="33" t="s">
        <v>577</v>
      </c>
      <c r="AE434" s="37" t="str">
        <f t="shared" si="18"/>
        <v>PHC0620-87-1:Mr. Muhammad Shoaib</v>
      </c>
    </row>
    <row r="435" spans="28:31">
      <c r="AB435" s="215">
        <v>434</v>
      </c>
      <c r="AC435" s="35" t="s">
        <v>1248</v>
      </c>
      <c r="AD435" s="33" t="s">
        <v>1249</v>
      </c>
      <c r="AE435" s="37" t="str">
        <f t="shared" si="18"/>
        <v>PHC0621-81-3:Mr. Aamer Ali</v>
      </c>
    </row>
    <row r="436" spans="28:31">
      <c r="AB436" s="215">
        <v>435</v>
      </c>
      <c r="AC436" s="35" t="s">
        <v>1250</v>
      </c>
      <c r="AD436" s="33" t="s">
        <v>1251</v>
      </c>
      <c r="AE436" s="37" t="str">
        <f t="shared" si="18"/>
        <v>PHC0622-80-3:Mr. Aziz Muhammad</v>
      </c>
    </row>
    <row r="437" spans="28:31">
      <c r="AB437" s="215">
        <v>436</v>
      </c>
      <c r="AC437" s="35" t="s">
        <v>1252</v>
      </c>
      <c r="AD437" s="33" t="s">
        <v>1253</v>
      </c>
      <c r="AE437" s="37" t="str">
        <f t="shared" si="18"/>
        <v>PHC0623-74-3:Mr. Zahid Karim</v>
      </c>
    </row>
    <row r="438" spans="28:31">
      <c r="AB438" s="215">
        <v>437</v>
      </c>
      <c r="AC438" s="35" t="s">
        <v>1254</v>
      </c>
      <c r="AD438" s="33" t="s">
        <v>1255</v>
      </c>
      <c r="AE438" s="37" t="str">
        <f t="shared" si="18"/>
        <v>PHC0624-78-3:Syed Arif Shah</v>
      </c>
    </row>
    <row r="439" spans="28:31">
      <c r="AB439" s="215">
        <v>438</v>
      </c>
      <c r="AC439" s="35" t="s">
        <v>1256</v>
      </c>
      <c r="AD439" s="33" t="s">
        <v>1257</v>
      </c>
      <c r="AE439" s="37" t="str">
        <f t="shared" si="18"/>
        <v>PHC0625-84-3:Mr. Muhammad Tayyib</v>
      </c>
    </row>
    <row r="440" spans="28:31">
      <c r="AB440" s="215">
        <v>439</v>
      </c>
      <c r="AC440" s="35" t="s">
        <v>1258</v>
      </c>
      <c r="AD440" s="33" t="s">
        <v>1259</v>
      </c>
      <c r="AE440" s="37" t="str">
        <f t="shared" si="18"/>
        <v>PHC0626-77-3:Arbab Muhammad Kashif</v>
      </c>
    </row>
    <row r="441" spans="28:31">
      <c r="AB441" s="215">
        <v>440</v>
      </c>
      <c r="AC441" s="35" t="s">
        <v>1260</v>
      </c>
      <c r="AD441" s="33" t="s">
        <v>1261</v>
      </c>
      <c r="AE441" s="37" t="str">
        <f t="shared" si="18"/>
        <v>PHC0627-80-3:Syed Adnan Shah</v>
      </c>
    </row>
    <row r="442" spans="28:31">
      <c r="AB442" s="215">
        <v>441</v>
      </c>
      <c r="AC442" s="35" t="s">
        <v>1262</v>
      </c>
      <c r="AD442" s="33" t="s">
        <v>1263</v>
      </c>
      <c r="AE442" s="37" t="str">
        <f t="shared" si="18"/>
        <v>PHC0628-77-3:Mr. Muhammad Jamil</v>
      </c>
    </row>
    <row r="443" spans="28:31">
      <c r="AB443" s="215">
        <v>442</v>
      </c>
      <c r="AC443" s="35" t="s">
        <v>1264</v>
      </c>
      <c r="AD443" s="33" t="s">
        <v>1265</v>
      </c>
      <c r="AE443" s="37" t="str">
        <f t="shared" si="18"/>
        <v>PHC0630-87-1:Ms. Fozia Nasim</v>
      </c>
    </row>
    <row r="444" spans="28:31" ht="30">
      <c r="AB444" s="215">
        <v>443</v>
      </c>
      <c r="AC444" s="35" t="s">
        <v>1266</v>
      </c>
      <c r="AD444" s="33" t="s">
        <v>1267</v>
      </c>
      <c r="AE444" s="37" t="str">
        <f t="shared" si="18"/>
        <v>PHC0631-83-1:Mr. Salman Reayat Khan Khattak</v>
      </c>
    </row>
    <row r="445" spans="28:31">
      <c r="AB445" s="215">
        <v>444</v>
      </c>
      <c r="AC445" s="35" t="s">
        <v>1268</v>
      </c>
      <c r="AD445" s="33" t="s">
        <v>1269</v>
      </c>
      <c r="AE445" s="37" t="str">
        <f t="shared" si="18"/>
        <v>PHC0632-87-1:Mr. Shoaib Ahmad</v>
      </c>
    </row>
    <row r="446" spans="28:31">
      <c r="AB446" s="215">
        <v>445</v>
      </c>
      <c r="AC446" s="35" t="s">
        <v>1270</v>
      </c>
      <c r="AD446" s="33" t="s">
        <v>1271</v>
      </c>
      <c r="AE446" s="37" t="str">
        <f t="shared" si="18"/>
        <v>PHC0633-89-1:Mr. Muhammad Kashif Khan</v>
      </c>
    </row>
    <row r="447" spans="28:31">
      <c r="AB447" s="215">
        <v>446</v>
      </c>
      <c r="AC447" s="35" t="s">
        <v>1272</v>
      </c>
      <c r="AD447" s="33" t="s">
        <v>1273</v>
      </c>
      <c r="AE447" s="37" t="str">
        <f t="shared" si="18"/>
        <v>PHC0634-89-1:Mr. Muhammad Khalil Khan</v>
      </c>
    </row>
    <row r="448" spans="28:31">
      <c r="AB448" s="215">
        <v>447</v>
      </c>
      <c r="AC448" s="35" t="s">
        <v>1274</v>
      </c>
      <c r="AD448" s="33" t="s">
        <v>1275</v>
      </c>
      <c r="AE448" s="37" t="str">
        <f t="shared" si="18"/>
        <v>PHC0635-87-1:Mr. Sher Hassan Khan</v>
      </c>
    </row>
    <row r="449" spans="28:31">
      <c r="AB449" s="215">
        <v>448</v>
      </c>
      <c r="AC449" s="35" t="s">
        <v>1276</v>
      </c>
      <c r="AD449" s="33" t="s">
        <v>1277</v>
      </c>
      <c r="AE449" s="37" t="str">
        <f t="shared" si="18"/>
        <v>PHC0636-90-1:Mr. Hamaish Khan</v>
      </c>
    </row>
    <row r="450" spans="28:31">
      <c r="AB450" s="215">
        <v>449</v>
      </c>
      <c r="AC450" s="35" t="s">
        <v>1278</v>
      </c>
      <c r="AD450" s="33" t="s">
        <v>1279</v>
      </c>
      <c r="AE450" s="37" t="str">
        <f t="shared" si="18"/>
        <v>PHC0638-87-1:Ms. Rabia Yousaf</v>
      </c>
    </row>
    <row r="451" spans="28:31">
      <c r="AB451" s="215">
        <v>450</v>
      </c>
      <c r="AC451" s="35" t="s">
        <v>1280</v>
      </c>
      <c r="AD451" s="33" t="s">
        <v>884</v>
      </c>
      <c r="AE451" s="37" t="str">
        <f t="shared" ref="AE451:AE514" si="19">CONCATENATE(AC451,":",AD451)</f>
        <v>PHC0639-87-1:Mr. Ishfaq Ahmad</v>
      </c>
    </row>
    <row r="452" spans="28:31">
      <c r="AB452" s="215">
        <v>451</v>
      </c>
      <c r="AC452" s="35" t="s">
        <v>1281</v>
      </c>
      <c r="AD452" s="33" t="s">
        <v>1282</v>
      </c>
      <c r="AE452" s="37" t="str">
        <f t="shared" si="19"/>
        <v>PHC0640-90-1:Ms. Dua-e-Mehreen</v>
      </c>
    </row>
    <row r="453" spans="28:31">
      <c r="AB453" s="215">
        <v>452</v>
      </c>
      <c r="AC453" s="35" t="s">
        <v>1283</v>
      </c>
      <c r="AD453" s="33" t="s">
        <v>1284</v>
      </c>
      <c r="AE453" s="37" t="str">
        <f t="shared" si="19"/>
        <v>PHC0641-88-1:Mr. Ghazanfar Ali</v>
      </c>
    </row>
    <row r="454" spans="28:31">
      <c r="AB454" s="215">
        <v>453</v>
      </c>
      <c r="AC454" s="35" t="s">
        <v>1285</v>
      </c>
      <c r="AD454" s="33" t="s">
        <v>1070</v>
      </c>
      <c r="AE454" s="37" t="str">
        <f t="shared" si="19"/>
        <v>PHC0642-84-1:Mr. Aziz Ahmad</v>
      </c>
    </row>
    <row r="455" spans="28:31">
      <c r="AB455" s="215">
        <v>454</v>
      </c>
      <c r="AC455" s="35" t="s">
        <v>1286</v>
      </c>
      <c r="AD455" s="33" t="s">
        <v>1287</v>
      </c>
      <c r="AE455" s="37" t="str">
        <f t="shared" si="19"/>
        <v>PHC0643-87-1:Ms. Sabeena Jadoon</v>
      </c>
    </row>
    <row r="456" spans="28:31">
      <c r="AB456" s="215">
        <v>455</v>
      </c>
      <c r="AC456" s="35" t="s">
        <v>1288</v>
      </c>
      <c r="AD456" s="33" t="s">
        <v>1289</v>
      </c>
      <c r="AE456" s="37" t="str">
        <f t="shared" si="19"/>
        <v>PHC0644-85-1:Ms. Tamkeen Qazi</v>
      </c>
    </row>
    <row r="457" spans="28:31">
      <c r="AB457" s="215">
        <v>456</v>
      </c>
      <c r="AC457" s="35" t="s">
        <v>1290</v>
      </c>
      <c r="AD457" s="33" t="s">
        <v>1291</v>
      </c>
      <c r="AE457" s="37" t="str">
        <f t="shared" si="19"/>
        <v>PHC0645-89-1:Arbab Waheed Alam</v>
      </c>
    </row>
    <row r="458" spans="28:31">
      <c r="AB458" s="215">
        <v>457</v>
      </c>
      <c r="AC458" s="35" t="s">
        <v>1292</v>
      </c>
      <c r="AD458" s="33" t="s">
        <v>1293</v>
      </c>
      <c r="AE458" s="37" t="str">
        <f t="shared" si="19"/>
        <v>PHC0646-87-1:Ms. Neelum Ibrahim</v>
      </c>
    </row>
    <row r="459" spans="28:31">
      <c r="AB459" s="215">
        <v>458</v>
      </c>
      <c r="AC459" s="35" t="s">
        <v>1294</v>
      </c>
      <c r="AD459" s="33" t="s">
        <v>1295</v>
      </c>
      <c r="AE459" s="37" t="str">
        <f t="shared" si="19"/>
        <v>PHC0647-89-1:Ms. Meena Qaisar</v>
      </c>
    </row>
    <row r="460" spans="28:31">
      <c r="AB460" s="215">
        <v>459</v>
      </c>
      <c r="AC460" s="35" t="s">
        <v>1296</v>
      </c>
      <c r="AD460" s="33" t="s">
        <v>1297</v>
      </c>
      <c r="AE460" s="37" t="str">
        <f t="shared" si="19"/>
        <v>PHC0648-84-1:Mr. Jauhar Ali</v>
      </c>
    </row>
    <row r="461" spans="28:31">
      <c r="AB461" s="215">
        <v>460</v>
      </c>
      <c r="AC461" s="35" t="s">
        <v>1298</v>
      </c>
      <c r="AD461" s="33" t="s">
        <v>1299</v>
      </c>
      <c r="AE461" s="37" t="str">
        <f t="shared" si="19"/>
        <v>PHC0649-87-1:Ms. Sadaf Ali Khan</v>
      </c>
    </row>
    <row r="462" spans="28:31">
      <c r="AB462" s="215">
        <v>461</v>
      </c>
      <c r="AC462" s="35" t="s">
        <v>1300</v>
      </c>
      <c r="AD462" s="33" t="s">
        <v>1301</v>
      </c>
      <c r="AE462" s="37" t="str">
        <f t="shared" si="19"/>
        <v>PHC0650-85-1:Ms. Hina Ghafoor</v>
      </c>
    </row>
    <row r="463" spans="28:31">
      <c r="AB463" s="215">
        <v>462</v>
      </c>
      <c r="AC463" s="35" t="s">
        <v>1302</v>
      </c>
      <c r="AD463" s="33" t="s">
        <v>1303</v>
      </c>
      <c r="AE463" s="37" t="str">
        <f t="shared" si="19"/>
        <v>PHC0651-84-1:Malik Zeeshan Gul</v>
      </c>
    </row>
    <row r="464" spans="28:31">
      <c r="AB464" s="215">
        <v>463</v>
      </c>
      <c r="AC464" s="35" t="s">
        <v>1304</v>
      </c>
      <c r="AD464" s="33" t="s">
        <v>1305</v>
      </c>
      <c r="AE464" s="37" t="str">
        <f t="shared" si="19"/>
        <v>PHC0652-90-1:Ms. Hamna Rehman Qureshi</v>
      </c>
    </row>
    <row r="465" spans="28:31">
      <c r="AB465" s="215">
        <v>464</v>
      </c>
      <c r="AC465" s="35" t="s">
        <v>1306</v>
      </c>
      <c r="AD465" s="33" t="s">
        <v>1307</v>
      </c>
      <c r="AE465" s="37" t="str">
        <f t="shared" si="19"/>
        <v>PHC0653-90-1:Ms. Shamim S.Shah</v>
      </c>
    </row>
    <row r="466" spans="28:31">
      <c r="AB466" s="215">
        <v>465</v>
      </c>
      <c r="AC466" s="35" t="s">
        <v>1308</v>
      </c>
      <c r="AD466" s="33" t="s">
        <v>1309</v>
      </c>
      <c r="AE466" s="37" t="str">
        <f t="shared" si="19"/>
        <v>PHC0654-88-1:Ms. Nosheen Nisar</v>
      </c>
    </row>
    <row r="467" spans="28:31">
      <c r="AB467" s="215">
        <v>466</v>
      </c>
      <c r="AC467" s="35" t="s">
        <v>1310</v>
      </c>
      <c r="AD467" s="33" t="s">
        <v>1311</v>
      </c>
      <c r="AE467" s="37" t="str">
        <f t="shared" si="19"/>
        <v>PHC0655-85-1:Mr. Muhammad Saqib</v>
      </c>
    </row>
    <row r="468" spans="28:31">
      <c r="AB468" s="215">
        <v>467</v>
      </c>
      <c r="AC468" s="35" t="s">
        <v>1312</v>
      </c>
      <c r="AD468" s="33" t="s">
        <v>1313</v>
      </c>
      <c r="AE468" s="37" t="str">
        <f t="shared" si="19"/>
        <v>PHC0656-90-1:Mr. Daulat Khan</v>
      </c>
    </row>
    <row r="469" spans="28:31">
      <c r="AB469" s="215">
        <v>468</v>
      </c>
      <c r="AC469" s="35" t="s">
        <v>1314</v>
      </c>
      <c r="AD469" s="33" t="s">
        <v>1315</v>
      </c>
      <c r="AE469" s="37" t="str">
        <f t="shared" si="19"/>
        <v>PHC0657-91-1:Ms. Faryal Ayaz</v>
      </c>
    </row>
    <row r="470" spans="28:31">
      <c r="AB470" s="215">
        <v>469</v>
      </c>
      <c r="AC470" s="35" t="s">
        <v>1316</v>
      </c>
      <c r="AD470" s="33" t="s">
        <v>1317</v>
      </c>
      <c r="AE470" s="37" t="str">
        <f t="shared" si="19"/>
        <v>PHC0658-85-1:Mr. Ashfaq Ahmad</v>
      </c>
    </row>
    <row r="471" spans="28:31">
      <c r="AB471" s="215">
        <v>470</v>
      </c>
      <c r="AC471" s="35" t="s">
        <v>1318</v>
      </c>
      <c r="AD471" s="33" t="s">
        <v>1319</v>
      </c>
      <c r="AE471" s="37" t="str">
        <f t="shared" si="19"/>
        <v>PHC0659-88-1:Ms. Kinza Khan</v>
      </c>
    </row>
    <row r="472" spans="28:31">
      <c r="AB472" s="215">
        <v>471</v>
      </c>
      <c r="AC472" s="35" t="s">
        <v>1320</v>
      </c>
      <c r="AD472" s="33" t="s">
        <v>1321</v>
      </c>
      <c r="AE472" s="37" t="str">
        <f t="shared" si="19"/>
        <v>PHC0660-87-1:Mr. Shafiq ul Aman</v>
      </c>
    </row>
    <row r="473" spans="28:31">
      <c r="AB473" s="215">
        <v>472</v>
      </c>
      <c r="AC473" s="35" t="s">
        <v>1322</v>
      </c>
      <c r="AD473" s="33" t="s">
        <v>1323</v>
      </c>
      <c r="AE473" s="37" t="str">
        <f t="shared" si="19"/>
        <v>PHC0661-90-1:Mr. Khizar Ali Khan</v>
      </c>
    </row>
    <row r="474" spans="28:31">
      <c r="AB474" s="215">
        <v>473</v>
      </c>
      <c r="AC474" s="35" t="s">
        <v>1324</v>
      </c>
      <c r="AD474" s="33" t="s">
        <v>1325</v>
      </c>
      <c r="AE474" s="37" t="str">
        <f t="shared" si="19"/>
        <v>PHC0662-90-1:Ms. Umal Khair Fatima</v>
      </c>
    </row>
    <row r="475" spans="28:31">
      <c r="AB475" s="215">
        <v>474</v>
      </c>
      <c r="AC475" s="35" t="s">
        <v>1326</v>
      </c>
      <c r="AD475" s="33" t="s">
        <v>1327</v>
      </c>
      <c r="AE475" s="37" t="str">
        <f t="shared" si="19"/>
        <v>PHC0663-87-1:Ms. Maria Shah</v>
      </c>
    </row>
    <row r="476" spans="28:31">
      <c r="AB476" s="215">
        <v>475</v>
      </c>
      <c r="AC476" s="35" t="s">
        <v>1328</v>
      </c>
      <c r="AD476" s="33" t="s">
        <v>1329</v>
      </c>
      <c r="AE476" s="37" t="str">
        <f t="shared" si="19"/>
        <v>PHC0664-90-1:Mr. Salman Ahmad</v>
      </c>
    </row>
    <row r="477" spans="28:31">
      <c r="AB477" s="215">
        <v>476</v>
      </c>
      <c r="AC477" s="35" t="s">
        <v>1330</v>
      </c>
      <c r="AD477" s="33" t="s">
        <v>1331</v>
      </c>
      <c r="AE477" s="37" t="str">
        <f t="shared" si="19"/>
        <v>PHC0665-83-1:Sheik Waqas Ahmad</v>
      </c>
    </row>
    <row r="478" spans="28:31">
      <c r="AB478" s="215">
        <v>477</v>
      </c>
      <c r="AC478" s="35" t="s">
        <v>1332</v>
      </c>
      <c r="AD478" s="33" t="s">
        <v>1333</v>
      </c>
      <c r="AE478" s="37" t="str">
        <f t="shared" si="19"/>
        <v>PHC0666-84-1:Ms. Razia Gul</v>
      </c>
    </row>
    <row r="479" spans="28:31">
      <c r="AB479" s="215">
        <v>478</v>
      </c>
      <c r="AC479" s="35" t="s">
        <v>1334</v>
      </c>
      <c r="AD479" s="33" t="s">
        <v>1335</v>
      </c>
      <c r="AE479" s="37" t="str">
        <f t="shared" si="19"/>
        <v>PHC0667-90-1:Ms. Hina Gul</v>
      </c>
    </row>
    <row r="480" spans="28:31">
      <c r="AB480" s="215">
        <v>479</v>
      </c>
      <c r="AC480" s="35" t="s">
        <v>1336</v>
      </c>
      <c r="AD480" s="33" t="s">
        <v>1337</v>
      </c>
      <c r="AE480" s="37" t="str">
        <f t="shared" si="19"/>
        <v>PHC0668-90-1:Ms. Sidra Aslam</v>
      </c>
    </row>
    <row r="481" spans="28:31">
      <c r="AB481" s="215">
        <v>480</v>
      </c>
      <c r="AC481" s="35" t="s">
        <v>1338</v>
      </c>
      <c r="AD481" s="33" t="s">
        <v>1339</v>
      </c>
      <c r="AE481" s="37" t="str">
        <f t="shared" si="19"/>
        <v>PHC0669-90-1:Ms. Sadia Ali</v>
      </c>
    </row>
    <row r="482" spans="28:31">
      <c r="AB482" s="215">
        <v>481</v>
      </c>
      <c r="AC482" s="35" t="s">
        <v>1340</v>
      </c>
      <c r="AD482" s="33" t="s">
        <v>1341</v>
      </c>
      <c r="AE482" s="37" t="str">
        <f t="shared" si="19"/>
        <v>PHC0670-88-1:Ms. Iram Bashir</v>
      </c>
    </row>
    <row r="483" spans="28:31">
      <c r="AB483" s="215">
        <v>482</v>
      </c>
      <c r="AC483" s="35" t="s">
        <v>1342</v>
      </c>
      <c r="AD483" s="33" t="s">
        <v>1343</v>
      </c>
      <c r="AE483" s="37" t="str">
        <f t="shared" si="19"/>
        <v>PHC0671-90-1:Ms. Noreen Farooq</v>
      </c>
    </row>
    <row r="484" spans="28:31">
      <c r="AB484" s="215">
        <v>483</v>
      </c>
      <c r="AC484" s="35" t="s">
        <v>1344</v>
      </c>
      <c r="AD484" s="33" t="s">
        <v>1345</v>
      </c>
      <c r="AE484" s="37" t="str">
        <f t="shared" si="19"/>
        <v>PHC0672-92-1:Mr. Sanaullah Khan</v>
      </c>
    </row>
    <row r="485" spans="28:31">
      <c r="AB485" s="215">
        <v>484</v>
      </c>
      <c r="AC485" s="35" t="s">
        <v>1346</v>
      </c>
      <c r="AD485" s="33" t="s">
        <v>1347</v>
      </c>
      <c r="AE485" s="37" t="str">
        <f t="shared" si="19"/>
        <v>PHC0673-83-1:Mr. Muhammad Yousaf</v>
      </c>
    </row>
    <row r="486" spans="28:31">
      <c r="AB486" s="215">
        <v>485</v>
      </c>
      <c r="AC486" s="35" t="s">
        <v>1348</v>
      </c>
      <c r="AD486" s="33" t="s">
        <v>1349</v>
      </c>
      <c r="AE486" s="37" t="str">
        <f t="shared" si="19"/>
        <v>PHC0674-73-3:Mr. Shah Wali Khan</v>
      </c>
    </row>
    <row r="487" spans="28:31">
      <c r="AB487" s="215">
        <v>486</v>
      </c>
      <c r="AC487" s="35" t="s">
        <v>1350</v>
      </c>
      <c r="AD487" s="33" t="s">
        <v>1351</v>
      </c>
      <c r="AE487" s="37" t="str">
        <f t="shared" si="19"/>
        <v>PHC0675-74-3:Mr. Khalid Hussain</v>
      </c>
    </row>
    <row r="488" spans="28:31">
      <c r="AB488" s="215">
        <v>487</v>
      </c>
      <c r="AC488" s="35" t="s">
        <v>1352</v>
      </c>
      <c r="AD488" s="33" t="s">
        <v>1353</v>
      </c>
      <c r="AE488" s="37" t="str">
        <f t="shared" si="19"/>
        <v>PHC0676-82-3:Mr. Shehzad Akhunzada</v>
      </c>
    </row>
    <row r="489" spans="28:31">
      <c r="AB489" s="215">
        <v>488</v>
      </c>
      <c r="AC489" s="35" t="s">
        <v>1354</v>
      </c>
      <c r="AD489" s="33" t="s">
        <v>1355</v>
      </c>
      <c r="AE489" s="37" t="str">
        <f t="shared" si="19"/>
        <v>PHC0677-82-3:Mr. Muhammad Sajid</v>
      </c>
    </row>
    <row r="490" spans="28:31">
      <c r="AB490" s="215">
        <v>489</v>
      </c>
      <c r="AC490" s="35" t="s">
        <v>1356</v>
      </c>
      <c r="AD490" s="33" t="s">
        <v>1357</v>
      </c>
      <c r="AE490" s="37" t="str">
        <f t="shared" si="19"/>
        <v>PHC0678-83-3:Mr. Mohib Jan</v>
      </c>
    </row>
    <row r="491" spans="28:31">
      <c r="AB491" s="215">
        <v>490</v>
      </c>
      <c r="AC491" s="35" t="s">
        <v>1358</v>
      </c>
      <c r="AD491" s="33" t="s">
        <v>1203</v>
      </c>
      <c r="AE491" s="37" t="str">
        <f t="shared" si="19"/>
        <v>PHC0679-87-1:Mr. Inam Ullah</v>
      </c>
    </row>
    <row r="492" spans="28:31">
      <c r="AB492" s="215">
        <v>491</v>
      </c>
      <c r="AC492" s="35" t="s">
        <v>1359</v>
      </c>
      <c r="AD492" s="33" t="s">
        <v>1360</v>
      </c>
      <c r="AE492" s="37" t="str">
        <f t="shared" si="19"/>
        <v>PHC0680-92-1:Mr. Imtiaz Ahmad</v>
      </c>
    </row>
    <row r="493" spans="28:31">
      <c r="AB493" s="215">
        <v>492</v>
      </c>
      <c r="AC493" s="35" t="s">
        <v>1361</v>
      </c>
      <c r="AD493" s="33" t="s">
        <v>1362</v>
      </c>
      <c r="AE493" s="37" t="str">
        <f t="shared" si="19"/>
        <v>PHC0681-92-1:Ms. Sana Shah</v>
      </c>
    </row>
    <row r="494" spans="28:31">
      <c r="AB494" s="215">
        <v>493</v>
      </c>
      <c r="AC494" s="35" t="s">
        <v>1363</v>
      </c>
      <c r="AD494" s="33" t="s">
        <v>1364</v>
      </c>
      <c r="AE494" s="37" t="str">
        <f t="shared" si="19"/>
        <v>PHC0682-91-1:Mr. Inayat Ullah Khan</v>
      </c>
    </row>
    <row r="495" spans="28:31">
      <c r="AB495" s="215">
        <v>494</v>
      </c>
      <c r="AC495" s="35" t="s">
        <v>1365</v>
      </c>
      <c r="AD495" s="33" t="s">
        <v>1366</v>
      </c>
      <c r="AE495" s="37" t="str">
        <f t="shared" si="19"/>
        <v>PHC0683-90-1:Mr. Saif Ullah Almas</v>
      </c>
    </row>
    <row r="496" spans="28:31">
      <c r="AB496" s="215">
        <v>495</v>
      </c>
      <c r="AC496" s="35" t="s">
        <v>1367</v>
      </c>
      <c r="AD496" s="33" t="s">
        <v>1368</v>
      </c>
      <c r="AE496" s="37" t="str">
        <f t="shared" si="19"/>
        <v>PHC0684-85-1:Mr. Sohrab Ahmad</v>
      </c>
    </row>
    <row r="497" spans="28:31" ht="30">
      <c r="AB497" s="215">
        <v>496</v>
      </c>
      <c r="AC497" s="35" t="s">
        <v>1369</v>
      </c>
      <c r="AD497" s="33" t="s">
        <v>1370</v>
      </c>
      <c r="AE497" s="37" t="str">
        <f t="shared" si="19"/>
        <v>PHC0685-88-1:Mr. Muhammad Zeeshan Uddin</v>
      </c>
    </row>
    <row r="498" spans="28:31">
      <c r="AB498" s="215">
        <v>497</v>
      </c>
      <c r="AC498" s="35" t="s">
        <v>1371</v>
      </c>
      <c r="AD498" s="33" t="s">
        <v>954</v>
      </c>
      <c r="AE498" s="37" t="str">
        <f t="shared" si="19"/>
        <v>PHC0686-88-1:Mr. Sheraz Khan</v>
      </c>
    </row>
    <row r="499" spans="28:31">
      <c r="AB499" s="215">
        <v>498</v>
      </c>
      <c r="AC499" s="35" t="s">
        <v>1372</v>
      </c>
      <c r="AD499" s="33" t="s">
        <v>1373</v>
      </c>
      <c r="AE499" s="37" t="str">
        <f t="shared" si="19"/>
        <v>PHC0687-90-1:Mr. Shahab Faheem</v>
      </c>
    </row>
    <row r="500" spans="28:31">
      <c r="AB500" s="215">
        <v>499</v>
      </c>
      <c r="AC500" s="35" t="s">
        <v>1374</v>
      </c>
      <c r="AD500" s="33" t="s">
        <v>1375</v>
      </c>
      <c r="AE500" s="37" t="str">
        <f t="shared" si="19"/>
        <v>PHC0688-90-1:Mr. Imran Akbar Khan</v>
      </c>
    </row>
    <row r="501" spans="28:31">
      <c r="AB501" s="215">
        <v>500</v>
      </c>
      <c r="AC501" s="35" t="s">
        <v>1376</v>
      </c>
      <c r="AD501" s="33" t="s">
        <v>1377</v>
      </c>
      <c r="AE501" s="37" t="str">
        <f t="shared" si="19"/>
        <v>PHC0689-89-1:Mr. Naseem Ullah</v>
      </c>
    </row>
    <row r="502" spans="28:31">
      <c r="AB502" s="215">
        <v>501</v>
      </c>
      <c r="AC502" s="35" t="s">
        <v>1378</v>
      </c>
      <c r="AD502" s="33" t="s">
        <v>1379</v>
      </c>
      <c r="AE502" s="37" t="str">
        <f t="shared" si="19"/>
        <v>PHC0690-89-1:Mr. Abdullah Qazi</v>
      </c>
    </row>
    <row r="503" spans="28:31">
      <c r="AB503" s="215">
        <v>502</v>
      </c>
      <c r="AC503" s="35" t="s">
        <v>1380</v>
      </c>
      <c r="AD503" s="33" t="s">
        <v>1381</v>
      </c>
      <c r="AE503" s="37" t="str">
        <f t="shared" si="19"/>
        <v>PHC0691-89-1:Mr. Haroon ur Rashid</v>
      </c>
    </row>
    <row r="504" spans="28:31">
      <c r="AB504" s="215">
        <v>503</v>
      </c>
      <c r="AC504" s="35" t="s">
        <v>1382</v>
      </c>
      <c r="AD504" s="33" t="s">
        <v>1383</v>
      </c>
      <c r="AE504" s="37" t="str">
        <f t="shared" si="19"/>
        <v>PHC0692-85-1:Mr. Imtiaz Ullah Khan</v>
      </c>
    </row>
    <row r="505" spans="28:31">
      <c r="AB505" s="215">
        <v>504</v>
      </c>
      <c r="AC505" s="35" t="s">
        <v>1384</v>
      </c>
      <c r="AD505" s="33" t="s">
        <v>1385</v>
      </c>
      <c r="AE505" s="37" t="str">
        <f t="shared" si="19"/>
        <v>PHC0693-90-1:Mr. Imran Ahmad</v>
      </c>
    </row>
    <row r="506" spans="28:31">
      <c r="AB506" s="215">
        <v>505</v>
      </c>
      <c r="AC506" s="35" t="s">
        <v>1386</v>
      </c>
      <c r="AD506" s="33" t="s">
        <v>1387</v>
      </c>
      <c r="AE506" s="37" t="str">
        <f t="shared" si="19"/>
        <v>PHC0694-91-1:Ms. Sidra Younas</v>
      </c>
    </row>
    <row r="507" spans="28:31">
      <c r="AB507" s="215">
        <v>506</v>
      </c>
      <c r="AC507" s="35" t="s">
        <v>1388</v>
      </c>
      <c r="AD507" s="33" t="s">
        <v>1389</v>
      </c>
      <c r="AE507" s="37" t="str">
        <f t="shared" si="19"/>
        <v>PHC0695-85-1:Mr. Aziz Junaid</v>
      </c>
    </row>
    <row r="508" spans="28:31">
      <c r="AB508" s="215">
        <v>507</v>
      </c>
      <c r="AC508" s="35" t="s">
        <v>1390</v>
      </c>
      <c r="AD508" s="33" t="s">
        <v>850</v>
      </c>
      <c r="AE508" s="37" t="str">
        <f t="shared" si="19"/>
        <v>PHC0696-90-1:Mr. Shah Faisal</v>
      </c>
    </row>
    <row r="509" spans="28:31">
      <c r="AB509" s="215">
        <v>508</v>
      </c>
      <c r="AC509" s="35" t="s">
        <v>1391</v>
      </c>
      <c r="AD509" s="33" t="s">
        <v>870</v>
      </c>
      <c r="AE509" s="37" t="str">
        <f t="shared" si="19"/>
        <v>PHC0697-87-1:Mr. Iftikhar Ahmad</v>
      </c>
    </row>
    <row r="510" spans="28:31">
      <c r="AB510" s="215">
        <v>509</v>
      </c>
      <c r="AC510" s="35" t="s">
        <v>1392</v>
      </c>
      <c r="AD510" s="33" t="s">
        <v>1393</v>
      </c>
      <c r="AE510" s="37" t="str">
        <f t="shared" si="19"/>
        <v>PHC0698-91-1:Mr. Badar Riaz</v>
      </c>
    </row>
    <row r="511" spans="28:31">
      <c r="AB511" s="215">
        <v>510</v>
      </c>
      <c r="AC511" s="35" t="s">
        <v>1394</v>
      </c>
      <c r="AD511" s="33" t="s">
        <v>1395</v>
      </c>
      <c r="AE511" s="37" t="str">
        <f t="shared" si="19"/>
        <v>PHC0699-89-1:Ms. Brakhna Hameed</v>
      </c>
    </row>
    <row r="512" spans="28:31">
      <c r="AB512" s="215">
        <v>511</v>
      </c>
      <c r="AC512" s="35" t="s">
        <v>1396</v>
      </c>
      <c r="AD512" s="33" t="s">
        <v>1397</v>
      </c>
      <c r="AE512" s="37" t="str">
        <f t="shared" si="19"/>
        <v>PHC0700-86-1:Mr. Jebran Khan</v>
      </c>
    </row>
    <row r="513" spans="28:31">
      <c r="AB513" s="215">
        <v>512</v>
      </c>
      <c r="AC513" s="35" t="s">
        <v>1398</v>
      </c>
      <c r="AD513" s="33" t="s">
        <v>1399</v>
      </c>
      <c r="AE513" s="37" t="str">
        <f t="shared" si="19"/>
        <v>PHC0701-91-1:Mr. Akhter Iqbal Khan</v>
      </c>
    </row>
    <row r="514" spans="28:31">
      <c r="AB514" s="215">
        <v>513</v>
      </c>
      <c r="AC514" s="35" t="s">
        <v>1400</v>
      </c>
      <c r="AD514" s="33" t="s">
        <v>1401</v>
      </c>
      <c r="AE514" s="37" t="str">
        <f t="shared" si="19"/>
        <v>PHC0702-90-1:Mr. Ajaz ul Haq</v>
      </c>
    </row>
    <row r="515" spans="28:31">
      <c r="AB515" s="215">
        <v>514</v>
      </c>
      <c r="AC515" s="35" t="s">
        <v>1402</v>
      </c>
      <c r="AD515" s="33" t="s">
        <v>1403</v>
      </c>
      <c r="AE515" s="37" t="str">
        <f t="shared" ref="AE515:AE555" si="20">CONCATENATE(AC515,":",AD515)</f>
        <v>PHC0703-88-1:Mr. Abid-ur-Rahim</v>
      </c>
    </row>
    <row r="516" spans="28:31">
      <c r="AB516" s="215">
        <v>515</v>
      </c>
      <c r="AC516" s="35" t="s">
        <v>1404</v>
      </c>
      <c r="AD516" s="33" t="s">
        <v>1405</v>
      </c>
      <c r="AE516" s="37" t="str">
        <f t="shared" si="20"/>
        <v>PHC0704-90-1:Mr. Kaleem Ullah</v>
      </c>
    </row>
    <row r="517" spans="28:31">
      <c r="AB517" s="215">
        <v>516</v>
      </c>
      <c r="AC517" s="35" t="s">
        <v>1406</v>
      </c>
      <c r="AD517" s="33" t="s">
        <v>1407</v>
      </c>
      <c r="AE517" s="37" t="str">
        <f t="shared" si="20"/>
        <v>PHC0705-85-1:Mr. Gul Muhammad</v>
      </c>
    </row>
    <row r="518" spans="28:31">
      <c r="AB518" s="215">
        <v>517</v>
      </c>
      <c r="AC518" s="35" t="s">
        <v>1408</v>
      </c>
      <c r="AD518" s="33" t="s">
        <v>1409</v>
      </c>
      <c r="AE518" s="37" t="str">
        <f t="shared" si="20"/>
        <v>PHC0706-86-1:Mr. Sulaiman Khan</v>
      </c>
    </row>
    <row r="519" spans="28:31">
      <c r="AB519" s="215">
        <v>518</v>
      </c>
      <c r="AC519" s="35" t="s">
        <v>1410</v>
      </c>
      <c r="AD519" s="33" t="s">
        <v>1411</v>
      </c>
      <c r="AE519" s="37" t="str">
        <f t="shared" si="20"/>
        <v>PHC0707-91-1:Mr. Muhammad Rafiq</v>
      </c>
    </row>
    <row r="520" spans="28:31">
      <c r="AB520" s="215">
        <v>519</v>
      </c>
      <c r="AC520" s="35" t="s">
        <v>1412</v>
      </c>
      <c r="AD520" s="33" t="s">
        <v>1413</v>
      </c>
      <c r="AE520" s="37" t="str">
        <f t="shared" si="20"/>
        <v>PHC0708-90-1:Ms. Shahana</v>
      </c>
    </row>
    <row r="521" spans="28:31">
      <c r="AB521" s="215">
        <v>520</v>
      </c>
      <c r="AC521" s="35" t="s">
        <v>1414</v>
      </c>
      <c r="AD521" s="33" t="s">
        <v>1415</v>
      </c>
      <c r="AE521" s="37" t="str">
        <f t="shared" si="20"/>
        <v>PHC0709-87-1:Ms. Faiza Malik</v>
      </c>
    </row>
    <row r="522" spans="28:31">
      <c r="AB522" s="215">
        <v>521</v>
      </c>
      <c r="AC522" s="35" t="s">
        <v>1416</v>
      </c>
      <c r="AD522" s="33" t="s">
        <v>1417</v>
      </c>
      <c r="AE522" s="37" t="str">
        <f t="shared" si="20"/>
        <v>PHC0710-88-1:Ms. Faryal Khan Khalil</v>
      </c>
    </row>
    <row r="523" spans="28:31">
      <c r="AB523" s="215">
        <v>522</v>
      </c>
      <c r="AC523" s="35" t="s">
        <v>1418</v>
      </c>
      <c r="AD523" s="33" t="s">
        <v>1419</v>
      </c>
      <c r="AE523" s="37" t="str">
        <f t="shared" si="20"/>
        <v>PHC0711-88-1:Mr. Amir Ali</v>
      </c>
    </row>
    <row r="524" spans="28:31">
      <c r="AB524" s="215">
        <v>523</v>
      </c>
      <c r="AC524" s="35" t="s">
        <v>1420</v>
      </c>
      <c r="AD524" s="33" t="s">
        <v>1421</v>
      </c>
      <c r="AE524" s="37" t="str">
        <f t="shared" si="20"/>
        <v>PHC0712-85-1:Mr. Sheeraz Akbar</v>
      </c>
    </row>
    <row r="525" spans="28:31">
      <c r="AB525" s="215">
        <v>524</v>
      </c>
      <c r="AC525" s="35" t="s">
        <v>1422</v>
      </c>
      <c r="AD525" s="33" t="s">
        <v>1423</v>
      </c>
      <c r="AE525" s="37" t="str">
        <f t="shared" si="20"/>
        <v>PHC0713-88-1:Ms. Aqsa Bibi</v>
      </c>
    </row>
    <row r="526" spans="28:31">
      <c r="AB526" s="215">
        <v>525</v>
      </c>
      <c r="AC526" s="35" t="s">
        <v>1424</v>
      </c>
      <c r="AD526" s="33" t="s">
        <v>1425</v>
      </c>
      <c r="AE526" s="37" t="str">
        <f t="shared" si="20"/>
        <v>PHC0714-88-1:Mr. Muhammad Kamil</v>
      </c>
    </row>
    <row r="527" spans="28:31">
      <c r="AB527" s="215">
        <v>526</v>
      </c>
      <c r="AC527" s="35" t="s">
        <v>1426</v>
      </c>
      <c r="AD527" s="33" t="s">
        <v>1427</v>
      </c>
      <c r="AE527" s="37" t="str">
        <f t="shared" si="20"/>
        <v>PHC0715-88-1:Ms. Palwasha Reema</v>
      </c>
    </row>
    <row r="528" spans="28:31">
      <c r="AB528" s="215">
        <v>527</v>
      </c>
      <c r="AC528" s="35" t="s">
        <v>1428</v>
      </c>
      <c r="AD528" s="33" t="s">
        <v>1429</v>
      </c>
      <c r="AE528" s="37" t="str">
        <f t="shared" si="20"/>
        <v>PHC0716-90-1:Ms. Mehnaz Khan</v>
      </c>
    </row>
    <row r="529" spans="28:31">
      <c r="AB529" s="215">
        <v>528</v>
      </c>
      <c r="AC529" s="35" t="s">
        <v>1430</v>
      </c>
      <c r="AD529" s="33" t="s">
        <v>1431</v>
      </c>
      <c r="AE529" s="37" t="str">
        <f t="shared" si="20"/>
        <v>PHC0717-91-1:Ms. Sadia Bibi</v>
      </c>
    </row>
    <row r="530" spans="28:31">
      <c r="AB530" s="215">
        <v>529</v>
      </c>
      <c r="AC530" s="35" t="s">
        <v>1432</v>
      </c>
      <c r="AD530" s="33" t="s">
        <v>1433</v>
      </c>
      <c r="AE530" s="37" t="str">
        <f t="shared" si="20"/>
        <v>PHC0718-89-1:Mr. Muhammad Umair</v>
      </c>
    </row>
    <row r="531" spans="28:31">
      <c r="AB531" s="215">
        <v>530</v>
      </c>
      <c r="AC531" s="35" t="s">
        <v>1434</v>
      </c>
      <c r="AD531" s="33" t="s">
        <v>1435</v>
      </c>
      <c r="AE531" s="37" t="str">
        <f t="shared" si="20"/>
        <v>PHC0719-83-1:Mr. Arshad Saeed</v>
      </c>
    </row>
    <row r="532" spans="28:31">
      <c r="AB532" s="215">
        <v>531</v>
      </c>
      <c r="AC532" s="35" t="s">
        <v>1436</v>
      </c>
      <c r="AD532" s="33" t="s">
        <v>1437</v>
      </c>
      <c r="AE532" s="37" t="str">
        <f t="shared" si="20"/>
        <v>PHC0720-88-1:Mr. Sajjad Khan</v>
      </c>
    </row>
    <row r="533" spans="28:31" ht="30">
      <c r="AB533" s="215">
        <v>532</v>
      </c>
      <c r="AC533" s="35" t="s">
        <v>1438</v>
      </c>
      <c r="AD533" s="33" t="s">
        <v>1439</v>
      </c>
      <c r="AE533" s="37" t="str">
        <f t="shared" si="20"/>
        <v>PHC0721-91-1:Ms. Christina Zeb Ul Nisa Feroz</v>
      </c>
    </row>
    <row r="534" spans="28:31">
      <c r="AB534" s="215">
        <v>533</v>
      </c>
      <c r="AC534" s="35" t="s">
        <v>1440</v>
      </c>
      <c r="AD534" s="33" t="s">
        <v>1441</v>
      </c>
      <c r="AE534" s="37" t="str">
        <f t="shared" si="20"/>
        <v>PHC0723-87-1:Ms. Tazeen Wisal</v>
      </c>
    </row>
    <row r="535" spans="28:31">
      <c r="AB535" s="215">
        <v>534</v>
      </c>
      <c r="AC535" s="35" t="s">
        <v>1442</v>
      </c>
      <c r="AD535" s="33" t="s">
        <v>1443</v>
      </c>
      <c r="AE535" s="37" t="str">
        <f t="shared" si="20"/>
        <v>PHC0724-91-1:Ms. Ayesha Jadoon</v>
      </c>
    </row>
    <row r="536" spans="28:31">
      <c r="AB536" s="215">
        <v>535</v>
      </c>
      <c r="AC536" s="35" t="s">
        <v>1444</v>
      </c>
      <c r="AD536" s="33" t="s">
        <v>1445</v>
      </c>
      <c r="AE536" s="37" t="str">
        <f t="shared" si="20"/>
        <v>PHC0725-88-1:Ms. Sehrish Saeed</v>
      </c>
    </row>
    <row r="537" spans="28:31">
      <c r="AB537" s="215">
        <v>536</v>
      </c>
      <c r="AC537" s="35" t="s">
        <v>1446</v>
      </c>
      <c r="AD537" s="33" t="s">
        <v>1447</v>
      </c>
      <c r="AE537" s="37" t="str">
        <f t="shared" si="20"/>
        <v>PHC0726-92-1:Ms. Ayesha Siddique</v>
      </c>
    </row>
    <row r="538" spans="28:31">
      <c r="AB538" s="215">
        <v>537</v>
      </c>
      <c r="AC538" s="35" t="s">
        <v>1448</v>
      </c>
      <c r="AD538" s="33" t="s">
        <v>1449</v>
      </c>
      <c r="AE538" s="37" t="str">
        <f t="shared" si="20"/>
        <v>PHC0727-93-1:Mr. Waqar Saeed</v>
      </c>
    </row>
    <row r="539" spans="28:31">
      <c r="AB539" s="215">
        <v>538</v>
      </c>
      <c r="AC539" s="35" t="s">
        <v>1450</v>
      </c>
      <c r="AD539" s="33" t="s">
        <v>1451</v>
      </c>
      <c r="AE539" s="37" t="str">
        <f t="shared" si="20"/>
        <v>PHC0728-89-1:Ms. Ammara Tabassum</v>
      </c>
    </row>
    <row r="540" spans="28:31">
      <c r="AB540" s="215">
        <v>539</v>
      </c>
      <c r="AC540" s="35" t="s">
        <v>1452</v>
      </c>
      <c r="AD540" s="33" t="s">
        <v>779</v>
      </c>
      <c r="AE540" s="37" t="str">
        <f t="shared" si="20"/>
        <v>PHC0729-85-1:Mr. Muhammad Ishaq</v>
      </c>
    </row>
    <row r="541" spans="28:31">
      <c r="AB541" s="215">
        <v>540</v>
      </c>
      <c r="AC541" s="35" t="s">
        <v>1453</v>
      </c>
      <c r="AD541" s="33" t="s">
        <v>1454</v>
      </c>
      <c r="AE541" s="37" t="str">
        <f t="shared" si="20"/>
        <v>PHC0730-91-1:Mr. Yousaf Shah</v>
      </c>
    </row>
    <row r="542" spans="28:31">
      <c r="AB542" s="215">
        <v>541</v>
      </c>
      <c r="AC542" s="35" t="s">
        <v>1455</v>
      </c>
      <c r="AD542" s="33" t="s">
        <v>1456</v>
      </c>
      <c r="AE542" s="37" t="str">
        <f t="shared" si="20"/>
        <v>PHC0731-88-1:Ms. Pawan Waheed Awan</v>
      </c>
    </row>
    <row r="543" spans="28:31">
      <c r="AB543" s="215">
        <v>542</v>
      </c>
      <c r="AC543" s="35" t="s">
        <v>1457</v>
      </c>
      <c r="AD543" s="33" t="s">
        <v>1458</v>
      </c>
      <c r="AE543" s="37" t="str">
        <f t="shared" si="20"/>
        <v>PHC0732-90-1:Ms. Anum Zeb</v>
      </c>
    </row>
    <row r="544" spans="28:31">
      <c r="AB544" s="215">
        <v>543</v>
      </c>
      <c r="AC544" s="35" t="s">
        <v>1459</v>
      </c>
      <c r="AD544" s="33" t="s">
        <v>1460</v>
      </c>
      <c r="AE544" s="37" t="str">
        <f t="shared" si="20"/>
        <v>PHC0733-87-1:Mr. Altaf Muhammad Khan</v>
      </c>
    </row>
    <row r="545" spans="28:31">
      <c r="AB545" s="215">
        <v>544</v>
      </c>
      <c r="AC545" s="35" t="s">
        <v>1461</v>
      </c>
      <c r="AD545" s="33" t="s">
        <v>1174</v>
      </c>
      <c r="AE545" s="37" t="str">
        <f t="shared" si="20"/>
        <v>PHC0734-90-1:Mr. Tariq Khan</v>
      </c>
    </row>
    <row r="546" spans="28:31">
      <c r="AB546" s="215">
        <v>545</v>
      </c>
      <c r="AC546" s="35" t="s">
        <v>1462</v>
      </c>
      <c r="AD546" s="33" t="s">
        <v>1463</v>
      </c>
      <c r="AE546" s="37" t="str">
        <f t="shared" si="20"/>
        <v>PHC0735-91-1:Ms. Hajra Arsh</v>
      </c>
    </row>
    <row r="547" spans="28:31">
      <c r="AB547" s="215">
        <v>546</v>
      </c>
      <c r="AC547" s="35" t="s">
        <v>1464</v>
      </c>
      <c r="AD547" s="33" t="s">
        <v>1465</v>
      </c>
      <c r="AE547" s="37" t="str">
        <f t="shared" si="20"/>
        <v>PHC0736-92-1:Ms. Ayesha Obaid Ullah</v>
      </c>
    </row>
    <row r="548" spans="28:31">
      <c r="AB548" s="215">
        <v>547</v>
      </c>
      <c r="AC548" s="35" t="s">
        <v>1466</v>
      </c>
      <c r="AD548" s="33" t="s">
        <v>1467</v>
      </c>
      <c r="AE548" s="37" t="str">
        <f t="shared" si="20"/>
        <v>PHC0737-89-1:Ms. Tarana</v>
      </c>
    </row>
    <row r="549" spans="28:31">
      <c r="AB549" s="215">
        <v>548</v>
      </c>
      <c r="AC549" s="35" t="s">
        <v>1468</v>
      </c>
      <c r="AD549" s="33" t="s">
        <v>1469</v>
      </c>
      <c r="AE549" s="37" t="str">
        <f t="shared" si="20"/>
        <v>PHC0738-91-1:Mr. Muhammad Tayyab</v>
      </c>
    </row>
    <row r="550" spans="28:31">
      <c r="AB550" s="215">
        <v>549</v>
      </c>
      <c r="AC550" s="35" t="s">
        <v>1470</v>
      </c>
      <c r="AD550" s="33" t="s">
        <v>1471</v>
      </c>
      <c r="AE550" s="37" t="str">
        <f t="shared" si="20"/>
        <v>PHC0739-92-1:Mr. Khursheed Khan</v>
      </c>
    </row>
    <row r="551" spans="28:31">
      <c r="AB551" s="215">
        <v>550</v>
      </c>
      <c r="AC551" s="35" t="s">
        <v>1472</v>
      </c>
      <c r="AD551" s="33" t="s">
        <v>1473</v>
      </c>
      <c r="AE551" s="37" t="str">
        <f t="shared" si="20"/>
        <v>PHC0740-89-1:Mr. Ziaullah Khan</v>
      </c>
    </row>
    <row r="552" spans="28:31">
      <c r="AB552" s="215">
        <v>551</v>
      </c>
      <c r="AC552" s="35" t="s">
        <v>1474</v>
      </c>
      <c r="AD552" s="33" t="s">
        <v>1475</v>
      </c>
      <c r="AE552" s="37" t="str">
        <f t="shared" si="20"/>
        <v>PHC0741-86-1:Mr. Abdul Ghaffar Khan</v>
      </c>
    </row>
    <row r="553" spans="28:31">
      <c r="AB553" s="215">
        <v>552</v>
      </c>
      <c r="AC553" s="35" t="s">
        <v>1476</v>
      </c>
      <c r="AD553" s="33" t="s">
        <v>1477</v>
      </c>
      <c r="AE553" s="37" t="str">
        <f t="shared" si="20"/>
        <v>PHC0742-91-1:Ms. Noor ul Ain Malik</v>
      </c>
    </row>
    <row r="554" spans="28:31">
      <c r="AB554" s="215">
        <v>553</v>
      </c>
      <c r="AC554" s="35" t="s">
        <v>1478</v>
      </c>
      <c r="AD554" s="33" t="s">
        <v>1479</v>
      </c>
      <c r="AE554" s="37" t="str">
        <f t="shared" si="20"/>
        <v>PHC0743-91-1:Mr. Farqaleet Hassan</v>
      </c>
    </row>
    <row r="555" spans="28:31">
      <c r="AB555" s="215">
        <v>554</v>
      </c>
      <c r="AC555" s="35" t="s">
        <v>1480</v>
      </c>
      <c r="AD555" s="33" t="s">
        <v>1481</v>
      </c>
      <c r="AE555" s="37" t="str">
        <f t="shared" si="20"/>
        <v>PHC0744-89-1:Mr. Muhammad Adil</v>
      </c>
    </row>
    <row r="556" spans="28:31">
      <c r="AB556" s="215">
        <v>555</v>
      </c>
      <c r="AC556" s="93" t="s">
        <v>2042</v>
      </c>
      <c r="AD556" s="33" t="s">
        <v>2043</v>
      </c>
      <c r="AE556" s="353" t="str">
        <f>CONCATENATE(AC556,":",AD556)</f>
        <v>PHC0344-79-1:Mr. Asghar Ali Sarlarzai</v>
      </c>
    </row>
    <row r="557" spans="28:31">
      <c r="AB557" s="215">
        <v>556</v>
      </c>
      <c r="AC557" s="93" t="s">
        <v>2044</v>
      </c>
      <c r="AD557" s="33" t="s">
        <v>2045</v>
      </c>
      <c r="AE557" s="353" t="str">
        <f>CONCATENATE(AC557,":",AD557)</f>
        <v>PHC0142-71-1:Mr. Zahid Mehmood</v>
      </c>
    </row>
    <row r="558" spans="28:31">
      <c r="AB558" s="215">
        <v>557</v>
      </c>
      <c r="AC558" s="33" t="s">
        <v>2046</v>
      </c>
      <c r="AD558" s="33" t="s">
        <v>2047</v>
      </c>
      <c r="AE558" s="353" t="str">
        <f t="shared" ref="AE558:AE621" si="21">CONCATENATE(AC558,":",AD558)</f>
        <v>PHC0745-93-1:Mr. Abdul Basit</v>
      </c>
    </row>
    <row r="559" spans="28:31">
      <c r="AB559" s="215">
        <v>558</v>
      </c>
      <c r="AC559" s="33" t="s">
        <v>2048</v>
      </c>
      <c r="AD559" s="33" t="s">
        <v>2049</v>
      </c>
      <c r="AE559" s="353" t="str">
        <f t="shared" si="21"/>
        <v>PHC0746-91-1:Mr. Abdul Majid Afridi</v>
      </c>
    </row>
    <row r="560" spans="28:31">
      <c r="AB560" s="215">
        <v>559</v>
      </c>
      <c r="AC560" s="33" t="s">
        <v>2050</v>
      </c>
      <c r="AD560" s="33" t="s">
        <v>2051</v>
      </c>
      <c r="AE560" s="353" t="str">
        <f t="shared" si="21"/>
        <v>PHC0747-87-1:Mr. Abdul Sattar Khan</v>
      </c>
    </row>
    <row r="561" spans="28:31">
      <c r="AB561" s="215">
        <v>560</v>
      </c>
      <c r="AC561" s="33" t="s">
        <v>2052</v>
      </c>
      <c r="AD561" s="33" t="s">
        <v>2053</v>
      </c>
      <c r="AE561" s="353" t="str">
        <f t="shared" si="21"/>
        <v>PHC0748-88-1:Mr. Abid Hayat Safi</v>
      </c>
    </row>
    <row r="562" spans="28:31">
      <c r="AB562" s="215">
        <v>561</v>
      </c>
      <c r="AC562" s="33" t="s">
        <v>2054</v>
      </c>
      <c r="AD562" s="33" t="s">
        <v>2055</v>
      </c>
      <c r="AE562" s="353" t="str">
        <f t="shared" si="21"/>
        <v>PHC0749-93-1:Ms. Afsheen</v>
      </c>
    </row>
    <row r="563" spans="28:31">
      <c r="AB563" s="215">
        <v>562</v>
      </c>
      <c r="AC563" s="33" t="s">
        <v>2056</v>
      </c>
      <c r="AD563" s="33" t="s">
        <v>2057</v>
      </c>
      <c r="AE563" s="353" t="str">
        <f t="shared" si="21"/>
        <v>PHC0750-92-1:Mr. Ahmad Daniyal Tanoli</v>
      </c>
    </row>
    <row r="564" spans="28:31">
      <c r="AB564" s="215">
        <v>563</v>
      </c>
      <c r="AC564" s="33" t="s">
        <v>2058</v>
      </c>
      <c r="AD564" s="33" t="s">
        <v>2059</v>
      </c>
      <c r="AE564" s="353" t="str">
        <f t="shared" si="21"/>
        <v>PHC0751-89-1:Mr. Ahmad Rasheed</v>
      </c>
    </row>
    <row r="565" spans="28:31">
      <c r="AB565" s="215">
        <v>564</v>
      </c>
      <c r="AC565" s="33" t="s">
        <v>2060</v>
      </c>
      <c r="AD565" s="33" t="s">
        <v>2061</v>
      </c>
      <c r="AE565" s="353" t="str">
        <f t="shared" si="21"/>
        <v>PHC0752-92-1:Mr. Aitezad Hassan</v>
      </c>
    </row>
    <row r="566" spans="28:31">
      <c r="AB566" s="215">
        <v>565</v>
      </c>
      <c r="AC566" s="33" t="s">
        <v>2062</v>
      </c>
      <c r="AD566" s="33" t="s">
        <v>2063</v>
      </c>
      <c r="AE566" s="353" t="str">
        <f t="shared" si="21"/>
        <v>PHC0753-91-1:Mr. Amjad Ali</v>
      </c>
    </row>
    <row r="567" spans="28:31">
      <c r="AB567" s="215">
        <v>566</v>
      </c>
      <c r="AC567" s="33" t="s">
        <v>2064</v>
      </c>
      <c r="AD567" s="33" t="s">
        <v>2065</v>
      </c>
      <c r="AE567" s="353" t="str">
        <f t="shared" si="21"/>
        <v>PHC0754-93-1:Mr. Aqib Aman</v>
      </c>
    </row>
    <row r="568" spans="28:31">
      <c r="AB568" s="215">
        <v>567</v>
      </c>
      <c r="AC568" s="33" t="s">
        <v>2066</v>
      </c>
      <c r="AD568" s="33" t="s">
        <v>2067</v>
      </c>
      <c r="AE568" s="353" t="str">
        <f t="shared" si="21"/>
        <v>PHC0755-93-1:Mr. Arsalan Uddin Ahmad</v>
      </c>
    </row>
    <row r="569" spans="28:31">
      <c r="AB569" s="215">
        <v>568</v>
      </c>
      <c r="AC569" s="33" t="s">
        <v>2068</v>
      </c>
      <c r="AD569" s="33" t="s">
        <v>2069</v>
      </c>
      <c r="AE569" s="353" t="str">
        <f t="shared" si="21"/>
        <v>PHC0756-92-1:Mr. Arshad Ali Khan</v>
      </c>
    </row>
    <row r="570" spans="28:31">
      <c r="AB570" s="215">
        <v>569</v>
      </c>
      <c r="AC570" s="33" t="s">
        <v>2070</v>
      </c>
      <c r="AD570" s="33" t="s">
        <v>2071</v>
      </c>
      <c r="AE570" s="353" t="str">
        <f t="shared" si="21"/>
        <v>PHC0757-94-1:Mr. Asim Khan</v>
      </c>
    </row>
    <row r="571" spans="28:31">
      <c r="AB571" s="215">
        <v>570</v>
      </c>
      <c r="AC571" s="33" t="s">
        <v>2072</v>
      </c>
      <c r="AD571" s="33" t="s">
        <v>2073</v>
      </c>
      <c r="AE571" s="353" t="str">
        <f t="shared" si="21"/>
        <v>PHC0758-93-1:Ms. Asma Farooq</v>
      </c>
    </row>
    <row r="572" spans="28:31">
      <c r="AB572" s="215">
        <v>571</v>
      </c>
      <c r="AC572" s="33" t="s">
        <v>2074</v>
      </c>
      <c r="AD572" s="33" t="s">
        <v>2075</v>
      </c>
      <c r="AE572" s="353" t="str">
        <f t="shared" si="21"/>
        <v>PHC0759-92-1:Mr. Aziz Ullah</v>
      </c>
    </row>
    <row r="573" spans="28:31">
      <c r="AB573" s="215">
        <v>572</v>
      </c>
      <c r="AC573" s="33" t="s">
        <v>2076</v>
      </c>
      <c r="AD573" s="33" t="s">
        <v>2077</v>
      </c>
      <c r="AE573" s="353" t="str">
        <f t="shared" si="21"/>
        <v>PHC0760-89-1:Mr. Fahim Ahmad</v>
      </c>
    </row>
    <row r="574" spans="28:31">
      <c r="AB574" s="215">
        <v>573</v>
      </c>
      <c r="AC574" s="33" t="s">
        <v>2078</v>
      </c>
      <c r="AD574" s="33" t="s">
        <v>2079</v>
      </c>
      <c r="AE574" s="353" t="str">
        <f t="shared" si="21"/>
        <v>PHC0761-89-1:Ms. Farkhanda Shaheen</v>
      </c>
    </row>
    <row r="575" spans="28:31">
      <c r="AB575" s="215">
        <v>574</v>
      </c>
      <c r="AC575" s="33" t="s">
        <v>2080</v>
      </c>
      <c r="AD575" s="33" t="s">
        <v>2081</v>
      </c>
      <c r="AE575" s="353" t="str">
        <f t="shared" si="21"/>
        <v>PHC0762-92-1:Mr. Fasih ur Rehman</v>
      </c>
    </row>
    <row r="576" spans="28:31">
      <c r="AB576" s="215">
        <v>575</v>
      </c>
      <c r="AC576" s="33" t="s">
        <v>2082</v>
      </c>
      <c r="AD576" s="33" t="s">
        <v>2083</v>
      </c>
      <c r="AE576" s="353" t="str">
        <f t="shared" si="21"/>
        <v>PHC0763-94-1:Ms. Hafsa</v>
      </c>
    </row>
    <row r="577" spans="28:31">
      <c r="AB577" s="215">
        <v>576</v>
      </c>
      <c r="AC577" s="33" t="s">
        <v>2084</v>
      </c>
      <c r="AD577" s="33" t="s">
        <v>2085</v>
      </c>
      <c r="AE577" s="353" t="str">
        <f t="shared" si="21"/>
        <v>PHC0764-91-1:Ms. Hira Khurshid</v>
      </c>
    </row>
    <row r="578" spans="28:31">
      <c r="AB578" s="215">
        <v>577</v>
      </c>
      <c r="AC578" s="33" t="s">
        <v>2086</v>
      </c>
      <c r="AD578" s="33" t="s">
        <v>2087</v>
      </c>
      <c r="AE578" s="353" t="str">
        <f t="shared" si="21"/>
        <v>PHC0765-94-1:Mr. Ihsan Khan</v>
      </c>
    </row>
    <row r="579" spans="28:31">
      <c r="AB579" s="215">
        <v>578</v>
      </c>
      <c r="AC579" s="33" t="s">
        <v>2088</v>
      </c>
      <c r="AD579" s="33" t="s">
        <v>2089</v>
      </c>
      <c r="AE579" s="353" t="str">
        <f t="shared" si="21"/>
        <v>PHC0766-93-1:Mr. Ihtisham ul Haq</v>
      </c>
    </row>
    <row r="580" spans="28:31">
      <c r="AB580" s="215">
        <v>579</v>
      </c>
      <c r="AC580" s="33" t="s">
        <v>2090</v>
      </c>
      <c r="AD580" s="33" t="s">
        <v>2091</v>
      </c>
      <c r="AE580" s="353" t="str">
        <f t="shared" si="21"/>
        <v>PHC0767-87-1:Mr. Jawad Bin Daud</v>
      </c>
    </row>
    <row r="581" spans="28:31">
      <c r="AB581" s="215">
        <v>580</v>
      </c>
      <c r="AC581" s="33" t="s">
        <v>2092</v>
      </c>
      <c r="AD581" s="33" t="s">
        <v>2093</v>
      </c>
      <c r="AE581" s="353" t="str">
        <f t="shared" si="21"/>
        <v>PHC0768-92-1:Mr. Kashif Ali Said</v>
      </c>
    </row>
    <row r="582" spans="28:31">
      <c r="AB582" s="215">
        <v>581</v>
      </c>
      <c r="AC582" s="33" t="s">
        <v>2094</v>
      </c>
      <c r="AD582" s="33" t="s">
        <v>2095</v>
      </c>
      <c r="AE582" s="353" t="str">
        <f t="shared" si="21"/>
        <v>PHC0769-94-1:Ms. Khadeja Rehman</v>
      </c>
    </row>
    <row r="583" spans="28:31">
      <c r="AB583" s="215">
        <v>582</v>
      </c>
      <c r="AC583" s="33" t="s">
        <v>2096</v>
      </c>
      <c r="AD583" s="33" t="s">
        <v>2097</v>
      </c>
      <c r="AE583" s="353" t="str">
        <f t="shared" si="21"/>
        <v>PHC0770-92-1:Ms. Khkula</v>
      </c>
    </row>
    <row r="584" spans="28:31">
      <c r="AB584" s="215">
        <v>583</v>
      </c>
      <c r="AC584" s="33" t="s">
        <v>2098</v>
      </c>
      <c r="AD584" s="33" t="s">
        <v>2099</v>
      </c>
      <c r="AE584" s="353" t="str">
        <f t="shared" si="21"/>
        <v>PHC0771-92-1:Ms. Kiran Noor</v>
      </c>
    </row>
    <row r="585" spans="28:31">
      <c r="AB585" s="215">
        <v>584</v>
      </c>
      <c r="AC585" s="33" t="s">
        <v>2100</v>
      </c>
      <c r="AD585" s="33" t="s">
        <v>2101</v>
      </c>
      <c r="AE585" s="353" t="str">
        <f t="shared" si="21"/>
        <v>PHC0772-92-1:Mr. Mahboob ul Hassan</v>
      </c>
    </row>
    <row r="586" spans="28:31">
      <c r="AB586" s="215">
        <v>585</v>
      </c>
      <c r="AC586" s="33" t="s">
        <v>2102</v>
      </c>
      <c r="AD586" s="33" t="s">
        <v>2103</v>
      </c>
      <c r="AE586" s="353" t="str">
        <f t="shared" si="21"/>
        <v>PHC0773-92-1:Mr. Majid Ali Khan</v>
      </c>
    </row>
    <row r="587" spans="28:31">
      <c r="AB587" s="215">
        <v>586</v>
      </c>
      <c r="AC587" s="33" t="s">
        <v>2104</v>
      </c>
      <c r="AD587" s="33" t="s">
        <v>2105</v>
      </c>
      <c r="AE587" s="353" t="str">
        <f t="shared" si="21"/>
        <v>PHC0774-90-1:Ms. Maryam Atta</v>
      </c>
    </row>
    <row r="588" spans="28:31">
      <c r="AB588" s="215">
        <v>587</v>
      </c>
      <c r="AC588" s="33" t="s">
        <v>2106</v>
      </c>
      <c r="AD588" s="33" t="s">
        <v>2107</v>
      </c>
      <c r="AE588" s="353" t="str">
        <f t="shared" si="21"/>
        <v>PHC0775-94-1:Ms. Maryam Mahinoor</v>
      </c>
    </row>
    <row r="589" spans="28:31">
      <c r="AB589" s="215">
        <v>588</v>
      </c>
      <c r="AC589" s="33" t="s">
        <v>2108</v>
      </c>
      <c r="AD589" s="33" t="s">
        <v>2109</v>
      </c>
      <c r="AE589" s="353" t="str">
        <f t="shared" si="21"/>
        <v>PHC0776-89-1:Ms. Maryam Sheheryar</v>
      </c>
    </row>
    <row r="590" spans="28:31">
      <c r="AB590" s="215">
        <v>589</v>
      </c>
      <c r="AC590" s="33" t="s">
        <v>2110</v>
      </c>
      <c r="AD590" s="33" t="s">
        <v>2111</v>
      </c>
      <c r="AE590" s="353" t="str">
        <f t="shared" si="21"/>
        <v>PHC0777-90-1:Ms. Mashal Latif</v>
      </c>
    </row>
    <row r="591" spans="28:31">
      <c r="AB591" s="215">
        <v>590</v>
      </c>
      <c r="AC591" s="33" t="s">
        <v>2112</v>
      </c>
      <c r="AD591" s="33" t="s">
        <v>2113</v>
      </c>
      <c r="AE591" s="353" t="str">
        <f t="shared" si="21"/>
        <v>PHC0778-87-1:Mr. Masroor Nadir Taj</v>
      </c>
    </row>
    <row r="592" spans="28:31">
      <c r="AB592" s="215">
        <v>591</v>
      </c>
      <c r="AC592" s="33" t="s">
        <v>2114</v>
      </c>
      <c r="AD592" s="33" t="s">
        <v>2115</v>
      </c>
      <c r="AE592" s="353" t="str">
        <f t="shared" si="21"/>
        <v>PHC0779-94-1:Mr. Mohsin Tariq Khan</v>
      </c>
    </row>
    <row r="593" spans="28:31">
      <c r="AB593" s="215">
        <v>592</v>
      </c>
      <c r="AC593" s="33" t="s">
        <v>2116</v>
      </c>
      <c r="AD593" s="33" t="s">
        <v>2117</v>
      </c>
      <c r="AE593" s="353" t="str">
        <f t="shared" si="21"/>
        <v>PHC0780-92-1:Mr. Muhammad Ijaz</v>
      </c>
    </row>
    <row r="594" spans="28:31">
      <c r="AB594" s="215">
        <v>593</v>
      </c>
      <c r="AC594" s="33" t="s">
        <v>2118</v>
      </c>
      <c r="AD594" s="33" t="s">
        <v>2119</v>
      </c>
      <c r="AE594" s="353" t="str">
        <f t="shared" si="21"/>
        <v>PHC0781-93-1:Mr. Muhammad Kamal Shah</v>
      </c>
    </row>
    <row r="595" spans="28:31">
      <c r="AB595" s="215">
        <v>594</v>
      </c>
      <c r="AC595" s="33" t="s">
        <v>2120</v>
      </c>
      <c r="AD595" s="33" t="s">
        <v>2121</v>
      </c>
      <c r="AE595" s="353" t="str">
        <f t="shared" si="21"/>
        <v>PHC0782-92-1:Mr. Muhammad Khan</v>
      </c>
    </row>
    <row r="596" spans="28:31" ht="30">
      <c r="AB596" s="215">
        <v>595</v>
      </c>
      <c r="AC596" s="33" t="s">
        <v>2122</v>
      </c>
      <c r="AD596" s="33" t="s">
        <v>2123</v>
      </c>
      <c r="AE596" s="353" t="str">
        <f t="shared" si="21"/>
        <v>PHC0783-89-1:Mr. Muhammad Saifullah Khan</v>
      </c>
    </row>
    <row r="597" spans="28:31" ht="30">
      <c r="AB597" s="215">
        <v>596</v>
      </c>
      <c r="AC597" s="33" t="s">
        <v>2124</v>
      </c>
      <c r="AD597" s="33" t="s">
        <v>2125</v>
      </c>
      <c r="AE597" s="353" t="str">
        <f t="shared" si="21"/>
        <v>PHC0784-88-1:Mr. Muhammad Umair Qasmi</v>
      </c>
    </row>
    <row r="598" spans="28:31">
      <c r="AB598" s="215">
        <v>597</v>
      </c>
      <c r="AC598" s="33" t="s">
        <v>2126</v>
      </c>
      <c r="AD598" s="33" t="s">
        <v>2127</v>
      </c>
      <c r="AE598" s="353" t="str">
        <f t="shared" si="21"/>
        <v>PHC0785-91-1:Ms. Nayab Qayyum</v>
      </c>
    </row>
    <row r="599" spans="28:31">
      <c r="AB599" s="215">
        <v>598</v>
      </c>
      <c r="AC599" s="33" t="s">
        <v>2128</v>
      </c>
      <c r="AD599" s="33" t="s">
        <v>2129</v>
      </c>
      <c r="AE599" s="353" t="str">
        <f t="shared" si="21"/>
        <v>PHC0786-92-1:Ms. Ramla Sehrish Rehman</v>
      </c>
    </row>
    <row r="600" spans="28:31">
      <c r="AB600" s="215">
        <v>599</v>
      </c>
      <c r="AC600" s="33" t="s">
        <v>2130</v>
      </c>
      <c r="AD600" s="33" t="s">
        <v>2131</v>
      </c>
      <c r="AE600" s="353" t="str">
        <f t="shared" si="21"/>
        <v>PHC0787-91-1:Ms. Rehana Ehsan</v>
      </c>
    </row>
    <row r="601" spans="28:31">
      <c r="AB601" s="215">
        <v>600</v>
      </c>
      <c r="AC601" s="33" t="s">
        <v>2132</v>
      </c>
      <c r="AD601" s="33" t="s">
        <v>2133</v>
      </c>
      <c r="AE601" s="353" t="str">
        <f t="shared" si="21"/>
        <v>PHC0788-92-1:Mr. Rizwan Ullah</v>
      </c>
    </row>
    <row r="602" spans="28:31">
      <c r="AB602" s="215">
        <v>601</v>
      </c>
      <c r="AC602" s="33" t="s">
        <v>2134</v>
      </c>
      <c r="AD602" s="33" t="s">
        <v>2135</v>
      </c>
      <c r="AE602" s="353" t="str">
        <f t="shared" si="21"/>
        <v>PHC0789-91-1:Ms. Sadia Ibrahim</v>
      </c>
    </row>
    <row r="603" spans="28:31">
      <c r="AB603" s="215">
        <v>602</v>
      </c>
      <c r="AC603" s="33" t="s">
        <v>2136</v>
      </c>
      <c r="AD603" s="33" t="s">
        <v>2137</v>
      </c>
      <c r="AE603" s="353" t="str">
        <f t="shared" si="21"/>
        <v>PHC0790-94-1:Mr. Safdar Khan</v>
      </c>
    </row>
    <row r="604" spans="28:31">
      <c r="AB604" s="215">
        <v>603</v>
      </c>
      <c r="AC604" s="33" t="s">
        <v>2138</v>
      </c>
      <c r="AD604" s="33" t="s">
        <v>2139</v>
      </c>
      <c r="AE604" s="353" t="str">
        <f t="shared" si="21"/>
        <v>PHC0791-94-1:Mr. Saif ul Islam</v>
      </c>
    </row>
    <row r="605" spans="28:31">
      <c r="AB605" s="215">
        <v>604</v>
      </c>
      <c r="AC605" s="33" t="s">
        <v>2140</v>
      </c>
      <c r="AD605" s="33" t="s">
        <v>2141</v>
      </c>
      <c r="AE605" s="353" t="str">
        <f t="shared" si="21"/>
        <v>PHC0792-90-1:Ms. Saima Ehsan</v>
      </c>
    </row>
    <row r="606" spans="28:31">
      <c r="AB606" s="215">
        <v>605</v>
      </c>
      <c r="AC606" s="33" t="s">
        <v>2142</v>
      </c>
      <c r="AD606" s="33" t="s">
        <v>2143</v>
      </c>
      <c r="AE606" s="353" t="str">
        <f t="shared" si="21"/>
        <v>PHC0793-91-1:Mr. Samiullah</v>
      </c>
    </row>
    <row r="607" spans="28:31">
      <c r="AB607" s="215">
        <v>606</v>
      </c>
      <c r="AC607" s="33" t="s">
        <v>2144</v>
      </c>
      <c r="AD607" s="33" t="s">
        <v>2145</v>
      </c>
      <c r="AE607" s="353" t="str">
        <f t="shared" si="21"/>
        <v>PHC0794-93-1:Ms. Sania Kiran</v>
      </c>
    </row>
    <row r="608" spans="28:31">
      <c r="AB608" s="215">
        <v>607</v>
      </c>
      <c r="AC608" s="33" t="s">
        <v>2146</v>
      </c>
      <c r="AD608" s="33" t="s">
        <v>2147</v>
      </c>
      <c r="AE608" s="353" t="str">
        <f t="shared" si="21"/>
        <v>PHC0795-85-1:Mr. Sartaj Muhammad</v>
      </c>
    </row>
    <row r="609" spans="28:31">
      <c r="AB609" s="215">
        <v>608</v>
      </c>
      <c r="AC609" s="33" t="s">
        <v>2148</v>
      </c>
      <c r="AD609" s="33" t="s">
        <v>2149</v>
      </c>
      <c r="AE609" s="353" t="str">
        <f t="shared" si="21"/>
        <v>PHC0796-91-1:Ms. Sehrish Khan</v>
      </c>
    </row>
    <row r="610" spans="28:31">
      <c r="AB610" s="215">
        <v>609</v>
      </c>
      <c r="AC610" s="33" t="s">
        <v>2150</v>
      </c>
      <c r="AD610" s="33" t="s">
        <v>2151</v>
      </c>
      <c r="AE610" s="353" t="str">
        <f t="shared" si="21"/>
        <v>PHC0797-92-1:Mr. Shabeer Ahmad</v>
      </c>
    </row>
    <row r="611" spans="28:31">
      <c r="AB611" s="215">
        <v>610</v>
      </c>
      <c r="AC611" s="33" t="s">
        <v>2152</v>
      </c>
      <c r="AD611" s="33" t="s">
        <v>2153</v>
      </c>
      <c r="AE611" s="353" t="str">
        <f t="shared" si="21"/>
        <v>PHC0798-90-1:Ms. Shadab</v>
      </c>
    </row>
    <row r="612" spans="28:31">
      <c r="AB612" s="215">
        <v>611</v>
      </c>
      <c r="AC612" s="33" t="s">
        <v>2154</v>
      </c>
      <c r="AD612" s="33" t="s">
        <v>2155</v>
      </c>
      <c r="AE612" s="353" t="str">
        <f t="shared" si="21"/>
        <v>PHC0799-95-1:Mr. Shafqat Qadeer</v>
      </c>
    </row>
    <row r="613" spans="28:31">
      <c r="AB613" s="215">
        <v>612</v>
      </c>
      <c r="AC613" s="33" t="s">
        <v>2156</v>
      </c>
      <c r="AD613" s="33" t="s">
        <v>850</v>
      </c>
      <c r="AE613" s="353" t="str">
        <f t="shared" si="21"/>
        <v>PHC0800-93-1:Mr. Shah Faisal</v>
      </c>
    </row>
    <row r="614" spans="28:31">
      <c r="AB614" s="215">
        <v>613</v>
      </c>
      <c r="AC614" s="33" t="s">
        <v>2157</v>
      </c>
      <c r="AD614" s="33" t="s">
        <v>2158</v>
      </c>
      <c r="AE614" s="353" t="str">
        <f t="shared" si="21"/>
        <v>PHC0801-90-1:Mr. Shahid Ullah Khan Wazir</v>
      </c>
    </row>
    <row r="615" spans="28:31">
      <c r="AB615" s="215">
        <v>614</v>
      </c>
      <c r="AC615" s="33" t="s">
        <v>2159</v>
      </c>
      <c r="AD615" s="33" t="s">
        <v>2160</v>
      </c>
      <c r="AE615" s="353" t="str">
        <f t="shared" si="21"/>
        <v>PHC0802-91-1:Mr. Shahzad Khan</v>
      </c>
    </row>
    <row r="616" spans="28:31">
      <c r="AB616" s="215">
        <v>615</v>
      </c>
      <c r="AC616" s="33" t="s">
        <v>2161</v>
      </c>
      <c r="AD616" s="33" t="s">
        <v>2162</v>
      </c>
      <c r="AE616" s="353" t="str">
        <f t="shared" si="21"/>
        <v>PHC0803-91-1:Mr. Sheraz Qamar</v>
      </c>
    </row>
    <row r="617" spans="28:31">
      <c r="AB617" s="215">
        <v>616</v>
      </c>
      <c r="AC617" s="33" t="s">
        <v>2163</v>
      </c>
      <c r="AD617" s="33" t="s">
        <v>2164</v>
      </c>
      <c r="AE617" s="353" t="str">
        <f t="shared" si="21"/>
        <v>PHC0804-94-1:Ms. Sidra</v>
      </c>
    </row>
    <row r="618" spans="28:31">
      <c r="AB618" s="215">
        <v>617</v>
      </c>
      <c r="AC618" s="33" t="s">
        <v>2165</v>
      </c>
      <c r="AD618" s="33" t="s">
        <v>2166</v>
      </c>
      <c r="AE618" s="353" t="str">
        <f t="shared" si="21"/>
        <v>PHC0805-88-1:Ms. Sidra Hussain</v>
      </c>
    </row>
    <row r="619" spans="28:31">
      <c r="AB619" s="215">
        <v>618</v>
      </c>
      <c r="AC619" s="33" t="s">
        <v>2167</v>
      </c>
      <c r="AD619" s="33" t="s">
        <v>2168</v>
      </c>
      <c r="AE619" s="353" t="str">
        <f t="shared" si="21"/>
        <v>PHC0806-93-1:Ms. Sumia Kazmi</v>
      </c>
    </row>
    <row r="620" spans="28:31">
      <c r="AB620" s="215">
        <v>619</v>
      </c>
      <c r="AC620" s="33" t="s">
        <v>2169</v>
      </c>
      <c r="AD620" s="33" t="s">
        <v>2170</v>
      </c>
      <c r="AE620" s="353" t="str">
        <f t="shared" si="21"/>
        <v>PHC0807-88-1:Ms. Suneela James</v>
      </c>
    </row>
    <row r="621" spans="28:31">
      <c r="AB621" s="215">
        <v>620</v>
      </c>
      <c r="AC621" s="33" t="s">
        <v>2171</v>
      </c>
      <c r="AD621" s="33" t="s">
        <v>2172</v>
      </c>
      <c r="AE621" s="353" t="str">
        <f t="shared" si="21"/>
        <v>PHC0808-89-1:Syed Ghani Shah</v>
      </c>
    </row>
    <row r="622" spans="28:31">
      <c r="AB622" s="215">
        <v>621</v>
      </c>
      <c r="AC622" s="33" t="s">
        <v>2173</v>
      </c>
      <c r="AD622" s="33" t="s">
        <v>2174</v>
      </c>
      <c r="AE622" s="353" t="str">
        <f t="shared" ref="AE622:AE629" si="22">CONCATENATE(AC622,":",AD622)</f>
        <v>PHC0809-92-1:Mr. Tanzeel ur Rahman</v>
      </c>
    </row>
    <row r="623" spans="28:31">
      <c r="AB623" s="215">
        <v>622</v>
      </c>
      <c r="AC623" s="33" t="s">
        <v>2175</v>
      </c>
      <c r="AD623" s="33" t="s">
        <v>2176</v>
      </c>
      <c r="AE623" s="353" t="str">
        <f t="shared" si="22"/>
        <v>PHC0810-94-1:Mr. Tashfeen Aziz</v>
      </c>
    </row>
    <row r="624" spans="28:31">
      <c r="AB624" s="215">
        <v>623</v>
      </c>
      <c r="AC624" s="33" t="s">
        <v>2177</v>
      </c>
      <c r="AD624" s="33" t="s">
        <v>2178</v>
      </c>
      <c r="AE624" s="353" t="str">
        <f t="shared" si="22"/>
        <v>PHC0811-90-1:Mr. Umer Farooq</v>
      </c>
    </row>
    <row r="625" spans="28:31">
      <c r="AB625" s="215">
        <v>624</v>
      </c>
      <c r="AC625" s="33" t="s">
        <v>2179</v>
      </c>
      <c r="AD625" s="33" t="s">
        <v>2180</v>
      </c>
      <c r="AE625" s="353" t="str">
        <f t="shared" si="22"/>
        <v>PHC0812-94-1:Mr. Waqar Ahmad</v>
      </c>
    </row>
    <row r="626" spans="28:31">
      <c r="AB626" s="215">
        <v>625</v>
      </c>
      <c r="AC626" s="33" t="s">
        <v>2181</v>
      </c>
      <c r="AD626" s="33" t="s">
        <v>2182</v>
      </c>
      <c r="AE626" s="353" t="str">
        <f t="shared" si="22"/>
        <v>PHC0813-90-1:Ms. Zaib un Nisa Abbasi</v>
      </c>
    </row>
    <row r="627" spans="28:31">
      <c r="AB627" s="215">
        <v>626</v>
      </c>
      <c r="AC627" s="33" t="s">
        <v>2183</v>
      </c>
      <c r="AD627" s="33" t="s">
        <v>2184</v>
      </c>
      <c r="AE627" s="353" t="str">
        <f t="shared" si="22"/>
        <v>PHC0814-91-1:Ms. Zainab Batool Zaidi</v>
      </c>
    </row>
    <row r="628" spans="28:31">
      <c r="AB628" s="215">
        <v>627</v>
      </c>
      <c r="AC628" s="33" t="s">
        <v>2185</v>
      </c>
      <c r="AD628" s="33" t="s">
        <v>2186</v>
      </c>
      <c r="AE628" s="353" t="str">
        <f t="shared" si="22"/>
        <v>PHC0815-90-1:Ms. Zainub Khalid Khan</v>
      </c>
    </row>
    <row r="629" spans="28:31">
      <c r="AB629" s="215">
        <v>628</v>
      </c>
      <c r="AC629" s="33" t="s">
        <v>2187</v>
      </c>
      <c r="AD629" s="33" t="s">
        <v>2188</v>
      </c>
      <c r="AE629" s="353" t="str">
        <f t="shared" si="22"/>
        <v>PHC0816-93-1:Mr. Zeeshan Younas</v>
      </c>
    </row>
    <row r="630" spans="28:31">
      <c r="AB630" s="215">
        <v>629</v>
      </c>
      <c r="AC630" s="33" t="s">
        <v>1636</v>
      </c>
      <c r="AD630" s="33" t="s">
        <v>1637</v>
      </c>
      <c r="AE630" s="37" t="str">
        <f>CONCATENATE(AC630,":",AD630)</f>
        <v>PHC0000-00-0:Vacant Court</v>
      </c>
    </row>
  </sheetData>
  <sheetProtection password="EE38" sheet="1" objects="1" scenarios="1"/>
  <customSheetViews>
    <customSheetView guid="{77330FEB-8B75-43E5-931E-B4C5A6173E6D}" showGridLines="0" topLeftCell="AE1">
      <selection activeCell="AH6" sqref="AG2:AH6"/>
      <pageMargins left="0.7" right="0.7" top="0.75" bottom="0.75" header="0.3" footer="0.3"/>
      <pageSetup orientation="portrait" horizontalDpi="1200" verticalDpi="1200" r:id="rId1"/>
    </customSheetView>
  </customSheetViews>
  <mergeCells count="2">
    <mergeCell ref="A1:C1"/>
    <mergeCell ref="E1:G1"/>
  </mergeCells>
  <conditionalFormatting sqref="E2:E27 E30">
    <cfRule type="duplicateValues" dxfId="59" priority="27"/>
  </conditionalFormatting>
  <conditionalFormatting sqref="C20 C16">
    <cfRule type="cellIs" dxfId="58" priority="25" stopIfTrue="1" operator="lessThan">
      <formula>0</formula>
    </cfRule>
  </conditionalFormatting>
  <conditionalFormatting sqref="C2:C18 A2:A18 A24:A27 C24:C27 A20:A22 C20:C22">
    <cfRule type="duplicateValues" dxfId="57" priority="26"/>
  </conditionalFormatting>
  <conditionalFormatting sqref="C28 A28">
    <cfRule type="duplicateValues" dxfId="56" priority="24"/>
  </conditionalFormatting>
  <conditionalFormatting sqref="E28">
    <cfRule type="duplicateValues" dxfId="55" priority="23"/>
  </conditionalFormatting>
  <conditionalFormatting sqref="C29 A29">
    <cfRule type="duplicateValues" dxfId="54" priority="22"/>
  </conditionalFormatting>
  <conditionalFormatting sqref="E29">
    <cfRule type="duplicateValues" dxfId="53" priority="21"/>
  </conditionalFormatting>
  <conditionalFormatting sqref="C19 A19">
    <cfRule type="duplicateValues" dxfId="52" priority="18"/>
  </conditionalFormatting>
  <conditionalFormatting sqref="C23 A23">
    <cfRule type="duplicateValues" dxfId="51" priority="17"/>
  </conditionalFormatting>
  <conditionalFormatting sqref="BG2:BG29">
    <cfRule type="duplicateValues" dxfId="50" priority="16"/>
  </conditionalFormatting>
  <conditionalFormatting sqref="BG28">
    <cfRule type="duplicateValues" dxfId="49" priority="15"/>
  </conditionalFormatting>
  <conditionalFormatting sqref="BG29">
    <cfRule type="duplicateValues" dxfId="48" priority="14"/>
  </conditionalFormatting>
  <conditionalFormatting sqref="BG19">
    <cfRule type="duplicateValues" dxfId="47" priority="13"/>
  </conditionalFormatting>
  <conditionalFormatting sqref="BG23">
    <cfRule type="duplicateValues" dxfId="46" priority="12"/>
  </conditionalFormatting>
  <conditionalFormatting sqref="BG30:BG57">
    <cfRule type="duplicateValues" dxfId="45" priority="11"/>
  </conditionalFormatting>
  <conditionalFormatting sqref="BG56">
    <cfRule type="duplicateValues" dxfId="44" priority="10"/>
  </conditionalFormatting>
  <conditionalFormatting sqref="BG57">
    <cfRule type="duplicateValues" dxfId="43" priority="9"/>
  </conditionalFormatting>
  <conditionalFormatting sqref="CD2:CD18 CD24:CD27 CD20:CD22">
    <cfRule type="duplicateValues" dxfId="42" priority="8"/>
  </conditionalFormatting>
  <conditionalFormatting sqref="CD28">
    <cfRule type="duplicateValues" dxfId="41" priority="7"/>
  </conditionalFormatting>
  <conditionalFormatting sqref="CD29">
    <cfRule type="duplicateValues" dxfId="40" priority="6"/>
  </conditionalFormatting>
  <conditionalFormatting sqref="CD19">
    <cfRule type="duplicateValues" dxfId="39" priority="5"/>
  </conditionalFormatting>
  <conditionalFormatting sqref="CD23">
    <cfRule type="duplicateValues" dxfId="38" priority="4"/>
  </conditionalFormatting>
  <conditionalFormatting sqref="CD30:CD55">
    <cfRule type="duplicateValues" dxfId="37" priority="3"/>
  </conditionalFormatting>
  <conditionalFormatting sqref="CD56">
    <cfRule type="duplicateValues" dxfId="36" priority="2"/>
  </conditionalFormatting>
  <conditionalFormatting sqref="CD57">
    <cfRule type="duplicateValues" dxfId="35" priority="1"/>
  </conditionalFormatting>
  <pageMargins left="0.7" right="0.7" top="0.75" bottom="0.75" header="0.3" footer="0.3"/>
  <pageSetup orientation="portrait" horizontalDpi="1200" verticalDpi="1200" r:id="rId2"/>
  <ignoredErrors>
    <ignoredError sqref="AW2:AW35 AW41 AW42:AW65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"/>
  <sheetViews>
    <sheetView showGridLines="0" topLeftCell="N1" workbookViewId="0">
      <selection activeCell="Y2" sqref="Y2"/>
    </sheetView>
  </sheetViews>
  <sheetFormatPr defaultColWidth="8.85546875" defaultRowHeight="15"/>
  <cols>
    <col min="1" max="1" width="6.28515625" style="87" customWidth="1"/>
    <col min="2" max="2" width="14" style="87" customWidth="1"/>
    <col min="3" max="3" width="20.28515625" style="87" customWidth="1"/>
    <col min="4" max="4" width="12.28515625" style="87" customWidth="1"/>
    <col min="5" max="5" width="13.5703125" style="87" customWidth="1"/>
    <col min="6" max="6" width="6.7109375" style="87" bestFit="1" customWidth="1"/>
    <col min="7" max="7" width="11.7109375" style="87" customWidth="1"/>
    <col min="8" max="8" width="20.7109375" style="113" bestFit="1" customWidth="1"/>
    <col min="9" max="9" width="6.85546875" style="87" customWidth="1"/>
    <col min="10" max="10" width="10.28515625" style="87" customWidth="1"/>
    <col min="11" max="11" width="8.85546875" style="87"/>
    <col min="12" max="12" width="8.5703125" style="87" customWidth="1"/>
    <col min="13" max="14" width="15.28515625" style="87" customWidth="1"/>
    <col min="15" max="15" width="11.140625" style="87" customWidth="1"/>
    <col min="16" max="16" width="12.140625" style="87" customWidth="1"/>
    <col min="17" max="17" width="12.42578125" style="87" customWidth="1"/>
    <col min="18" max="18" width="16.7109375" style="87" bestFit="1" customWidth="1"/>
    <col min="19" max="19" width="11.7109375" style="87" customWidth="1"/>
    <col min="20" max="20" width="16.28515625" style="87" customWidth="1"/>
    <col min="21" max="21" width="28" style="114" customWidth="1"/>
    <col min="22" max="22" width="16.7109375" style="87" customWidth="1"/>
    <col min="23" max="16384" width="8.85546875" style="87"/>
  </cols>
  <sheetData>
    <row r="1" spans="1:26" ht="42.6" customHeight="1">
      <c r="A1" s="110" t="s">
        <v>1483</v>
      </c>
      <c r="B1" s="110" t="s">
        <v>1484</v>
      </c>
      <c r="C1" s="110" t="s">
        <v>1485</v>
      </c>
      <c r="D1" s="110" t="s">
        <v>1486</v>
      </c>
      <c r="E1" s="110" t="s">
        <v>1487</v>
      </c>
      <c r="F1" s="110" t="s">
        <v>1488</v>
      </c>
      <c r="G1" s="110" t="s">
        <v>1489</v>
      </c>
      <c r="H1" s="111" t="s">
        <v>1490</v>
      </c>
      <c r="I1" s="110" t="s">
        <v>1491</v>
      </c>
      <c r="J1" s="110" t="s">
        <v>1581</v>
      </c>
      <c r="K1" s="110" t="s">
        <v>1492</v>
      </c>
      <c r="L1" s="110" t="s">
        <v>1493</v>
      </c>
      <c r="M1" s="110" t="s">
        <v>1494</v>
      </c>
      <c r="N1" s="110" t="s">
        <v>1495</v>
      </c>
      <c r="O1" s="110" t="s">
        <v>1496</v>
      </c>
      <c r="P1" s="110" t="s">
        <v>1497</v>
      </c>
      <c r="Q1" s="110" t="s">
        <v>1498</v>
      </c>
      <c r="R1" s="110" t="s">
        <v>1499</v>
      </c>
      <c r="S1" s="110" t="s">
        <v>1500</v>
      </c>
      <c r="T1" s="110" t="s">
        <v>1501</v>
      </c>
      <c r="U1" s="110" t="s">
        <v>1621</v>
      </c>
      <c r="V1" s="158" t="s">
        <v>1863</v>
      </c>
      <c r="W1" s="158" t="s">
        <v>1864</v>
      </c>
      <c r="X1" s="158" t="s">
        <v>1958</v>
      </c>
      <c r="Y1" s="158" t="s">
        <v>1978</v>
      </c>
      <c r="Z1" s="158" t="s">
        <v>1657</v>
      </c>
    </row>
    <row r="2" spans="1:26" ht="45">
      <c r="A2" s="87">
        <f>ROW()-1</f>
        <v>1</v>
      </c>
      <c r="B2" s="87" t="s">
        <v>678</v>
      </c>
      <c r="C2" s="87" t="s">
        <v>679</v>
      </c>
      <c r="D2" s="87" t="s">
        <v>139</v>
      </c>
      <c r="E2" s="87" t="s">
        <v>145</v>
      </c>
      <c r="F2" s="87" t="s">
        <v>309</v>
      </c>
      <c r="G2" s="87" t="s">
        <v>1875</v>
      </c>
      <c r="H2" s="113">
        <v>45078</v>
      </c>
      <c r="I2" s="87">
        <v>2023</v>
      </c>
      <c r="J2" s="87">
        <v>30</v>
      </c>
      <c r="K2" s="87">
        <v>4</v>
      </c>
      <c r="L2" s="87">
        <v>1</v>
      </c>
      <c r="M2" s="87">
        <v>4</v>
      </c>
      <c r="N2" s="87">
        <v>0</v>
      </c>
      <c r="O2" s="87">
        <v>2</v>
      </c>
      <c r="P2" s="87">
        <v>19</v>
      </c>
      <c r="Q2" s="87" t="s">
        <v>373</v>
      </c>
      <c r="R2" s="87">
        <v>3.41</v>
      </c>
      <c r="S2" s="87">
        <v>0</v>
      </c>
      <c r="T2" s="87">
        <v>0</v>
      </c>
      <c r="U2" s="114" t="s">
        <v>1610</v>
      </c>
      <c r="V2" s="87">
        <v>900</v>
      </c>
      <c r="W2" s="87">
        <v>900</v>
      </c>
      <c r="X2" s="87" t="s">
        <v>1975</v>
      </c>
      <c r="Y2" s="87" t="s">
        <v>2189</v>
      </c>
      <c r="Z2" s="87" t="s">
        <v>2195</v>
      </c>
    </row>
  </sheetData>
  <sheetProtection algorithmName="SHA-512" hashValue="BkkfVjICLmFiS8vTmD37yQ+dQGX7x7UUrGPuVFq4o8H5lT7HhvV23qe4SvHNnHzSbVCo7w5FAFnAC+J6l8Dv2A==" saltValue="cq/q52pdMm2gNrNttgbSjw==" spinCount="100000" sheet="1" objects="1" scenarios="1"/>
  <customSheetViews>
    <customSheetView guid="{77330FEB-8B75-43E5-931E-B4C5A6173E6D}" showGridLines="0">
      <selection activeCell="B2" sqref="B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77"/>
  <sheetViews>
    <sheetView zoomScale="75" zoomScaleNormal="75" workbookViewId="0">
      <pane xSplit="3" ySplit="6" topLeftCell="O28" activePane="bottomRight" state="frozen"/>
      <selection pane="topRight" activeCell="D1" sqref="D1"/>
      <selection pane="bottomLeft" activeCell="A7" sqref="A7"/>
      <selection pane="bottomRight" activeCell="O31" sqref="O31"/>
    </sheetView>
  </sheetViews>
  <sheetFormatPr defaultRowHeight="15"/>
  <cols>
    <col min="1" max="1" width="13.7109375" customWidth="1"/>
    <col min="2" max="2" width="36.140625" style="69" customWidth="1"/>
    <col min="3" max="3" width="48.42578125" style="16" customWidth="1"/>
    <col min="4" max="4" width="12.85546875" style="52" customWidth="1"/>
    <col min="5" max="13" width="8.85546875" style="52"/>
    <col min="14" max="14" width="10.42578125" style="52" customWidth="1"/>
    <col min="15" max="15" width="18.28515625" style="52" customWidth="1"/>
    <col min="16" max="16" width="23.140625" style="52" customWidth="1"/>
    <col min="17" max="18" width="8.85546875" style="52"/>
    <col min="19" max="19" width="15.140625" style="52" customWidth="1"/>
    <col min="20" max="20" width="14.7109375" style="52" customWidth="1"/>
    <col min="21" max="21" width="8.85546875" style="52"/>
    <col min="27" max="27" width="19.7109375" customWidth="1"/>
    <col min="28" max="28" width="28.42578125" customWidth="1"/>
    <col min="29" max="29" width="24" customWidth="1"/>
    <col min="33" max="33" width="13.28515625" customWidth="1"/>
    <col min="34" max="37" width="0" hidden="1" customWidth="1"/>
    <col min="38" max="38" width="38.5703125" hidden="1" customWidth="1"/>
  </cols>
  <sheetData>
    <row r="1" spans="1:38" s="75" customFormat="1" ht="15.75">
      <c r="A1" s="394" t="s">
        <v>1502</v>
      </c>
      <c r="B1" s="394"/>
      <c r="C1" s="394"/>
      <c r="D1" s="394"/>
      <c r="E1" s="394"/>
      <c r="F1" s="394"/>
      <c r="G1" s="394"/>
      <c r="H1" s="394"/>
      <c r="I1" s="394"/>
      <c r="J1" s="394"/>
      <c r="K1" s="394"/>
      <c r="L1" s="394"/>
      <c r="M1" s="394"/>
      <c r="N1" s="394"/>
      <c r="O1" s="394"/>
      <c r="P1" s="394"/>
      <c r="Q1" s="394"/>
      <c r="R1" s="394"/>
      <c r="S1" s="394"/>
      <c r="T1" s="394"/>
      <c r="U1" s="394"/>
      <c r="V1" s="74"/>
      <c r="W1" s="74"/>
      <c r="X1" s="74"/>
      <c r="Y1" s="74"/>
      <c r="Z1" s="74"/>
      <c r="AA1" s="74"/>
      <c r="AB1" s="74"/>
      <c r="AC1" s="74"/>
      <c r="AD1" s="74"/>
    </row>
    <row r="2" spans="1:38" s="75" customFormat="1" ht="15.75">
      <c r="A2" s="395" t="s">
        <v>1503</v>
      </c>
      <c r="B2" s="395"/>
      <c r="D2" s="396" t="str">
        <f>JudgeProfile!C2</f>
        <v>Mr Amin Said</v>
      </c>
      <c r="E2" s="397"/>
      <c r="F2" s="397"/>
      <c r="G2" s="397"/>
      <c r="H2" s="397"/>
      <c r="I2" s="397"/>
      <c r="J2" s="397"/>
      <c r="K2" s="397"/>
      <c r="L2" s="397"/>
      <c r="M2" s="398"/>
      <c r="N2" s="73" t="s">
        <v>390</v>
      </c>
      <c r="O2" s="76" t="str">
        <f>JudgeProfile!B2</f>
        <v>PHC0290-73-1</v>
      </c>
      <c r="P2" s="73" t="s">
        <v>1504</v>
      </c>
      <c r="Q2" s="399" t="str">
        <f>JudgeProfile!F2</f>
        <v>Lower Dir - Timergara</v>
      </c>
      <c r="R2" s="399"/>
      <c r="S2" s="399"/>
      <c r="T2" s="399"/>
      <c r="U2" s="399"/>
      <c r="V2" s="399"/>
      <c r="W2" s="400" t="s">
        <v>1505</v>
      </c>
      <c r="X2" s="400"/>
      <c r="Y2" s="399">
        <f>JudgeProfile!M2</f>
        <v>4</v>
      </c>
      <c r="Z2" s="399"/>
      <c r="AA2" s="73" t="s">
        <v>1506</v>
      </c>
      <c r="AB2" s="81" t="str">
        <f>VLOOKUP(MONTH(JudgeProfile!H2),TblMonths,2,FALSE)</f>
        <v>June</v>
      </c>
      <c r="AC2" s="73" t="s">
        <v>1507</v>
      </c>
      <c r="AD2" s="77">
        <f>YEAR(JudgeProfile!H2)</f>
        <v>2023</v>
      </c>
    </row>
    <row r="3" spans="1:38" s="75" customFormat="1" ht="31.5">
      <c r="A3" s="401" t="s">
        <v>1617</v>
      </c>
      <c r="B3" s="401"/>
      <c r="D3" s="402" t="str">
        <f>JudgeProfile!U2</f>
        <v>Addl: District &amp; Sessions Judge (Both Civil and Criminal Matter)</v>
      </c>
      <c r="E3" s="403"/>
      <c r="F3" s="403"/>
      <c r="G3" s="403"/>
      <c r="H3" s="403"/>
      <c r="I3" s="403"/>
      <c r="J3" s="403"/>
      <c r="K3" s="403"/>
      <c r="L3" s="403"/>
      <c r="M3" s="404"/>
      <c r="N3" s="53" t="s">
        <v>1508</v>
      </c>
      <c r="O3" s="78">
        <f>JudgeProfile!J2</f>
        <v>30</v>
      </c>
      <c r="P3" s="72" t="s">
        <v>1492</v>
      </c>
      <c r="Q3" s="179">
        <f>JudgeProfile!K2</f>
        <v>4</v>
      </c>
      <c r="R3" s="72" t="s">
        <v>1509</v>
      </c>
      <c r="S3" s="79">
        <f>JudgeProfile!L2</f>
        <v>1</v>
      </c>
      <c r="T3" s="401" t="s">
        <v>1510</v>
      </c>
      <c r="U3" s="401"/>
      <c r="V3" s="401"/>
      <c r="W3" s="405">
        <f>JudgeProfile!M2</f>
        <v>4</v>
      </c>
      <c r="X3" s="406"/>
      <c r="Y3" s="407" t="s">
        <v>1511</v>
      </c>
      <c r="Z3" s="407"/>
      <c r="AA3" s="407"/>
      <c r="AB3" s="79">
        <f>JudgeProfile!N2</f>
        <v>0</v>
      </c>
      <c r="AC3" s="40" t="s">
        <v>1512</v>
      </c>
      <c r="AD3" s="80">
        <f>JudgeProfile!P2</f>
        <v>19</v>
      </c>
    </row>
    <row r="4" spans="1:38" ht="35.450000000000003" customHeight="1">
      <c r="A4" s="408" t="s">
        <v>389</v>
      </c>
      <c r="B4" s="41" t="s">
        <v>13</v>
      </c>
      <c r="C4" s="41"/>
      <c r="D4" s="409" t="s">
        <v>1513</v>
      </c>
      <c r="E4" s="410" t="s">
        <v>1514</v>
      </c>
      <c r="F4" s="410" t="s">
        <v>1515</v>
      </c>
      <c r="G4" s="410" t="s">
        <v>1516</v>
      </c>
      <c r="H4" s="410" t="s">
        <v>1517</v>
      </c>
      <c r="I4" s="410" t="s">
        <v>1518</v>
      </c>
      <c r="J4" s="418" t="s">
        <v>1519</v>
      </c>
      <c r="K4" s="418"/>
      <c r="L4" s="418"/>
      <c r="M4" s="418"/>
      <c r="N4" s="411" t="s">
        <v>1520</v>
      </c>
      <c r="O4" s="419" t="s">
        <v>1521</v>
      </c>
      <c r="P4" s="419" t="s">
        <v>1522</v>
      </c>
      <c r="Q4" s="411" t="s">
        <v>1523</v>
      </c>
      <c r="R4" s="412" t="s">
        <v>1524</v>
      </c>
      <c r="S4" s="413" t="s">
        <v>1525</v>
      </c>
      <c r="T4" s="413"/>
      <c r="U4" s="413" t="s">
        <v>1526</v>
      </c>
      <c r="V4" s="416" t="s">
        <v>1527</v>
      </c>
      <c r="W4" s="417"/>
      <c r="X4" s="417"/>
      <c r="Y4" s="417"/>
      <c r="Z4" s="417"/>
      <c r="AA4" s="417"/>
      <c r="AB4" s="417"/>
      <c r="AC4" s="417"/>
      <c r="AD4" s="417"/>
    </row>
    <row r="5" spans="1:38" ht="64.150000000000006" customHeight="1">
      <c r="A5" s="408"/>
      <c r="B5" s="401" t="s">
        <v>7</v>
      </c>
      <c r="C5" s="414" t="s">
        <v>1559</v>
      </c>
      <c r="D5" s="409"/>
      <c r="E5" s="410"/>
      <c r="F5" s="410"/>
      <c r="G5" s="410"/>
      <c r="H5" s="410"/>
      <c r="I5" s="410"/>
      <c r="J5" s="383" t="s">
        <v>1528</v>
      </c>
      <c r="K5" s="383" t="s">
        <v>1635</v>
      </c>
      <c r="L5" s="383" t="s">
        <v>116</v>
      </c>
      <c r="M5" s="383" t="s">
        <v>1529</v>
      </c>
      <c r="N5" s="411"/>
      <c r="O5" s="419"/>
      <c r="P5" s="419"/>
      <c r="Q5" s="411"/>
      <c r="R5" s="412"/>
      <c r="S5" s="419" t="s">
        <v>1530</v>
      </c>
      <c r="T5" s="419" t="s">
        <v>1531</v>
      </c>
      <c r="U5" s="413"/>
      <c r="V5" s="420" t="s">
        <v>1532</v>
      </c>
      <c r="W5" s="421" t="s">
        <v>1533</v>
      </c>
      <c r="X5" s="421"/>
      <c r="Y5" s="421"/>
      <c r="Z5" s="421"/>
      <c r="AA5" s="421"/>
      <c r="AB5" s="422">
        <f>JudgeProfile!R2/3</f>
        <v>1.1366666666666667</v>
      </c>
      <c r="AC5" s="423"/>
      <c r="AD5" s="424"/>
      <c r="AF5" s="383" t="s">
        <v>1596</v>
      </c>
      <c r="AG5" s="383"/>
    </row>
    <row r="6" spans="1:38" ht="60">
      <c r="A6" s="408"/>
      <c r="B6" s="401"/>
      <c r="C6" s="415"/>
      <c r="D6" s="409"/>
      <c r="E6" s="410"/>
      <c r="F6" s="410"/>
      <c r="G6" s="410"/>
      <c r="H6" s="410"/>
      <c r="I6" s="410"/>
      <c r="J6" s="383"/>
      <c r="K6" s="383"/>
      <c r="L6" s="383"/>
      <c r="M6" s="383"/>
      <c r="N6" s="411"/>
      <c r="O6" s="419"/>
      <c r="P6" s="419"/>
      <c r="Q6" s="411"/>
      <c r="R6" s="412"/>
      <c r="S6" s="419"/>
      <c r="T6" s="419"/>
      <c r="U6" s="413"/>
      <c r="V6" s="420"/>
      <c r="W6" s="421" t="s">
        <v>1534</v>
      </c>
      <c r="X6" s="421"/>
      <c r="Y6" s="421"/>
      <c r="Z6" s="421"/>
      <c r="AA6" s="421"/>
      <c r="AB6" s="386">
        <f>SUM(O35,O68)</f>
        <v>1</v>
      </c>
      <c r="AC6" s="386"/>
      <c r="AD6" s="386"/>
      <c r="AF6" s="88" t="s">
        <v>1594</v>
      </c>
      <c r="AG6" s="88" t="s">
        <v>1595</v>
      </c>
      <c r="AK6" s="126" t="s">
        <v>1638</v>
      </c>
      <c r="AL6" s="126" t="s">
        <v>1640</v>
      </c>
    </row>
    <row r="7" spans="1:38" ht="56.45" customHeight="1">
      <c r="A7" s="42" t="s">
        <v>40</v>
      </c>
      <c r="B7" s="43" t="s">
        <v>15</v>
      </c>
      <c r="C7" s="43" t="s">
        <v>1560</v>
      </c>
      <c r="D7" s="51">
        <f>COUNTIFS(Database!F:F,C7,Database!P:P,"Last Month Pendency")</f>
        <v>26</v>
      </c>
      <c r="E7" s="51">
        <f>COUNTIFS(Database!F:F,C7,Database!P:P,"Fresh Month Institution")</f>
        <v>2</v>
      </c>
      <c r="F7" s="51">
        <f>COUNTIFS(Database!F:F,C7,Database!P:P,"Other Institution")</f>
        <v>0</v>
      </c>
      <c r="G7" s="51">
        <f>COUNTIFS(Database!F:F,C7,Database!P:P,"Transfer In")</f>
        <v>0</v>
      </c>
      <c r="H7" s="51">
        <f>COUNTIFS(Database!F:F,C7,Database!M:M,"Transfer Out")</f>
        <v>1</v>
      </c>
      <c r="I7" s="51">
        <f>SUM(D7,E7,F7,G7)-H7</f>
        <v>27</v>
      </c>
      <c r="J7" s="51">
        <f>AF7+AG7</f>
        <v>1</v>
      </c>
      <c r="K7" s="71">
        <f>COUNTIFS(Database!F:F,C7,Database!M:M,"Pleadguilty")</f>
        <v>0</v>
      </c>
      <c r="L7" s="51">
        <f>COUNTIFS(Database!F:F,C7,Database!M:M,"In Default")</f>
        <v>0</v>
      </c>
      <c r="M7" s="51">
        <f>COUNTIFS(Database!F:F,C7,Database!M:M,"Uncontested")</f>
        <v>0</v>
      </c>
      <c r="N7" s="51">
        <f>SUM(J7,K7,L7,M7)</f>
        <v>1</v>
      </c>
      <c r="O7" s="51">
        <f>COUNTIFS(Database!F:F,C7,Database!L:L,"Disposed",Database!G:G,"&lt;01-09-2020")</f>
        <v>0</v>
      </c>
      <c r="P7" s="89">
        <f>COUNTIFS(Database!F:F,C7,Database!L:L,"Disposed",Database!G:G,"&gt;31-08-2020")</f>
        <v>1</v>
      </c>
      <c r="Q7" s="51">
        <f>SUM(O7,P7)</f>
        <v>1</v>
      </c>
      <c r="R7" s="51">
        <f>N7-Q7</f>
        <v>0</v>
      </c>
      <c r="S7" s="105">
        <f>COUNTIFS(Database!F:F,C7,Database!T:T,"Pending",Database!G:G,"&lt;01-09-2020")</f>
        <v>0</v>
      </c>
      <c r="T7" s="105">
        <f>COUNTIFS(Database!F:F,TRIM(C7),Database!T:T,"Pending",Database!G:G,"&gt;31-08-2020")</f>
        <v>26</v>
      </c>
      <c r="U7" s="51">
        <f>SUM(S7,T7)</f>
        <v>26</v>
      </c>
      <c r="V7" s="420"/>
      <c r="W7" s="421" t="s">
        <v>1535</v>
      </c>
      <c r="X7" s="421"/>
      <c r="Y7" s="421"/>
      <c r="Z7" s="421"/>
      <c r="AA7" s="421"/>
      <c r="AB7" s="425">
        <f>(IFERROR((N35+N68)-(K35+N25),0))</f>
        <v>94</v>
      </c>
      <c r="AC7" s="426"/>
      <c r="AD7" s="427"/>
      <c r="AE7" s="260" t="s">
        <v>2014</v>
      </c>
      <c r="AF7" s="93">
        <f>COUNTIFS(Database!F:F,C7,Database!M:M,"Contested- Trial Based")</f>
        <v>1</v>
      </c>
      <c r="AG7" s="93">
        <f>COUNTIFS(Database!F:F,C7,Database!M:M,"Contested- Non Trial Based")</f>
        <v>0</v>
      </c>
      <c r="AK7" s="17">
        <f>IF(D7-H7&lt;0,0,D7-H7)</f>
        <v>25</v>
      </c>
      <c r="AL7" s="17">
        <f>D7-H7</f>
        <v>25</v>
      </c>
    </row>
    <row r="8" spans="1:38" ht="17.45" customHeight="1">
      <c r="A8" s="42" t="s">
        <v>41</v>
      </c>
      <c r="B8" s="43" t="s">
        <v>16</v>
      </c>
      <c r="C8" s="43" t="s">
        <v>1561</v>
      </c>
      <c r="D8" s="71">
        <f>COUNTIFS(Database!F:F,C8,Database!P:P,"Last Month Pendency")</f>
        <v>13</v>
      </c>
      <c r="E8" s="71">
        <f>COUNTIFS(Database!F:F,C8,Database!P:P,"Fresh Month Institution")</f>
        <v>1</v>
      </c>
      <c r="F8" s="89">
        <f>COUNTIFS(Database!F:F,C8,Database!P:P,"Other Institution")</f>
        <v>0</v>
      </c>
      <c r="G8" s="89">
        <f>COUNTIFS(Database!F:F,C8,Database!P:P,"Transfer In")</f>
        <v>0</v>
      </c>
      <c r="H8" s="162">
        <f>COUNTIFS(Database!F:F,C8,Database!M:M,"Transfer Out")</f>
        <v>0</v>
      </c>
      <c r="I8" s="89">
        <f t="shared" ref="I8:I34" si="0">SUM(D8,E8,F8,G8)-H8</f>
        <v>14</v>
      </c>
      <c r="J8" s="54">
        <f t="shared" ref="J8:J34" si="1">AF8+AG8</f>
        <v>0</v>
      </c>
      <c r="K8" s="71">
        <f>COUNTIFS(Database!F:F,C8,Database!M:M,"Pleadguilty")</f>
        <v>0</v>
      </c>
      <c r="L8" s="71">
        <f>COUNTIFS(Database!F:F,C8,Database!M:M,"In Default")</f>
        <v>0</v>
      </c>
      <c r="M8" s="71">
        <f>COUNTIFS(Database!F:F,C8,Database!M:M,"Uncontested")</f>
        <v>0</v>
      </c>
      <c r="N8" s="51">
        <f t="shared" ref="N8:N30" si="2">SUM(J8,K8,L8,M8)</f>
        <v>0</v>
      </c>
      <c r="O8" s="71">
        <f>COUNTIFS(Database!F:F,C8,Database!L:L,"Disposed",Database!G:G,"&lt;01-09-2020")</f>
        <v>0</v>
      </c>
      <c r="P8" s="89">
        <f>COUNTIFS(Database!F:F,C8,Database!L:L,"Disposed",Database!G:G,"&gt;31-08-2020")</f>
        <v>0</v>
      </c>
      <c r="Q8" s="51">
        <f t="shared" ref="Q8:Q34" si="3">SUM(O8,P8)</f>
        <v>0</v>
      </c>
      <c r="R8" s="71">
        <f t="shared" ref="R8:R34" si="4">N8-Q8</f>
        <v>0</v>
      </c>
      <c r="S8" s="105">
        <f>COUNTIFS(Database!F:F,C8,Database!T:T,"Pending",Database!G:G,"&lt;01-09-2020")</f>
        <v>0</v>
      </c>
      <c r="T8" s="105">
        <f>COUNTIFS(Database!F:F,TRIM(C8),Database!T:T,"Pending",Database!G:G,"&gt;31-08-2020")</f>
        <v>14</v>
      </c>
      <c r="U8" s="51">
        <f t="shared" ref="U8:U34" si="5">SUM(S8,T8)</f>
        <v>14</v>
      </c>
      <c r="V8" s="420"/>
      <c r="W8" s="428" t="str">
        <f>CONCATENATE("Total Contested Disposal , ", CHAR(10)," (Target is ",'Summary Sheet'!O6,")")</f>
        <v>Total Contested Disposal , 
 (Target is 12)</v>
      </c>
      <c r="X8" s="428"/>
      <c r="Y8" s="428"/>
      <c r="Z8" s="428"/>
      <c r="AA8" s="428"/>
      <c r="AB8" s="384" t="s">
        <v>1536</v>
      </c>
      <c r="AC8" s="385" t="s">
        <v>1537</v>
      </c>
      <c r="AD8" s="389">
        <f>AF7</f>
        <v>1</v>
      </c>
      <c r="AE8" s="261">
        <f>D7-H7</f>
        <v>25</v>
      </c>
      <c r="AF8" s="93">
        <f>COUNTIFS(Database!F:F,C8,Database!M:M,"Contested- Trial Based")</f>
        <v>0</v>
      </c>
      <c r="AG8" s="93">
        <f>COUNTIFS(Database!F:F,C8,Database!M:M,"Contested- Non Trial Based")</f>
        <v>0</v>
      </c>
      <c r="AK8" s="17">
        <f t="shared" ref="AK8:AK66" si="6">IF(D8-H8&lt;0,0,D8-H8)</f>
        <v>13</v>
      </c>
      <c r="AL8" s="17"/>
    </row>
    <row r="9" spans="1:38" ht="17.45" customHeight="1">
      <c r="A9" s="42" t="s">
        <v>42</v>
      </c>
      <c r="B9" s="43" t="s">
        <v>17</v>
      </c>
      <c r="C9" s="43" t="s">
        <v>1562</v>
      </c>
      <c r="D9" s="71">
        <f>COUNTIFS(Database!F:F,C9,Database!P:P,"Last Month Pendency")</f>
        <v>0</v>
      </c>
      <c r="E9" s="71">
        <f>COUNTIFS(Database!F:F,C9,Database!P:P,"Fresh Month Institution")</f>
        <v>0</v>
      </c>
      <c r="F9" s="89">
        <f>COUNTIFS(Database!F:F,C9,Database!P:P,"Other Institution")</f>
        <v>0</v>
      </c>
      <c r="G9" s="89">
        <f>COUNTIFS(Database!F:F,C9,Database!P:P,"Transfer In")</f>
        <v>0</v>
      </c>
      <c r="H9" s="162">
        <f>COUNTIFS(Database!F:F,C9,Database!M:M,"Transfer Out")</f>
        <v>0</v>
      </c>
      <c r="I9" s="89">
        <f t="shared" si="0"/>
        <v>0</v>
      </c>
      <c r="J9" s="54">
        <f t="shared" si="1"/>
        <v>0</v>
      </c>
      <c r="K9" s="71">
        <f>COUNTIFS(Database!F:F,C9,Database!M:M,"Pleadguilty")</f>
        <v>0</v>
      </c>
      <c r="L9" s="71">
        <f>COUNTIFS(Database!F:F,C9,Database!M:M,"In Default")</f>
        <v>0</v>
      </c>
      <c r="M9" s="71">
        <f>COUNTIFS(Database!F:F,C9,Database!M:M,"Uncontested")</f>
        <v>0</v>
      </c>
      <c r="N9" s="51">
        <f t="shared" si="2"/>
        <v>0</v>
      </c>
      <c r="O9" s="71">
        <f>COUNTIFS(Database!F:F,C9,Database!L:L,"Disposed",Database!G:G,"&lt;01-09-2020")</f>
        <v>0</v>
      </c>
      <c r="P9" s="89">
        <f>COUNTIFS(Database!F:F,C9,Database!L:L,"Disposed",Database!G:G,"&gt;31-08-2020")</f>
        <v>0</v>
      </c>
      <c r="Q9" s="51">
        <f t="shared" si="3"/>
        <v>0</v>
      </c>
      <c r="R9" s="71">
        <f t="shared" si="4"/>
        <v>0</v>
      </c>
      <c r="S9" s="105">
        <f>COUNTIFS(Database!F:F,C9,Database!T:T,"Pending",Database!G:G,"&lt;01-09-2020")</f>
        <v>0</v>
      </c>
      <c r="T9" s="105">
        <f>COUNTIFS(Database!F:F,TRIM(C9),Database!T:T,"Pending",Database!G:G,"&gt;31-08-2020")</f>
        <v>0</v>
      </c>
      <c r="U9" s="51">
        <f t="shared" si="5"/>
        <v>0</v>
      </c>
      <c r="V9" s="420"/>
      <c r="W9" s="428"/>
      <c r="X9" s="428"/>
      <c r="Y9" s="428"/>
      <c r="Z9" s="428"/>
      <c r="AA9" s="428"/>
      <c r="AB9" s="384"/>
      <c r="AC9" s="385"/>
      <c r="AD9" s="390"/>
      <c r="AE9" s="261">
        <f>D9-H9</f>
        <v>0</v>
      </c>
      <c r="AF9" s="93">
        <f>COUNTIFS(Database!F:F,C9,Database!M:M,"Contested- Trial Based")</f>
        <v>0</v>
      </c>
      <c r="AG9" s="93">
        <f>COUNTIFS(Database!F:F,C9,Database!M:M,"Contested- Non Trial Based")</f>
        <v>0</v>
      </c>
      <c r="AK9" s="17">
        <f t="shared" si="6"/>
        <v>0</v>
      </c>
      <c r="AL9" s="17">
        <f>D9-H9</f>
        <v>0</v>
      </c>
    </row>
    <row r="10" spans="1:38" ht="17.45" customHeight="1">
      <c r="A10" s="42" t="s">
        <v>43</v>
      </c>
      <c r="B10" s="43" t="s">
        <v>18</v>
      </c>
      <c r="C10" s="43" t="s">
        <v>1558</v>
      </c>
      <c r="D10" s="71">
        <f>COUNTIFS(Database!F:F,C10,Database!P:P,"Last Month Pendency")</f>
        <v>5</v>
      </c>
      <c r="E10" s="71">
        <f>COUNTIFS(Database!F:F,C10,Database!P:P,"Fresh Month Institution")</f>
        <v>2</v>
      </c>
      <c r="F10" s="89">
        <f>COUNTIFS(Database!F:F,C10,Database!P:P,"Other Institution")</f>
        <v>0</v>
      </c>
      <c r="G10" s="89">
        <f>COUNTIFS(Database!F:F,C10,Database!P:P,"Transfer In")</f>
        <v>0</v>
      </c>
      <c r="H10" s="162">
        <f>COUNTIFS(Database!F:F,C10,Database!M:M,"Transfer Out")</f>
        <v>0</v>
      </c>
      <c r="I10" s="89">
        <f t="shared" si="0"/>
        <v>7</v>
      </c>
      <c r="J10" s="54">
        <f t="shared" si="1"/>
        <v>0</v>
      </c>
      <c r="K10" s="71">
        <f>COUNTIFS(Database!F:F,C10,Database!M:M,"Pleadguilty")</f>
        <v>0</v>
      </c>
      <c r="L10" s="71">
        <f>COUNTIFS(Database!F:F,C10,Database!M:M,"In Default")</f>
        <v>0</v>
      </c>
      <c r="M10" s="71">
        <f>COUNTIFS(Database!F:F,C10,Database!M:M,"Uncontested")</f>
        <v>0</v>
      </c>
      <c r="N10" s="51">
        <f t="shared" si="2"/>
        <v>0</v>
      </c>
      <c r="O10" s="71">
        <f>COUNTIFS(Database!F:F,C10,Database!L:L,"Disposed",Database!G:G,"&lt;01-09-2020")</f>
        <v>0</v>
      </c>
      <c r="P10" s="89">
        <f>COUNTIFS(Database!F:F,C10,Database!L:L,"Disposed",Database!G:G,"&gt;31-08-2020")</f>
        <v>0</v>
      </c>
      <c r="Q10" s="51">
        <f t="shared" si="3"/>
        <v>0</v>
      </c>
      <c r="R10" s="71">
        <f t="shared" si="4"/>
        <v>0</v>
      </c>
      <c r="S10" s="105">
        <f>COUNTIFS(Database!F:F,C10,Database!T:T,"Pending",Database!G:G,"&lt;01-09-2020")</f>
        <v>0</v>
      </c>
      <c r="T10" s="105">
        <f>COUNTIFS(Database!F:F,TRIM(C10),Database!T:T,"Pending",Database!G:G,"&gt;31-08-2020")</f>
        <v>7</v>
      </c>
      <c r="U10" s="51">
        <f t="shared" si="5"/>
        <v>7</v>
      </c>
      <c r="V10" s="420"/>
      <c r="W10" s="428"/>
      <c r="X10" s="428"/>
      <c r="Y10" s="428"/>
      <c r="Z10" s="428"/>
      <c r="AA10" s="428"/>
      <c r="AB10" s="384"/>
      <c r="AC10" s="385" t="s">
        <v>1538</v>
      </c>
      <c r="AD10" s="386">
        <f>AF9</f>
        <v>0</v>
      </c>
      <c r="AE10" s="93">
        <f>AE8+AE9</f>
        <v>25</v>
      </c>
      <c r="AF10" s="93">
        <f>COUNTIFS(Database!F:F,C10,Database!M:M,"Contested- Trial Based")</f>
        <v>0</v>
      </c>
      <c r="AG10" s="93">
        <f>COUNTIFS(Database!F:F,C10,Database!M:M,"Contested- Non Trial Based")</f>
        <v>0</v>
      </c>
      <c r="AK10" s="17">
        <f t="shared" si="6"/>
        <v>5</v>
      </c>
      <c r="AL10" s="17"/>
    </row>
    <row r="11" spans="1:38" ht="17.45" customHeight="1">
      <c r="A11" s="42" t="s">
        <v>44</v>
      </c>
      <c r="B11" s="43" t="s">
        <v>19</v>
      </c>
      <c r="C11" s="43" t="s">
        <v>111</v>
      </c>
      <c r="D11" s="71">
        <f>COUNTIFS(Database!F:F,C11,Database!P:P,"Last Month Pendency")</f>
        <v>0</v>
      </c>
      <c r="E11" s="71">
        <f>COUNTIFS(Database!F:F,C11,Database!P:P,"Fresh Month Institution")</f>
        <v>0</v>
      </c>
      <c r="F11" s="89">
        <f>COUNTIFS(Database!F:F,C11,Database!P:P,"Other Institution")</f>
        <v>0</v>
      </c>
      <c r="G11" s="89">
        <f>COUNTIFS(Database!F:F,C11,Database!P:P,"Transfer In")</f>
        <v>0</v>
      </c>
      <c r="H11" s="162">
        <f>COUNTIFS(Database!F:F,C11,Database!M:M,"Transfer Out")</f>
        <v>0</v>
      </c>
      <c r="I11" s="89">
        <f t="shared" si="0"/>
        <v>0</v>
      </c>
      <c r="J11" s="54">
        <f t="shared" si="1"/>
        <v>0</v>
      </c>
      <c r="K11" s="71">
        <f>COUNTIFS(Database!F:F,C11,Database!M:M,"Pleadguilty")</f>
        <v>0</v>
      </c>
      <c r="L11" s="71">
        <f>COUNTIFS(Database!F:F,C11,Database!M:M,"In Default")</f>
        <v>0</v>
      </c>
      <c r="M11" s="71">
        <f>COUNTIFS(Database!F:F,C11,Database!M:M,"Uncontested")</f>
        <v>0</v>
      </c>
      <c r="N11" s="51">
        <f t="shared" si="2"/>
        <v>0</v>
      </c>
      <c r="O11" s="71">
        <f>COUNTIFS(Database!F:F,C11,Database!L:L,"Disposed",Database!G:G,"&lt;01-09-2020")</f>
        <v>0</v>
      </c>
      <c r="P11" s="89">
        <f>COUNTIFS(Database!F:F,C11,Database!L:L,"Disposed",Database!G:G,"&gt;31-08-2020")</f>
        <v>0</v>
      </c>
      <c r="Q11" s="51">
        <f t="shared" si="3"/>
        <v>0</v>
      </c>
      <c r="R11" s="71">
        <f t="shared" si="4"/>
        <v>0</v>
      </c>
      <c r="S11" s="105">
        <f>COUNTIFS(Database!F:F,C11,Database!T:T,"Pending",Database!G:G,"&lt;01-09-2020")</f>
        <v>0</v>
      </c>
      <c r="T11" s="105">
        <f>COUNTIFS(Database!F:F,TRIM(C11),Database!T:T,"Pending",Database!G:G,"&gt;31-08-2020")</f>
        <v>0</v>
      </c>
      <c r="U11" s="51">
        <f t="shared" si="5"/>
        <v>0</v>
      </c>
      <c r="V11" s="420"/>
      <c r="W11" s="428"/>
      <c r="X11" s="428"/>
      <c r="Y11" s="428"/>
      <c r="Z11" s="428"/>
      <c r="AA11" s="428"/>
      <c r="AB11" s="384"/>
      <c r="AC11" s="385"/>
      <c r="AD11" s="386"/>
      <c r="AF11" s="93">
        <f>COUNTIFS(Database!F:F,C11,Database!M:M,"Contested- Trial Based")</f>
        <v>0</v>
      </c>
      <c r="AG11" s="93">
        <f>COUNTIFS(Database!F:F,C11,Database!M:M,"Contested- Non Trial Based")</f>
        <v>0</v>
      </c>
      <c r="AK11" s="17">
        <f t="shared" si="6"/>
        <v>0</v>
      </c>
      <c r="AL11" s="17"/>
    </row>
    <row r="12" spans="1:38" ht="17.45" customHeight="1">
      <c r="A12" s="42" t="s">
        <v>45</v>
      </c>
      <c r="B12" s="43" t="s">
        <v>1539</v>
      </c>
      <c r="C12" s="43" t="s">
        <v>1563</v>
      </c>
      <c r="D12" s="71">
        <f>COUNTIFS(Database!F:F,C12,Database!P:P,"Last Month Pendency")</f>
        <v>16</v>
      </c>
      <c r="E12" s="71">
        <f>COUNTIFS(Database!F:F,C12,Database!P:P,"Fresh Month Institution")</f>
        <v>0</v>
      </c>
      <c r="F12" s="89">
        <f>COUNTIFS(Database!F:F,C12,Database!P:P,"Other Institution")</f>
        <v>0</v>
      </c>
      <c r="G12" s="89">
        <f>COUNTIFS(Database!F:F,C12,Database!P:P,"Transfer In")</f>
        <v>0</v>
      </c>
      <c r="H12" s="162">
        <f>COUNTIFS(Database!F:F,C12,Database!M:M,"Transfer Out")</f>
        <v>0</v>
      </c>
      <c r="I12" s="89">
        <f t="shared" si="0"/>
        <v>16</v>
      </c>
      <c r="J12" s="54">
        <f t="shared" si="1"/>
        <v>0</v>
      </c>
      <c r="K12" s="71">
        <f>COUNTIFS(Database!F:F,C12,Database!M:M,"Pleadguilty")</f>
        <v>0</v>
      </c>
      <c r="L12" s="71">
        <f>COUNTIFS(Database!F:F,C12,Database!M:M,"In Default")</f>
        <v>0</v>
      </c>
      <c r="M12" s="71">
        <f>COUNTIFS(Database!F:F,C12,Database!M:M,"Uncontested")</f>
        <v>0</v>
      </c>
      <c r="N12" s="51">
        <f t="shared" si="2"/>
        <v>0</v>
      </c>
      <c r="O12" s="71">
        <f>COUNTIFS(Database!F:F,C12,Database!L:L,"Disposed",Database!G:G,"&lt;01-09-2020")</f>
        <v>0</v>
      </c>
      <c r="P12" s="89">
        <f>COUNTIFS(Database!F:F,C12,Database!L:L,"Disposed",Database!G:G,"&gt;31-08-2020")</f>
        <v>0</v>
      </c>
      <c r="Q12" s="51">
        <f t="shared" si="3"/>
        <v>0</v>
      </c>
      <c r="R12" s="71">
        <f t="shared" si="4"/>
        <v>0</v>
      </c>
      <c r="S12" s="105">
        <f>COUNTIFS(Database!F:F,C12,Database!T:T,"Pending",Database!G:G,"&lt;01-09-2020")</f>
        <v>0</v>
      </c>
      <c r="T12" s="105">
        <f>COUNTIFS(Database!F:F,TRIM(C12),Database!T:T,"Pending",Database!G:G,"&gt;31-08-2020")</f>
        <v>16</v>
      </c>
      <c r="U12" s="51">
        <f t="shared" si="5"/>
        <v>16</v>
      </c>
      <c r="V12" s="420"/>
      <c r="W12" s="428"/>
      <c r="X12" s="428"/>
      <c r="Y12" s="428"/>
      <c r="Z12" s="428"/>
      <c r="AA12" s="428"/>
      <c r="AB12" s="384"/>
      <c r="AC12" s="44" t="s">
        <v>1540</v>
      </c>
      <c r="AD12" s="45">
        <f>AF70-(AD8+AD10)</f>
        <v>5</v>
      </c>
      <c r="AF12" s="93">
        <f>COUNTIFS(Database!F:F,C12,Database!M:M,"Contested- Trial Based")</f>
        <v>0</v>
      </c>
      <c r="AG12" s="93">
        <f>COUNTIFS(Database!F:F,C12,Database!M:M,"Contested- Non Trial Based")</f>
        <v>0</v>
      </c>
      <c r="AK12" s="17">
        <f t="shared" si="6"/>
        <v>16</v>
      </c>
      <c r="AL12" s="17"/>
    </row>
    <row r="13" spans="1:38" ht="36.6" customHeight="1">
      <c r="A13" s="42" t="s">
        <v>46</v>
      </c>
      <c r="B13" s="43" t="s">
        <v>20</v>
      </c>
      <c r="C13" s="43" t="s">
        <v>1564</v>
      </c>
      <c r="D13" s="71">
        <f>COUNTIFS(Database!F:F,C13,Database!P:P,"Last Month Pendency")</f>
        <v>0</v>
      </c>
      <c r="E13" s="71">
        <f>COUNTIFS(Database!F:F,C13,Database!P:P,"Fresh Month Institution")</f>
        <v>0</v>
      </c>
      <c r="F13" s="89">
        <f>COUNTIFS(Database!F:F,C13,Database!P:P,"Other Institution")</f>
        <v>0</v>
      </c>
      <c r="G13" s="89">
        <f>COUNTIFS(Database!F:F,C13,Database!P:P,"Transfer In")</f>
        <v>0</v>
      </c>
      <c r="H13" s="162">
        <f>COUNTIFS(Database!F:F,C13,Database!M:M,"Transfer Out")</f>
        <v>0</v>
      </c>
      <c r="I13" s="89">
        <f t="shared" si="0"/>
        <v>0</v>
      </c>
      <c r="J13" s="54">
        <f t="shared" si="1"/>
        <v>0</v>
      </c>
      <c r="K13" s="71">
        <f>COUNTIFS(Database!F:F,C13,Database!M:M,"Pleadguilty")</f>
        <v>0</v>
      </c>
      <c r="L13" s="71">
        <f>COUNTIFS(Database!F:F,C13,Database!M:M,"In Default")</f>
        <v>0</v>
      </c>
      <c r="M13" s="71">
        <f>COUNTIFS(Database!F:F,C13,Database!M:M,"Uncontested")</f>
        <v>0</v>
      </c>
      <c r="N13" s="51">
        <f t="shared" si="2"/>
        <v>0</v>
      </c>
      <c r="O13" s="71">
        <f>COUNTIFS(Database!F:F,C13,Database!L:L,"Disposed",Database!G:G,"&lt;01-09-2020")</f>
        <v>0</v>
      </c>
      <c r="P13" s="89">
        <f>COUNTIFS(Database!F:F,C13,Database!L:L,"Disposed",Database!G:G,"&gt;31-08-2020")</f>
        <v>0</v>
      </c>
      <c r="Q13" s="51">
        <f t="shared" si="3"/>
        <v>0</v>
      </c>
      <c r="R13" s="71">
        <f t="shared" si="4"/>
        <v>0</v>
      </c>
      <c r="S13" s="105">
        <f>COUNTIFS(Database!F:F,C13,Database!T:T,"Pending",Database!G:G,"&lt;01-09-2020")</f>
        <v>0</v>
      </c>
      <c r="T13" s="105">
        <f>COUNTIFS(Database!F:F,TRIM(C13),Database!T:T,"Pending",Database!G:G,"&gt;31-08-2020")</f>
        <v>0</v>
      </c>
      <c r="U13" s="51">
        <f t="shared" si="5"/>
        <v>0</v>
      </c>
      <c r="V13" s="420"/>
      <c r="W13" s="428"/>
      <c r="X13" s="428"/>
      <c r="Y13" s="428"/>
      <c r="Z13" s="428"/>
      <c r="AA13" s="428"/>
      <c r="AB13" s="384"/>
      <c r="AC13" s="46" t="str">
        <f>CONCATENATE("Total Trial Based , (Target is ",'Summary Sheet'!R6,")")</f>
        <v>Total Trial Based , (Target is 6)</v>
      </c>
      <c r="AD13" s="45">
        <f>SUM(AD8:AD12)</f>
        <v>6</v>
      </c>
      <c r="AF13" s="93">
        <f>COUNTIFS(Database!F:F,C13,Database!M:M,"Contested- Trial Based")</f>
        <v>0</v>
      </c>
      <c r="AG13" s="93">
        <f>COUNTIFS(Database!F:F,C13,Database!M:M,"Contested- Non Trial Based")</f>
        <v>0</v>
      </c>
      <c r="AK13" s="17">
        <f t="shared" si="6"/>
        <v>0</v>
      </c>
      <c r="AL13" s="17"/>
    </row>
    <row r="14" spans="1:38" ht="43.9" customHeight="1">
      <c r="A14" s="42" t="s">
        <v>47</v>
      </c>
      <c r="B14" s="43" t="s">
        <v>1878</v>
      </c>
      <c r="C14" s="43" t="s">
        <v>1879</v>
      </c>
      <c r="D14" s="71">
        <f>COUNTIFS(Database!F:F,C14,Database!P:P,"Last Month Pendency")</f>
        <v>0</v>
      </c>
      <c r="E14" s="71">
        <f>COUNTIFS(Database!F:F,C14,Database!P:P,"Fresh Month Institution")</f>
        <v>0</v>
      </c>
      <c r="F14" s="89">
        <f>COUNTIFS(Database!F:F,C14,Database!P:P,"Other Institution")</f>
        <v>0</v>
      </c>
      <c r="G14" s="89">
        <f>COUNTIFS(Database!F:F,C14,Database!P:P,"Transfer In")</f>
        <v>0</v>
      </c>
      <c r="H14" s="162">
        <f>COUNTIFS(Database!F:F,C14,Database!M:M,"Transfer Out")</f>
        <v>0</v>
      </c>
      <c r="I14" s="89">
        <f t="shared" si="0"/>
        <v>0</v>
      </c>
      <c r="J14" s="54">
        <f t="shared" si="1"/>
        <v>0</v>
      </c>
      <c r="K14" s="71">
        <f>COUNTIFS(Database!F:F,C14,Database!M:M,"Pleadguilty")</f>
        <v>0</v>
      </c>
      <c r="L14" s="71">
        <f>COUNTIFS(Database!F:F,C14,Database!M:M,"In Default")</f>
        <v>0</v>
      </c>
      <c r="M14" s="71">
        <f>COUNTIFS(Database!F:F,C14,Database!M:M,"Uncontested")</f>
        <v>0</v>
      </c>
      <c r="N14" s="51">
        <f t="shared" si="2"/>
        <v>0</v>
      </c>
      <c r="O14" s="71">
        <f>COUNTIFS(Database!F:F,C14,Database!L:L,"Disposed",Database!G:G,"&lt;01-09-2020")</f>
        <v>0</v>
      </c>
      <c r="P14" s="89">
        <f>COUNTIFS(Database!F:F,C14,Database!L:L,"Disposed",Database!G:G,"&gt;31-08-2020")</f>
        <v>0</v>
      </c>
      <c r="Q14" s="51">
        <f t="shared" si="3"/>
        <v>0</v>
      </c>
      <c r="R14" s="71">
        <f t="shared" si="4"/>
        <v>0</v>
      </c>
      <c r="S14" s="105">
        <f>COUNTIFS(Database!F:F,C14,Database!T:T,"Pending",Database!G:G,"&lt;01-09-2020")</f>
        <v>0</v>
      </c>
      <c r="T14" s="105">
        <f>COUNTIFS(Database!F:F,TRIM(C14),Database!T:T,"Pending",Database!G:G,"&gt;31-08-2020")</f>
        <v>0</v>
      </c>
      <c r="U14" s="51">
        <f t="shared" si="5"/>
        <v>0</v>
      </c>
      <c r="V14" s="420"/>
      <c r="W14" s="428"/>
      <c r="X14" s="428"/>
      <c r="Y14" s="428"/>
      <c r="Z14" s="428"/>
      <c r="AA14" s="428"/>
      <c r="AB14" s="387" t="s">
        <v>1541</v>
      </c>
      <c r="AC14" s="387"/>
      <c r="AD14" s="45">
        <f>AG70</f>
        <v>34</v>
      </c>
      <c r="AF14" s="93">
        <f>COUNTIFS(Database!F:F,C14,Database!M:M,"Contested- Trial Based")</f>
        <v>0</v>
      </c>
      <c r="AG14" s="93">
        <f>COUNTIFS(Database!F:F,C14,Database!M:M,"Contested- Non Trial Based")</f>
        <v>0</v>
      </c>
      <c r="AK14" s="17">
        <f t="shared" si="6"/>
        <v>0</v>
      </c>
      <c r="AL14" s="17"/>
    </row>
    <row r="15" spans="1:38" ht="17.45" customHeight="1">
      <c r="A15" s="42" t="s">
        <v>48</v>
      </c>
      <c r="B15" s="43" t="s">
        <v>21</v>
      </c>
      <c r="C15" s="43" t="s">
        <v>1565</v>
      </c>
      <c r="D15" s="71">
        <f>COUNTIFS(Database!F:F,C15,Database!P:P,"Last Month Pendency")</f>
        <v>0</v>
      </c>
      <c r="E15" s="71">
        <f>COUNTIFS(Database!F:F,C15,Database!P:P,"Fresh Month Institution")</f>
        <v>0</v>
      </c>
      <c r="F15" s="89">
        <f>COUNTIFS(Database!F:F,C15,Database!P:P,"Other Institution")</f>
        <v>0</v>
      </c>
      <c r="G15" s="89">
        <f>COUNTIFS(Database!F:F,C15,Database!P:P,"Transfer In")</f>
        <v>0</v>
      </c>
      <c r="H15" s="162">
        <f>COUNTIFS(Database!F:F,C15,Database!M:M,"Transfer Out")</f>
        <v>0</v>
      </c>
      <c r="I15" s="89">
        <f t="shared" si="0"/>
        <v>0</v>
      </c>
      <c r="J15" s="54">
        <f t="shared" si="1"/>
        <v>0</v>
      </c>
      <c r="K15" s="71">
        <f>COUNTIFS(Database!F:F,C15,Database!M:M,"Pleadguilty")</f>
        <v>0</v>
      </c>
      <c r="L15" s="71">
        <f>COUNTIFS(Database!F:F,C15,Database!M:M,"In Default")</f>
        <v>0</v>
      </c>
      <c r="M15" s="71">
        <f>COUNTIFS(Database!F:F,C15,Database!M:M,"Uncontested")</f>
        <v>0</v>
      </c>
      <c r="N15" s="51">
        <f t="shared" si="2"/>
        <v>0</v>
      </c>
      <c r="O15" s="71">
        <f>COUNTIFS(Database!F:F,C15,Database!L:L,"Disposed",Database!G:G,"&lt;01-09-2020")</f>
        <v>0</v>
      </c>
      <c r="P15" s="89">
        <f>COUNTIFS(Database!F:F,C15,Database!L:L,"Disposed",Database!G:G,"&gt;31-08-2020")</f>
        <v>0</v>
      </c>
      <c r="Q15" s="51">
        <f t="shared" si="3"/>
        <v>0</v>
      </c>
      <c r="R15" s="71">
        <f t="shared" si="4"/>
        <v>0</v>
      </c>
      <c r="S15" s="105">
        <f>COUNTIFS(Database!F:F,C15,Database!T:T,"Pending",Database!G:G,"&lt;01-09-2020")</f>
        <v>0</v>
      </c>
      <c r="T15" s="105">
        <f>COUNTIFS(Database!F:F,TRIM(C15),Database!T:T,"Pending",Database!G:G,"&gt;31-08-2020")</f>
        <v>0</v>
      </c>
      <c r="U15" s="51">
        <f t="shared" si="5"/>
        <v>0</v>
      </c>
      <c r="V15" s="420"/>
      <c r="W15" s="428"/>
      <c r="X15" s="428"/>
      <c r="Y15" s="428"/>
      <c r="Z15" s="428"/>
      <c r="AA15" s="428"/>
      <c r="AB15" s="387" t="s">
        <v>1542</v>
      </c>
      <c r="AC15" s="387"/>
      <c r="AD15" s="45">
        <f>SUM(AD13:AD14)</f>
        <v>40</v>
      </c>
      <c r="AF15" s="93">
        <f>COUNTIFS(Database!F:F,C15,Database!M:M,"Contested- Trial Based")</f>
        <v>0</v>
      </c>
      <c r="AG15" s="93">
        <f>COUNTIFS(Database!F:F,C15,Database!M:M,"Contested- Non Trial Based")</f>
        <v>0</v>
      </c>
      <c r="AK15" s="17">
        <f t="shared" si="6"/>
        <v>0</v>
      </c>
      <c r="AL15" s="17"/>
    </row>
    <row r="16" spans="1:38" ht="36.6" customHeight="1">
      <c r="A16" s="42" t="s">
        <v>49</v>
      </c>
      <c r="B16" s="43" t="s">
        <v>22</v>
      </c>
      <c r="C16" s="43" t="s">
        <v>1566</v>
      </c>
      <c r="D16" s="71">
        <f>COUNTIFS(Database!F:F,C16,Database!P:P,"Last Month Pendency")</f>
        <v>6</v>
      </c>
      <c r="E16" s="71">
        <f>COUNTIFS(Database!F:F,C16,Database!P:P,"Fresh Month Institution")</f>
        <v>1</v>
      </c>
      <c r="F16" s="89">
        <f>COUNTIFS(Database!F:F,C16,Database!P:P,"Other Institution")</f>
        <v>0</v>
      </c>
      <c r="G16" s="89">
        <f>COUNTIFS(Database!F:F,C16,Database!P:P,"Transfer In")</f>
        <v>0</v>
      </c>
      <c r="H16" s="162">
        <f>COUNTIFS(Database!F:F,C16,Database!M:M,"Transfer Out")</f>
        <v>0</v>
      </c>
      <c r="I16" s="89">
        <f>SUM(D16,E16,F16,G16)-H16</f>
        <v>7</v>
      </c>
      <c r="J16" s="54">
        <f t="shared" si="1"/>
        <v>0</v>
      </c>
      <c r="K16" s="71">
        <f>COUNTIFS(Database!F:F,C16,Database!M:M,"Pleadguilty")</f>
        <v>0</v>
      </c>
      <c r="L16" s="71">
        <f>COUNTIFS(Database!F:F,C16,Database!M:M,"In Default")</f>
        <v>0</v>
      </c>
      <c r="M16" s="71">
        <f>COUNTIFS(Database!F:F,C16,Database!M:M,"Uncontested")</f>
        <v>0</v>
      </c>
      <c r="N16" s="51">
        <f t="shared" si="2"/>
        <v>0</v>
      </c>
      <c r="O16" s="71">
        <f>COUNTIFS(Database!F:F,C16,Database!L:L,"Disposed",Database!G:G,"&lt;01-09-2020")</f>
        <v>0</v>
      </c>
      <c r="P16" s="89">
        <f>COUNTIFS(Database!F:F,C16,Database!L:L,"Disposed",Database!G:G,"&gt;31-08-2020")</f>
        <v>0</v>
      </c>
      <c r="Q16" s="51">
        <f t="shared" si="3"/>
        <v>0</v>
      </c>
      <c r="R16" s="71">
        <f t="shared" si="4"/>
        <v>0</v>
      </c>
      <c r="S16" s="105">
        <f>COUNTIFS(Database!F:F,C16,Database!T:T,"Pending",Database!G:G,"&lt;01-09-2020")</f>
        <v>3</v>
      </c>
      <c r="T16" s="105">
        <f>COUNTIFS(Database!F:F,TRIM(C16),Database!T:T,"Pending",Database!G:G,"&gt;31-08-2020")</f>
        <v>4</v>
      </c>
      <c r="U16" s="51">
        <f t="shared" si="5"/>
        <v>7</v>
      </c>
      <c r="V16" s="420"/>
      <c r="W16" s="428" t="s">
        <v>1900</v>
      </c>
      <c r="X16" s="428"/>
      <c r="Y16" s="428"/>
      <c r="Z16" s="428"/>
      <c r="AA16" s="428"/>
      <c r="AB16" s="388">
        <f>(IFERROR((N35+N68),0))</f>
        <v>95</v>
      </c>
      <c r="AC16" s="388"/>
      <c r="AD16" s="388"/>
      <c r="AF16" s="93">
        <f>COUNTIFS(Database!F:F,C16,Database!M:M,"Contested- Trial Based")</f>
        <v>0</v>
      </c>
      <c r="AG16" s="93">
        <f>COUNTIFS(Database!F:F,C16,Database!M:M,"Contested- Non Trial Based")</f>
        <v>0</v>
      </c>
      <c r="AK16" s="17">
        <f t="shared" si="6"/>
        <v>6</v>
      </c>
      <c r="AL16" s="17"/>
    </row>
    <row r="17" spans="1:38" ht="46.15" customHeight="1">
      <c r="A17" s="42" t="s">
        <v>50</v>
      </c>
      <c r="B17" s="43" t="s">
        <v>1543</v>
      </c>
      <c r="C17" s="43" t="s">
        <v>1567</v>
      </c>
      <c r="D17" s="71">
        <f>COUNTIFS(Database!F:F,C17,Database!P:P,"Last Month Pendency")</f>
        <v>94</v>
      </c>
      <c r="E17" s="71">
        <f>COUNTIFS(Database!F:F,C17,Database!P:P,"Fresh Month Institution")</f>
        <v>1</v>
      </c>
      <c r="F17" s="89">
        <f>COUNTIFS(Database!F:F,C17,Database!P:P,"Other Institution")</f>
        <v>0</v>
      </c>
      <c r="G17" s="89">
        <f>COUNTIFS(Database!F:F,C17,Database!P:P,"Transfer In")</f>
        <v>0</v>
      </c>
      <c r="H17" s="162">
        <f>COUNTIFS(Database!F:F,C17,Database!M:M,"Transfer Out")</f>
        <v>0</v>
      </c>
      <c r="I17" s="89">
        <f t="shared" si="0"/>
        <v>95</v>
      </c>
      <c r="J17" s="54">
        <f t="shared" si="1"/>
        <v>0</v>
      </c>
      <c r="K17" s="71">
        <f>COUNTIFS(Database!F:F,C17,Database!M:M,"Pleadguilty")</f>
        <v>1</v>
      </c>
      <c r="L17" s="71">
        <f>COUNTIFS(Database!F:F,C17,Database!M:M,"In Default")</f>
        <v>0</v>
      </c>
      <c r="M17" s="71">
        <f>COUNTIFS(Database!F:F,C17,Database!M:M,"Uncontested")</f>
        <v>0</v>
      </c>
      <c r="N17" s="51">
        <f t="shared" si="2"/>
        <v>1</v>
      </c>
      <c r="O17" s="71">
        <f>COUNTIFS(Database!F:F,C17,Database!L:L,"Disposed",Database!G:G,"&lt;01-09-2020")</f>
        <v>0</v>
      </c>
      <c r="P17" s="89">
        <f>COUNTIFS(Database!F:F,C17,Database!L:L,"Disposed",Database!G:G,"&gt;31-08-2020")</f>
        <v>1</v>
      </c>
      <c r="Q17" s="51">
        <f t="shared" si="3"/>
        <v>1</v>
      </c>
      <c r="R17" s="71">
        <f t="shared" si="4"/>
        <v>0</v>
      </c>
      <c r="S17" s="105">
        <f>COUNTIFS(Database!F:F,C17,Database!T:T,"Pending",Database!G:G,"&lt;01-09-2020")</f>
        <v>0</v>
      </c>
      <c r="T17" s="105">
        <f>COUNTIFS(Database!F:F,TRIM(C17),Database!T:T,"Pending",Database!G:G,"&gt;31-08-2020")</f>
        <v>94</v>
      </c>
      <c r="U17" s="51">
        <f t="shared" si="5"/>
        <v>94</v>
      </c>
      <c r="V17" s="47"/>
      <c r="W17" s="382" t="s">
        <v>1925</v>
      </c>
      <c r="X17" s="382"/>
      <c r="Y17" s="382"/>
      <c r="Z17" s="391" t="s">
        <v>2013</v>
      </c>
      <c r="AA17" s="391"/>
      <c r="AB17" s="194" t="s">
        <v>1928</v>
      </c>
      <c r="AC17" s="194" t="s">
        <v>1929</v>
      </c>
      <c r="AD17" s="194" t="s">
        <v>1593</v>
      </c>
      <c r="AF17" s="93">
        <f>COUNTIFS(Database!F:F,C17,Database!M:M,"Contested- Trial Based")</f>
        <v>0</v>
      </c>
      <c r="AG17" s="93">
        <f>COUNTIFS(Database!F:F,C17,Database!M:M,"Contested- Non Trial Based")</f>
        <v>0</v>
      </c>
      <c r="AK17" s="17">
        <f t="shared" si="6"/>
        <v>94</v>
      </c>
      <c r="AL17" s="17"/>
    </row>
    <row r="18" spans="1:38" ht="17.45" customHeight="1">
      <c r="A18" s="42" t="s">
        <v>51</v>
      </c>
      <c r="B18" s="43" t="s">
        <v>1544</v>
      </c>
      <c r="C18" s="43" t="s">
        <v>1568</v>
      </c>
      <c r="D18" s="71">
        <f>COUNTIFS(Database!F:F,C18,Database!P:P,"Last Month Pendency")</f>
        <v>0</v>
      </c>
      <c r="E18" s="71">
        <f>COUNTIFS(Database!F:F,C18,Database!P:P,"Fresh Month Institution")</f>
        <v>0</v>
      </c>
      <c r="F18" s="89">
        <f>COUNTIFS(Database!F:F,C18,Database!P:P,"Other Institution")</f>
        <v>0</v>
      </c>
      <c r="G18" s="89">
        <f>COUNTIFS(Database!F:F,C18,Database!P:P,"Transfer In")</f>
        <v>0</v>
      </c>
      <c r="H18" s="162">
        <f>COUNTIFS(Database!F:F,C18,Database!M:M,"Transfer Out")</f>
        <v>0</v>
      </c>
      <c r="I18" s="89">
        <f t="shared" si="0"/>
        <v>0</v>
      </c>
      <c r="J18" s="54">
        <f t="shared" si="1"/>
        <v>0</v>
      </c>
      <c r="K18" s="71">
        <f>COUNTIFS(Database!F:F,C18,Database!M:M,"Pleadguilty")</f>
        <v>0</v>
      </c>
      <c r="L18" s="71">
        <f>COUNTIFS(Database!F:F,C18,Database!M:M,"In Default")</f>
        <v>0</v>
      </c>
      <c r="M18" s="71">
        <f>COUNTIFS(Database!F:F,C18,Database!M:M,"Uncontested")</f>
        <v>0</v>
      </c>
      <c r="N18" s="51">
        <f t="shared" si="2"/>
        <v>0</v>
      </c>
      <c r="O18" s="71">
        <f>COUNTIFS(Database!F:F,C18,Database!L:L,"Disposed",Database!G:G,"&lt;01-09-2020")</f>
        <v>0</v>
      </c>
      <c r="P18" s="89">
        <f>COUNTIFS(Database!F:F,C18,Database!L:L,"Disposed",Database!G:G,"&gt;31-08-2020")</f>
        <v>0</v>
      </c>
      <c r="Q18" s="51">
        <f t="shared" si="3"/>
        <v>0</v>
      </c>
      <c r="R18" s="71">
        <f t="shared" si="4"/>
        <v>0</v>
      </c>
      <c r="S18" s="105">
        <f>COUNTIFS(Database!F:F,C18,Database!T:T,"Pending",Database!G:G,"&lt;01-09-2020")</f>
        <v>0</v>
      </c>
      <c r="T18" s="105">
        <f>COUNTIFS(Database!F:F,TRIM(C18),Database!T:T,"Pending",Database!G:G,"&gt;31-08-2020")</f>
        <v>0</v>
      </c>
      <c r="U18" s="51">
        <f t="shared" si="5"/>
        <v>0</v>
      </c>
      <c r="V18" s="47"/>
      <c r="W18" s="190"/>
      <c r="X18" s="392" t="s">
        <v>1926</v>
      </c>
      <c r="Y18" s="392"/>
      <c r="Z18" s="392">
        <f>U52+U67</f>
        <v>0</v>
      </c>
      <c r="AA18" s="392"/>
      <c r="AB18" s="188">
        <f>U53</f>
        <v>56</v>
      </c>
      <c r="AC18" s="191">
        <f>U68-(Z18+AB18)</f>
        <v>344</v>
      </c>
      <c r="AD18" s="191">
        <f>U68</f>
        <v>400</v>
      </c>
      <c r="AF18" s="93">
        <f>COUNTIFS(Database!F:F,C18,Database!M:M,"Contested- Trial Based")</f>
        <v>0</v>
      </c>
      <c r="AG18" s="93">
        <f>COUNTIFS(Database!F:F,C18,Database!M:M,"Contested- Non Trial Based")</f>
        <v>0</v>
      </c>
      <c r="AK18" s="17">
        <f t="shared" si="6"/>
        <v>0</v>
      </c>
      <c r="AL18" s="17"/>
    </row>
    <row r="19" spans="1:38" ht="17.45" customHeight="1">
      <c r="A19" s="42" t="s">
        <v>52</v>
      </c>
      <c r="B19" s="43" t="s">
        <v>23</v>
      </c>
      <c r="C19" s="43" t="s">
        <v>1569</v>
      </c>
      <c r="D19" s="71">
        <f>COUNTIFS(Database!F:F,C19,Database!P:P,"Last Month Pendency")</f>
        <v>1</v>
      </c>
      <c r="E19" s="71">
        <f>COUNTIFS(Database!F:F,C19,Database!P:P,"Fresh Month Institution")</f>
        <v>3</v>
      </c>
      <c r="F19" s="89">
        <f>COUNTIFS(Database!F:F,C19,Database!P:P,"Other Institution")</f>
        <v>0</v>
      </c>
      <c r="G19" s="89">
        <f>COUNTIFS(Database!F:F,C19,Database!P:P,"Transfer In")</f>
        <v>0</v>
      </c>
      <c r="H19" s="162">
        <f>COUNTIFS(Database!F:F,C19,Database!M:M,"Transfer Out")</f>
        <v>0</v>
      </c>
      <c r="I19" s="89">
        <f t="shared" si="0"/>
        <v>4</v>
      </c>
      <c r="J19" s="54">
        <f t="shared" si="1"/>
        <v>0</v>
      </c>
      <c r="K19" s="71">
        <f>COUNTIFS(Database!F:F,C19,Database!M:M,"Pleadguilty")</f>
        <v>0</v>
      </c>
      <c r="L19" s="71">
        <f>COUNTIFS(Database!F:F,C19,Database!M:M,"In Default")</f>
        <v>0</v>
      </c>
      <c r="M19" s="71">
        <f>COUNTIFS(Database!F:F,C19,Database!M:M,"Uncontested")</f>
        <v>1</v>
      </c>
      <c r="N19" s="51">
        <f t="shared" si="2"/>
        <v>1</v>
      </c>
      <c r="O19" s="71">
        <f>COUNTIFS(Database!F:F,C19,Database!L:L,"Disposed",Database!G:G,"&lt;01-09-2020")</f>
        <v>0</v>
      </c>
      <c r="P19" s="89">
        <f>COUNTIFS(Database!F:F,C19,Database!L:L,"Disposed",Database!G:G,"&gt;31-08-2020")</f>
        <v>1</v>
      </c>
      <c r="Q19" s="51">
        <f t="shared" si="3"/>
        <v>1</v>
      </c>
      <c r="R19" s="71">
        <f t="shared" si="4"/>
        <v>0</v>
      </c>
      <c r="S19" s="105">
        <f>COUNTIFS(Database!F:F,C19,Database!T:T,"Pending",Database!G:G,"&lt;01-09-2020")</f>
        <v>0</v>
      </c>
      <c r="T19" s="105">
        <f>COUNTIFS(Database!F:F,TRIM(C19),Database!T:T,"Pending",Database!G:G,"&gt;31-08-2020")</f>
        <v>3</v>
      </c>
      <c r="U19" s="51">
        <f>SUM(S19,T19)</f>
        <v>3</v>
      </c>
      <c r="V19" s="47"/>
      <c r="W19" s="190"/>
      <c r="X19" s="392" t="s">
        <v>1927</v>
      </c>
      <c r="Y19" s="392"/>
      <c r="Z19" s="392"/>
      <c r="AA19" s="392"/>
      <c r="AB19" s="191"/>
      <c r="AC19" s="191">
        <f>U35</f>
        <v>197</v>
      </c>
      <c r="AD19" s="191">
        <f>U35</f>
        <v>197</v>
      </c>
      <c r="AF19" s="93">
        <f>COUNTIFS(Database!F:F,C19,Database!M:M,"Contested- Trial Based")</f>
        <v>0</v>
      </c>
      <c r="AG19" s="93">
        <f>COUNTIFS(Database!F:F,C19,Database!M:M,"Contested- Non Trial Based")</f>
        <v>0</v>
      </c>
      <c r="AK19" s="17">
        <f t="shared" si="6"/>
        <v>1</v>
      </c>
      <c r="AL19" s="17"/>
    </row>
    <row r="20" spans="1:38" ht="17.45" customHeight="1">
      <c r="A20" s="42" t="s">
        <v>53</v>
      </c>
      <c r="B20" s="48" t="s">
        <v>24</v>
      </c>
      <c r="C20" s="43" t="s">
        <v>1570</v>
      </c>
      <c r="D20" s="71">
        <f>COUNTIFS(Database!F:F,C20,Database!P:P,"Last Month Pendency")</f>
        <v>1</v>
      </c>
      <c r="E20" s="71">
        <f>COUNTIFS(Database!F:F,C20,Database!P:P,"Fresh Month Institution")</f>
        <v>0</v>
      </c>
      <c r="F20" s="89">
        <f>COUNTIFS(Database!F:F,C20,Database!P:P,"Other Institution")</f>
        <v>0</v>
      </c>
      <c r="G20" s="89">
        <f>COUNTIFS(Database!F:F,C20,Database!P:P,"Transfer In")</f>
        <v>0</v>
      </c>
      <c r="H20" s="162">
        <f>COUNTIFS(Database!F:F,C20,Database!M:M,"Transfer Out")</f>
        <v>0</v>
      </c>
      <c r="I20" s="89">
        <f t="shared" si="0"/>
        <v>1</v>
      </c>
      <c r="J20" s="54">
        <f t="shared" si="1"/>
        <v>0</v>
      </c>
      <c r="K20" s="71">
        <f>COUNTIFS(Database!F:F,C20,Database!M:M,"Pleadguilty")</f>
        <v>0</v>
      </c>
      <c r="L20" s="71">
        <f>COUNTIFS(Database!F:F,C20,Database!M:M,"In Default")</f>
        <v>0</v>
      </c>
      <c r="M20" s="71">
        <f>COUNTIFS(Database!F:F,C20,Database!M:M,"Uncontested")</f>
        <v>0</v>
      </c>
      <c r="N20" s="51">
        <f t="shared" si="2"/>
        <v>0</v>
      </c>
      <c r="O20" s="71">
        <f>COUNTIFS(Database!F:F,C20,Database!L:L,"Disposed",Database!G:G,"&lt;01-09-2020")</f>
        <v>0</v>
      </c>
      <c r="P20" s="89">
        <f>COUNTIFS(Database!F:F,C20,Database!L:L,"Disposed",Database!G:G,"&gt;31-08-2020")</f>
        <v>0</v>
      </c>
      <c r="Q20" s="51">
        <f t="shared" si="3"/>
        <v>0</v>
      </c>
      <c r="R20" s="71">
        <f t="shared" si="4"/>
        <v>0</v>
      </c>
      <c r="S20" s="105">
        <f>COUNTIFS(Database!F:F,C20,Database!T:T,"Pending",Database!G:G,"&lt;01-09-2020")</f>
        <v>0</v>
      </c>
      <c r="T20" s="105">
        <f>COUNTIFS(Database!F:F,TRIM(C20),Database!T:T,"Pending",Database!G:G,"&gt;31-08-2020")</f>
        <v>1</v>
      </c>
      <c r="U20" s="51">
        <f t="shared" si="5"/>
        <v>1</v>
      </c>
      <c r="V20" s="47"/>
      <c r="W20" s="190"/>
      <c r="X20" s="192" t="s">
        <v>1592</v>
      </c>
      <c r="Y20" s="192"/>
      <c r="Z20" s="440">
        <f>Z18</f>
        <v>0</v>
      </c>
      <c r="AA20" s="441"/>
      <c r="AB20" s="193">
        <f>AB18</f>
        <v>56</v>
      </c>
      <c r="AC20" s="193">
        <f>SUM(AC18:AC19)</f>
        <v>541</v>
      </c>
      <c r="AD20" s="193">
        <f>SUM(AD18:AD19)</f>
        <v>597</v>
      </c>
      <c r="AF20" s="93">
        <f>COUNTIFS(Database!F:F,C20,Database!M:M,"Contested- Trial Based")</f>
        <v>0</v>
      </c>
      <c r="AG20" s="93">
        <f>COUNTIFS(Database!F:F,C20,Database!M:M,"Contested- Non Trial Based")</f>
        <v>0</v>
      </c>
      <c r="AK20" s="17">
        <f t="shared" si="6"/>
        <v>1</v>
      </c>
      <c r="AL20" s="17"/>
    </row>
    <row r="21" spans="1:38" ht="17.45" customHeight="1">
      <c r="A21" s="42" t="s">
        <v>54</v>
      </c>
      <c r="B21" s="43" t="s">
        <v>25</v>
      </c>
      <c r="C21" s="43" t="s">
        <v>1571</v>
      </c>
      <c r="D21" s="71">
        <f>COUNTIFS(Database!F:F,C21,Database!P:P,"Last Month Pendency")</f>
        <v>1</v>
      </c>
      <c r="E21" s="71">
        <f>COUNTIFS(Database!F:F,C21,Database!P:P,"Fresh Month Institution")</f>
        <v>0</v>
      </c>
      <c r="F21" s="89">
        <f>COUNTIFS(Database!F:F,C21,Database!P:P,"Other Institution")</f>
        <v>0</v>
      </c>
      <c r="G21" s="89">
        <f>COUNTIFS(Database!F:F,C21,Database!P:P,"Transfer In")</f>
        <v>0</v>
      </c>
      <c r="H21" s="162">
        <f>COUNTIFS(Database!F:F,C21,Database!M:M,"Transfer Out")</f>
        <v>0</v>
      </c>
      <c r="I21" s="89">
        <f t="shared" si="0"/>
        <v>1</v>
      </c>
      <c r="J21" s="54">
        <f t="shared" si="1"/>
        <v>0</v>
      </c>
      <c r="K21" s="71">
        <f>COUNTIFS(Database!F:F,C21,Database!M:M,"Pleadguilty")</f>
        <v>0</v>
      </c>
      <c r="L21" s="71">
        <f>COUNTIFS(Database!F:F,C21,Database!M:M,"In Default")</f>
        <v>0</v>
      </c>
      <c r="M21" s="71">
        <f>COUNTIFS(Database!F:F,C21,Database!M:M,"Uncontested")</f>
        <v>0</v>
      </c>
      <c r="N21" s="51">
        <f t="shared" si="2"/>
        <v>0</v>
      </c>
      <c r="O21" s="71">
        <f>COUNTIFS(Database!F:F,C21,Database!L:L,"Disposed",Database!G:G,"&lt;01-09-2020")</f>
        <v>0</v>
      </c>
      <c r="P21" s="89">
        <f>COUNTIFS(Database!F:F,C21,Database!L:L,"Disposed",Database!G:G,"&gt;31-08-2020")</f>
        <v>0</v>
      </c>
      <c r="Q21" s="51">
        <f>SUM(O21,P21)</f>
        <v>0</v>
      </c>
      <c r="R21" s="71">
        <f t="shared" si="4"/>
        <v>0</v>
      </c>
      <c r="S21" s="105">
        <f>COUNTIFS(Database!F:F,C21,Database!T:T,"Pending",Database!G:G,"&lt;01-09-2020")</f>
        <v>0</v>
      </c>
      <c r="T21" s="105">
        <f>COUNTIFS(Database!F:F,TRIM(C21),Database!T:T,"Pending",Database!G:G,"&gt;31-08-2020")</f>
        <v>1</v>
      </c>
      <c r="U21" s="51">
        <f t="shared" si="5"/>
        <v>1</v>
      </c>
      <c r="V21" s="47"/>
      <c r="AF21" s="93">
        <f>COUNTIFS(Database!F:F,C21,Database!M:M,"Contested- Trial Based")</f>
        <v>0</v>
      </c>
      <c r="AG21" s="93">
        <f>COUNTIFS(Database!F:F,C21,Database!M:M,"Contested- Non Trial Based")</f>
        <v>0</v>
      </c>
      <c r="AK21" s="17">
        <v>0</v>
      </c>
      <c r="AL21" s="17"/>
    </row>
    <row r="22" spans="1:38" ht="85.15" customHeight="1">
      <c r="A22" s="42" t="s">
        <v>55</v>
      </c>
      <c r="B22" s="43" t="s">
        <v>26</v>
      </c>
      <c r="C22" s="43" t="s">
        <v>1572</v>
      </c>
      <c r="D22" s="71">
        <f>COUNTIFS(Database!F:F,C22,Database!P:P,"Last Month Pendency")</f>
        <v>0</v>
      </c>
      <c r="E22" s="71">
        <f>COUNTIFS(Database!F:F,C22,Database!P:P,"Fresh Month Institution")</f>
        <v>0</v>
      </c>
      <c r="F22" s="89">
        <f>COUNTIFS(Database!F:F,C22,Database!P:P,"Other Institution")</f>
        <v>0</v>
      </c>
      <c r="G22" s="89">
        <f>COUNTIFS(Database!F:F,C22,Database!P:P,"Transfer In")</f>
        <v>0</v>
      </c>
      <c r="H22" s="162">
        <f>COUNTIFS(Database!F:F,C22,Database!M:M,"Transfer Out")</f>
        <v>0</v>
      </c>
      <c r="I22" s="89">
        <f t="shared" si="0"/>
        <v>0</v>
      </c>
      <c r="J22" s="54">
        <f t="shared" si="1"/>
        <v>0</v>
      </c>
      <c r="K22" s="71">
        <f>COUNTIFS(Database!F:F,C22,Database!M:M,"Pleadguilty")</f>
        <v>0</v>
      </c>
      <c r="L22" s="71">
        <f>COUNTIFS(Database!F:F,C22,Database!M:M,"In Default")</f>
        <v>0</v>
      </c>
      <c r="M22" s="71">
        <f>COUNTIFS(Database!F:F,C22,Database!M:M,"Uncontested")</f>
        <v>0</v>
      </c>
      <c r="N22" s="51">
        <f>SUM(J22,K22,L22,M22)</f>
        <v>0</v>
      </c>
      <c r="O22" s="71">
        <f>COUNTIFS(Database!F:F,C22,Database!L:L,"Disposed",Database!G:G,"&lt;01-09-2020")</f>
        <v>0</v>
      </c>
      <c r="P22" s="89">
        <f>COUNTIFS(Database!F:F,C22,Database!L:L,"Disposed",Database!G:G,"&gt;31-08-2020")</f>
        <v>0</v>
      </c>
      <c r="Q22" s="51">
        <f t="shared" si="3"/>
        <v>0</v>
      </c>
      <c r="R22" s="71">
        <f t="shared" si="4"/>
        <v>0</v>
      </c>
      <c r="S22" s="105">
        <f>COUNTIFS(Database!F:F,C22,Database!T:T,"Pending",Database!G:G,"&lt;01-09-2020")</f>
        <v>0</v>
      </c>
      <c r="T22" s="105">
        <f>COUNTIFS(Database!F:F,TRIM(C22),Database!T:T,"Pending",Database!G:G,"&gt;31-08-2020")</f>
        <v>0</v>
      </c>
      <c r="U22" s="51">
        <f t="shared" si="5"/>
        <v>0</v>
      </c>
      <c r="V22" s="47"/>
      <c r="W22" s="382" t="s">
        <v>1933</v>
      </c>
      <c r="X22" s="382"/>
      <c r="Y22" s="382"/>
      <c r="Z22" s="382"/>
      <c r="AA22" s="382"/>
      <c r="AB22" s="197" t="s">
        <v>1932</v>
      </c>
      <c r="AC22" s="197" t="s">
        <v>1591</v>
      </c>
      <c r="AD22" s="198" t="s">
        <v>1931</v>
      </c>
      <c r="AF22" s="93">
        <f>COUNTIFS(Database!F:F,C22,Database!M:M,"Contested- Trial Based")</f>
        <v>0</v>
      </c>
      <c r="AG22" s="93">
        <f>COUNTIFS(Database!F:F,C22,Database!M:M,"Contested- Non Trial Based")</f>
        <v>0</v>
      </c>
      <c r="AK22" s="17">
        <v>0</v>
      </c>
      <c r="AL22" s="17"/>
    </row>
    <row r="23" spans="1:38" ht="76.900000000000006" customHeight="1">
      <c r="A23" s="42" t="s">
        <v>56</v>
      </c>
      <c r="B23" s="43" t="s">
        <v>27</v>
      </c>
      <c r="C23" s="43" t="s">
        <v>1573</v>
      </c>
      <c r="D23" s="71">
        <f>COUNTIFS(Database!F:F,C23,Database!P:P,"Last Month Pendency")</f>
        <v>0</v>
      </c>
      <c r="E23" s="71">
        <f>COUNTIFS(Database!F:F,C23,Database!P:P,"Fresh Month Institution")</f>
        <v>0</v>
      </c>
      <c r="F23" s="89">
        <f>COUNTIFS(Database!F:F,C23,Database!P:P,"Other Institution")</f>
        <v>0</v>
      </c>
      <c r="G23" s="89">
        <f>COUNTIFS(Database!F:F,C23,Database!P:P,"Transfer In")</f>
        <v>0</v>
      </c>
      <c r="H23" s="162">
        <f>COUNTIFS(Database!F:F,C23,Database!M:M,"Transfer Out")</f>
        <v>0</v>
      </c>
      <c r="I23" s="89">
        <f>SUM(D23,E23,F23,G23)-H23</f>
        <v>0</v>
      </c>
      <c r="J23" s="54">
        <f t="shared" si="1"/>
        <v>0</v>
      </c>
      <c r="K23" s="71">
        <f>COUNTIFS(Database!F:F,C23,Database!M:M,"Pleadguilty")</f>
        <v>0</v>
      </c>
      <c r="L23" s="71">
        <f>COUNTIFS(Database!F:F,C23,Database!M:M,"In Default")</f>
        <v>0</v>
      </c>
      <c r="M23" s="71">
        <f>COUNTIFS(Database!F:F,C23,Database!M:M,"Uncontested")</f>
        <v>0</v>
      </c>
      <c r="N23" s="51">
        <f t="shared" si="2"/>
        <v>0</v>
      </c>
      <c r="O23" s="71">
        <f>COUNTIFS(Database!F:F,C23,Database!L:L,"Disposed",Database!G:G,"&lt;01-09-2020")</f>
        <v>0</v>
      </c>
      <c r="P23" s="89">
        <f>COUNTIFS(Database!F:F,C23,Database!L:L,"Disposed",Database!G:G,"&gt;31-08-2020")</f>
        <v>0</v>
      </c>
      <c r="Q23" s="51">
        <f t="shared" si="3"/>
        <v>0</v>
      </c>
      <c r="R23" s="71">
        <f t="shared" si="4"/>
        <v>0</v>
      </c>
      <c r="S23" s="105">
        <f>COUNTIFS(Database!F:F,C23,Database!T:T,"Pending",Database!G:G,"&lt;01-09-2020")</f>
        <v>0</v>
      </c>
      <c r="T23" s="105">
        <f>COUNTIFS(Database!F:F,TRIM(C23),Database!T:T,"Pending",Database!G:G,"&gt;31-08-2020")</f>
        <v>0</v>
      </c>
      <c r="U23" s="51">
        <f t="shared" si="5"/>
        <v>0</v>
      </c>
      <c r="V23" s="47"/>
      <c r="W23" s="449" t="s">
        <v>1926</v>
      </c>
      <c r="X23" s="449"/>
      <c r="Y23" s="449"/>
      <c r="Z23" s="391" t="s">
        <v>2013</v>
      </c>
      <c r="AA23" s="391"/>
      <c r="AB23" s="187">
        <f>S52+S67</f>
        <v>0</v>
      </c>
      <c r="AC23" s="187">
        <f>T52+T67</f>
        <v>0</v>
      </c>
      <c r="AD23" s="393"/>
      <c r="AF23" s="93">
        <f>COUNTIFS(Database!F:F,C23,Database!M:M,"Contested- Trial Based")</f>
        <v>0</v>
      </c>
      <c r="AG23" s="93">
        <f>COUNTIFS(Database!F:F,C23,Database!M:M,"Contested- Non Trial Based")</f>
        <v>0</v>
      </c>
      <c r="AK23" s="17">
        <v>0</v>
      </c>
      <c r="AL23" s="17"/>
    </row>
    <row r="24" spans="1:38" ht="49.9" customHeight="1">
      <c r="A24" s="42" t="s">
        <v>57</v>
      </c>
      <c r="B24" s="43" t="s">
        <v>1746</v>
      </c>
      <c r="C24" s="43" t="s">
        <v>1747</v>
      </c>
      <c r="D24" s="71">
        <f>COUNTIFS(Database!F:F,C24,Database!P:P,"Last Month Pendency")</f>
        <v>0</v>
      </c>
      <c r="E24" s="71">
        <f>COUNTIFS(Database!F:F,C24,Database!P:P,"Fresh Month Institution")</f>
        <v>0</v>
      </c>
      <c r="F24" s="89">
        <f>COUNTIFS(Database!F:F,C24,Database!P:P,"Other Institution")</f>
        <v>0</v>
      </c>
      <c r="G24" s="89">
        <f>COUNTIFS(Database!F:F,C24,Database!P:P,"Transfer In")</f>
        <v>0</v>
      </c>
      <c r="H24" s="162">
        <f>COUNTIFS(Database!F:F,C24,Database!M:M,"Transfer Out")</f>
        <v>0</v>
      </c>
      <c r="I24" s="89">
        <f t="shared" si="0"/>
        <v>0</v>
      </c>
      <c r="J24" s="54">
        <f t="shared" si="1"/>
        <v>0</v>
      </c>
      <c r="K24" s="71">
        <f>COUNTIFS(Database!F:F,C24,Database!M:M,"Pleadguilty")</f>
        <v>0</v>
      </c>
      <c r="L24" s="71">
        <f>COUNTIFS(Database!F:F,C24,Database!M:M,"In Default")</f>
        <v>0</v>
      </c>
      <c r="M24" s="71">
        <f>COUNTIFS(Database!F:F,C24,Database!M:M,"Uncontested")</f>
        <v>0</v>
      </c>
      <c r="N24" s="51">
        <f t="shared" si="2"/>
        <v>0</v>
      </c>
      <c r="O24" s="71">
        <f>COUNTIFS(Database!F:F,C24,Database!L:L,"Disposed",Database!G:G,"&lt;01-09-2020")</f>
        <v>0</v>
      </c>
      <c r="P24" s="89">
        <f>COUNTIFS(Database!F:F,C24,Database!L:L,"Disposed",Database!G:G,"&gt;31-08-2020")</f>
        <v>0</v>
      </c>
      <c r="Q24" s="51">
        <f t="shared" si="3"/>
        <v>0</v>
      </c>
      <c r="R24" s="71">
        <f t="shared" si="4"/>
        <v>0</v>
      </c>
      <c r="S24" s="105">
        <f>COUNTIFS(Database!F:F,C24,Database!T:T,"Pending",Database!G:G,"&lt;01-09-2020")</f>
        <v>0</v>
      </c>
      <c r="T24" s="105">
        <f>COUNTIFS(Database!F:F,TRIM(C24),Database!T:T,"Pending",Database!G:G,"&gt;31-08-2020")</f>
        <v>0</v>
      </c>
      <c r="U24" s="51">
        <f t="shared" si="5"/>
        <v>0</v>
      </c>
      <c r="V24" s="47"/>
      <c r="W24" s="449"/>
      <c r="X24" s="449"/>
      <c r="Y24" s="449"/>
      <c r="Z24" s="391" t="s">
        <v>1928</v>
      </c>
      <c r="AA24" s="391"/>
      <c r="AB24" s="187">
        <f>S53</f>
        <v>5</v>
      </c>
      <c r="AC24" s="187">
        <f>T53</f>
        <v>51</v>
      </c>
      <c r="AD24" s="393"/>
      <c r="AF24" s="93">
        <f>COUNTIFS(Database!F:F,C24,Database!M:M,"Contested- Trial Based")</f>
        <v>0</v>
      </c>
      <c r="AG24" s="93">
        <f>COUNTIFS(Database!F:F,C24,Database!M:M,"Contested- Non Trial Based")</f>
        <v>0</v>
      </c>
      <c r="AK24" s="17">
        <v>0</v>
      </c>
      <c r="AL24" s="17"/>
    </row>
    <row r="25" spans="1:38" s="69" customFormat="1" ht="48" customHeight="1">
      <c r="A25" s="42" t="s">
        <v>58</v>
      </c>
      <c r="B25" s="43" t="s">
        <v>28</v>
      </c>
      <c r="C25" s="43" t="s">
        <v>1574</v>
      </c>
      <c r="D25" s="84">
        <f>COUNTIFS(Database!F:F,C25,Database!P:P,"Last Month Pendency")</f>
        <v>0</v>
      </c>
      <c r="E25" s="84">
        <f>COUNTIFS(Database!F:F,C25,Database!P:P,"Fresh Month Institution")</f>
        <v>0</v>
      </c>
      <c r="F25" s="89">
        <f>COUNTIFS(Database!F:F,C25,Database!P:P,"Other Institution")</f>
        <v>0</v>
      </c>
      <c r="G25" s="89">
        <f>COUNTIFS(Database!F:F,C25,Database!P:P,"Transfer In")</f>
        <v>0</v>
      </c>
      <c r="H25" s="162">
        <f>COUNTIFS(Database!F:F,C25,Database!M:M,"Transfer Out")</f>
        <v>0</v>
      </c>
      <c r="I25" s="89">
        <f t="shared" si="0"/>
        <v>0</v>
      </c>
      <c r="J25" s="84">
        <f t="shared" si="1"/>
        <v>0</v>
      </c>
      <c r="K25" s="84">
        <f>COUNTIFS(Database!F:F,C25,Database!M:M,"Pleadguilty")</f>
        <v>0</v>
      </c>
      <c r="L25" s="84">
        <f>COUNTIFS(Database!F:F,C25,Database!M:M,"In Default")</f>
        <v>0</v>
      </c>
      <c r="M25" s="84">
        <f>COUNTIFS(Database!F:F,C25,Database!M:M,"Uncontested")</f>
        <v>0</v>
      </c>
      <c r="N25" s="84">
        <f t="shared" si="2"/>
        <v>0</v>
      </c>
      <c r="O25" s="84">
        <f>COUNTIFS(Database!F:F,C25,Database!L:L,"Disposed",Database!G:G,"&lt;01-09-2020")</f>
        <v>0</v>
      </c>
      <c r="P25" s="89">
        <f>COUNTIFS(Database!F:F,C25,Database!L:L,"Disposed",Database!G:G,"&gt;31-08-2020")</f>
        <v>0</v>
      </c>
      <c r="Q25" s="84">
        <f t="shared" si="3"/>
        <v>0</v>
      </c>
      <c r="R25" s="84">
        <f t="shared" si="4"/>
        <v>0</v>
      </c>
      <c r="S25" s="105">
        <f>COUNTIFS(Database!F:F,C25,Database!T:T,"Pending",Database!G:G,"&lt;01-09-2020")</f>
        <v>0</v>
      </c>
      <c r="T25" s="105">
        <f>COUNTIFS(Database!F:F,TRIM(C25),Database!T:T,"Pending",Database!G:G,"&gt;31-08-2020")</f>
        <v>0</v>
      </c>
      <c r="U25" s="84">
        <f t="shared" si="5"/>
        <v>0</v>
      </c>
      <c r="V25" s="47"/>
      <c r="W25" s="449"/>
      <c r="X25" s="449"/>
      <c r="Y25" s="449"/>
      <c r="Z25" s="448" t="s">
        <v>1929</v>
      </c>
      <c r="AA25" s="448"/>
      <c r="AB25" s="188">
        <f>S68-(AB24+AB23)</f>
        <v>52</v>
      </c>
      <c r="AC25" s="191">
        <f>T68-(AC24+AC23)</f>
        <v>292</v>
      </c>
      <c r="AD25" s="195">
        <f>AB25</f>
        <v>52</v>
      </c>
      <c r="AF25" s="94">
        <f>COUNTIFS(Database!F:F,C25,Database!M:M,"Contested- Trial Based")</f>
        <v>0</v>
      </c>
      <c r="AG25" s="94">
        <f>COUNTIFS(Database!F:F,C25,Database!M:M,"Contested- Non Trial Based")</f>
        <v>0</v>
      </c>
      <c r="AK25" s="17">
        <v>0</v>
      </c>
      <c r="AL25" s="86"/>
    </row>
    <row r="26" spans="1:38" ht="17.45" customHeight="1">
      <c r="A26" s="42" t="s">
        <v>59</v>
      </c>
      <c r="B26" s="43" t="s">
        <v>29</v>
      </c>
      <c r="C26" s="43" t="s">
        <v>1575</v>
      </c>
      <c r="D26" s="71">
        <f>COUNTIFS(Database!F:F,C26,Database!P:P,"Last Month Pendency")</f>
        <v>8</v>
      </c>
      <c r="E26" s="71">
        <f>COUNTIFS(Database!F:F,C26,Database!P:P,"Fresh Month Institution")</f>
        <v>29</v>
      </c>
      <c r="F26" s="89">
        <f>COUNTIFS(Database!F:F,C26,Database!P:P,"Other Institution")</f>
        <v>0</v>
      </c>
      <c r="G26" s="89">
        <f>COUNTIFS(Database!F:F,C26,Database!P:P,"Transfer In")</f>
        <v>0</v>
      </c>
      <c r="H26" s="162">
        <f>COUNTIFS(Database!F:F,C26,Database!M:M,"Transfer Out")</f>
        <v>0</v>
      </c>
      <c r="I26" s="89">
        <f t="shared" si="0"/>
        <v>37</v>
      </c>
      <c r="J26" s="54">
        <f t="shared" si="1"/>
        <v>18</v>
      </c>
      <c r="K26" s="71">
        <f>COUNTIFS(Database!F:F,C26,Database!M:M,"Pleadguilty")</f>
        <v>0</v>
      </c>
      <c r="L26" s="71">
        <f>COUNTIFS(Database!F:F,C26,Database!M:M,"In Default")</f>
        <v>2</v>
      </c>
      <c r="M26" s="71">
        <f>COUNTIFS(Database!F:F,C26,Database!M:M,"Uncontested")</f>
        <v>0</v>
      </c>
      <c r="N26" s="51">
        <f t="shared" si="2"/>
        <v>20</v>
      </c>
      <c r="O26" s="71">
        <f>COUNTIFS(Database!F:F,C26,Database!L:L,"Disposed",Database!G:G,"&lt;01-09-2020")</f>
        <v>0</v>
      </c>
      <c r="P26" s="89">
        <f>COUNTIFS(Database!F:F,C26,Database!L:L,"Disposed",Database!G:G,"&gt;31-08-2020")</f>
        <v>20</v>
      </c>
      <c r="Q26" s="51">
        <f t="shared" si="3"/>
        <v>20</v>
      </c>
      <c r="R26" s="71">
        <f t="shared" si="4"/>
        <v>0</v>
      </c>
      <c r="S26" s="105">
        <f>COUNTIFS(Database!F:F,C26,Database!T:T,"Pending",Database!G:G,"&lt;01-09-2020")</f>
        <v>0</v>
      </c>
      <c r="T26" s="105">
        <f>COUNTIFS(Database!F:F,TRIM(C26),Database!T:T,"Pending",Database!G:G,"&gt;31-08-2020")</f>
        <v>17</v>
      </c>
      <c r="U26" s="51">
        <f t="shared" si="5"/>
        <v>17</v>
      </c>
      <c r="V26" s="47"/>
      <c r="W26" s="445" t="s">
        <v>1930</v>
      </c>
      <c r="X26" s="446"/>
      <c r="Y26" s="446"/>
      <c r="Z26" s="446"/>
      <c r="AA26" s="447"/>
      <c r="AB26" s="193">
        <f>S35</f>
        <v>3</v>
      </c>
      <c r="AC26" s="193">
        <f>T35</f>
        <v>194</v>
      </c>
      <c r="AD26" s="195">
        <f>AB26</f>
        <v>3</v>
      </c>
      <c r="AF26" s="93">
        <f>COUNTIFS(Database!F:F,C26,Database!M:M,"Contested- Trial Based")</f>
        <v>0</v>
      </c>
      <c r="AG26" s="93">
        <f>COUNTIFS(Database!F:F,C26,Database!M:M,"Contested- Non Trial Based")</f>
        <v>18</v>
      </c>
      <c r="AK26" s="17">
        <f t="shared" si="6"/>
        <v>8</v>
      </c>
      <c r="AL26" s="17"/>
    </row>
    <row r="27" spans="1:38" ht="17.45" customHeight="1">
      <c r="A27" s="42" t="s">
        <v>60</v>
      </c>
      <c r="B27" s="43" t="s">
        <v>1545</v>
      </c>
      <c r="C27" s="43" t="s">
        <v>1576</v>
      </c>
      <c r="D27" s="71">
        <f>COUNTIFS(Database!F:F,C27,Database!P:P,"Last Month Pendency")</f>
        <v>0</v>
      </c>
      <c r="E27" s="71">
        <f>COUNTIFS(Database!F:F,C27,Database!P:P,"Fresh Month Institution")</f>
        <v>2</v>
      </c>
      <c r="F27" s="89">
        <f>COUNTIFS(Database!F:F,C27,Database!P:P,"Other Institution")</f>
        <v>0</v>
      </c>
      <c r="G27" s="89">
        <f>COUNTIFS(Database!F:F,C27,Database!P:P,"Transfer In")</f>
        <v>0</v>
      </c>
      <c r="H27" s="162">
        <f>COUNTIFS(Database!F:F,C27,Database!M:M,"Transfer Out")</f>
        <v>0</v>
      </c>
      <c r="I27" s="89">
        <f t="shared" si="0"/>
        <v>2</v>
      </c>
      <c r="J27" s="54">
        <f t="shared" si="1"/>
        <v>1</v>
      </c>
      <c r="K27" s="71">
        <f>COUNTIFS(Database!F:F,C27,Database!M:M,"Pleadguilty")</f>
        <v>0</v>
      </c>
      <c r="L27" s="71">
        <f>COUNTIFS(Database!F:F,C27,Database!M:M,"In Default")</f>
        <v>0</v>
      </c>
      <c r="M27" s="71">
        <f>COUNTIFS(Database!F:F,C27,Database!M:M,"Uncontested")</f>
        <v>0</v>
      </c>
      <c r="N27" s="51">
        <f t="shared" si="2"/>
        <v>1</v>
      </c>
      <c r="O27" s="71">
        <f>COUNTIFS(Database!F:F,C27,Database!L:L,"Disposed",Database!G:G,"&lt;01-09-2020")</f>
        <v>0</v>
      </c>
      <c r="P27" s="89">
        <f>COUNTIFS(Database!F:F,C27,Database!L:L,"Disposed",Database!G:G,"&gt;31-08-2020")</f>
        <v>1</v>
      </c>
      <c r="Q27" s="51">
        <f t="shared" si="3"/>
        <v>1</v>
      </c>
      <c r="R27" s="71">
        <f t="shared" si="4"/>
        <v>0</v>
      </c>
      <c r="S27" s="105">
        <f>COUNTIFS(Database!F:F,C27,Database!T:T,"Pending",Database!G:G,"&lt;01-09-2020")</f>
        <v>0</v>
      </c>
      <c r="T27" s="105">
        <f>COUNTIFS(Database!F:F,TRIM(C27),Database!T:T,"Pending",Database!G:G,"&gt;31-08-2020")</f>
        <v>1</v>
      </c>
      <c r="U27" s="51">
        <f t="shared" si="5"/>
        <v>1</v>
      </c>
      <c r="V27" s="47"/>
      <c r="W27" s="442" t="s">
        <v>1931</v>
      </c>
      <c r="X27" s="443"/>
      <c r="Y27" s="443"/>
      <c r="Z27" s="443"/>
      <c r="AA27" s="443"/>
      <c r="AB27" s="443"/>
      <c r="AC27" s="444"/>
      <c r="AD27" s="196">
        <f>AD26+AD25</f>
        <v>55</v>
      </c>
      <c r="AF27" s="93">
        <f>COUNTIFS(Database!F:F,C27,Database!M:M,"Contested- Trial Based")</f>
        <v>0</v>
      </c>
      <c r="AG27" s="93">
        <f>COUNTIFS(Database!F:F,C27,Database!M:M,"Contested- Non Trial Based")</f>
        <v>1</v>
      </c>
      <c r="AK27" s="17">
        <f t="shared" si="6"/>
        <v>0</v>
      </c>
      <c r="AL27" s="17"/>
    </row>
    <row r="28" spans="1:38" ht="53.45" customHeight="1">
      <c r="A28" s="42" t="s">
        <v>61</v>
      </c>
      <c r="B28" s="43" t="s">
        <v>1908</v>
      </c>
      <c r="C28" s="43" t="s">
        <v>1907</v>
      </c>
      <c r="D28" s="71">
        <f>COUNTIFS(Database!F:F,C28,Database!P:P,"Last Month Pendency")</f>
        <v>0</v>
      </c>
      <c r="E28" s="71">
        <f>COUNTIFS(Database!F:F,C28,Database!P:P,"Fresh Month Institution")</f>
        <v>0</v>
      </c>
      <c r="F28" s="89">
        <f>COUNTIFS(Database!F:F,C28,Database!P:P,"Other Institution")</f>
        <v>0</v>
      </c>
      <c r="G28" s="89">
        <f>COUNTIFS(Database!F:F,C28,Database!P:P,"Transfer In")</f>
        <v>0</v>
      </c>
      <c r="H28" s="162">
        <f>COUNTIFS(Database!F:F,C28,Database!M:M,"Transfer Out")</f>
        <v>0</v>
      </c>
      <c r="I28" s="89">
        <f t="shared" si="0"/>
        <v>0</v>
      </c>
      <c r="J28" s="54">
        <f t="shared" si="1"/>
        <v>0</v>
      </c>
      <c r="K28" s="71">
        <f>COUNTIFS(Database!F:F,C28,Database!M:M,"Pleadguilty")</f>
        <v>0</v>
      </c>
      <c r="L28" s="71">
        <f>COUNTIFS(Database!F:F,C28,Database!M:M,"In Default")</f>
        <v>0</v>
      </c>
      <c r="M28" s="71">
        <f>COUNTIFS(Database!F:F,C28,Database!M:M,"Uncontested")</f>
        <v>0</v>
      </c>
      <c r="N28" s="51">
        <f t="shared" si="2"/>
        <v>0</v>
      </c>
      <c r="O28" s="71">
        <f>COUNTIFS(Database!F:F,C28,Database!L:L,"Disposed",Database!G:G,"&lt;01-09-2020")</f>
        <v>0</v>
      </c>
      <c r="P28" s="89">
        <f>COUNTIFS(Database!F:F,C28,Database!L:L,"Disposed",Database!G:G,"&gt;31-08-2020")</f>
        <v>0</v>
      </c>
      <c r="Q28" s="51">
        <f>SUM(O28,P28)</f>
        <v>0</v>
      </c>
      <c r="R28" s="71">
        <f t="shared" si="4"/>
        <v>0</v>
      </c>
      <c r="S28" s="105">
        <f>COUNTIFS(Database!F:F,C28,Database!T:T,"Pending",Database!G:G,"&lt;01-09-2020")</f>
        <v>0</v>
      </c>
      <c r="T28" s="105">
        <f>COUNTIFS(Database!F:F,TRIM(C28),Database!T:T,"Pending",Database!G:G,"&gt;31-08-2020")</f>
        <v>0</v>
      </c>
      <c r="U28" s="51">
        <f>SUM(S28,T28)</f>
        <v>0</v>
      </c>
      <c r="V28" s="47"/>
      <c r="W28" s="382" t="s">
        <v>1988</v>
      </c>
      <c r="X28" s="382"/>
      <c r="Y28" s="382"/>
      <c r="Z28" s="382"/>
      <c r="AA28" s="382"/>
      <c r="AB28" s="382"/>
      <c r="AC28" s="382"/>
      <c r="AD28" s="47"/>
      <c r="AF28" s="93">
        <f>COUNTIFS(Database!F:F,C28,Database!M:M,"Contested- Trial Based")</f>
        <v>0</v>
      </c>
      <c r="AG28" s="93">
        <f>COUNTIFS(Database!F:F,C28,Database!M:M,"Contested- Non Trial Based")</f>
        <v>0</v>
      </c>
      <c r="AK28" s="17">
        <f t="shared" si="6"/>
        <v>0</v>
      </c>
      <c r="AL28" s="17"/>
    </row>
    <row r="29" spans="1:38" ht="17.45" customHeight="1">
      <c r="A29" s="42" t="s">
        <v>62</v>
      </c>
      <c r="B29" s="43" t="s">
        <v>30</v>
      </c>
      <c r="C29" s="43" t="s">
        <v>1577</v>
      </c>
      <c r="D29" s="71">
        <f>COUNTIFS(Database!F:F,C29,Database!P:P,"Last Month Pendency")</f>
        <v>0</v>
      </c>
      <c r="E29" s="71">
        <f>COUNTIFS(Database!F:F,C29,Database!P:P,"Fresh Month Institution")</f>
        <v>0</v>
      </c>
      <c r="F29" s="89">
        <f>COUNTIFS(Database!F:F,C29,Database!P:P,"Other Institution")</f>
        <v>0</v>
      </c>
      <c r="G29" s="89">
        <f>COUNTIFS(Database!F:F,C29,Database!P:P,"Transfer In")</f>
        <v>0</v>
      </c>
      <c r="H29" s="162">
        <f>COUNTIFS(Database!F:F,C29,Database!M:M,"Transfer Out")</f>
        <v>0</v>
      </c>
      <c r="I29" s="89">
        <f t="shared" si="0"/>
        <v>0</v>
      </c>
      <c r="J29" s="54">
        <f t="shared" si="1"/>
        <v>0</v>
      </c>
      <c r="K29" s="71">
        <f>COUNTIFS(Database!F:F,C29,Database!M:M,"Pleadguilty")</f>
        <v>0</v>
      </c>
      <c r="L29" s="71">
        <f>COUNTIFS(Database!F:F,C29,Database!M:M,"In Default")</f>
        <v>0</v>
      </c>
      <c r="M29" s="71">
        <f>COUNTIFS(Database!F:F,C29,Database!M:M,"Uncontested")</f>
        <v>0</v>
      </c>
      <c r="N29" s="51">
        <f t="shared" si="2"/>
        <v>0</v>
      </c>
      <c r="O29" s="71">
        <f>COUNTIFS(Database!F:F,C29,Database!L:L,"Disposed",Database!G:G,"&lt;01-09-2020")</f>
        <v>0</v>
      </c>
      <c r="P29" s="89">
        <f>COUNTIFS(Database!F:F,C29,Database!L:L,"Disposed",Database!G:G,"&gt;31-08-2020")</f>
        <v>0</v>
      </c>
      <c r="Q29" s="51">
        <f t="shared" si="3"/>
        <v>0</v>
      </c>
      <c r="R29" s="71">
        <f t="shared" si="4"/>
        <v>0</v>
      </c>
      <c r="S29" s="105">
        <f>COUNTIFS(Database!F:F,C29,Database!T:T,"Pending",Database!G:G,"&lt;01-09-2020")</f>
        <v>0</v>
      </c>
      <c r="T29" s="105">
        <f>COUNTIFS(Database!F:F,TRIM(C29),Database!T:T,"Pending",Database!G:G,"&gt;31-08-2020")</f>
        <v>0</v>
      </c>
      <c r="U29" s="51">
        <f t="shared" si="5"/>
        <v>0</v>
      </c>
      <c r="V29" s="47"/>
      <c r="W29" s="380" t="str">
        <f>'Summary Sheet'!C33</f>
        <v>Target Achivement Status-Institution VS Disposal</v>
      </c>
      <c r="X29" s="380"/>
      <c r="Y29" s="380"/>
      <c r="Z29" s="380"/>
      <c r="AA29" s="380"/>
      <c r="AB29" s="380"/>
      <c r="AC29" s="190" t="str">
        <f>'Summary Sheet'!D33</f>
        <v>Target Achieved</v>
      </c>
      <c r="AD29" s="47"/>
      <c r="AF29" s="93">
        <f>COUNTIFS(Database!F:F,C29,Database!M:M,"Contested- Trial Based")</f>
        <v>0</v>
      </c>
      <c r="AG29" s="93">
        <f>COUNTIFS(Database!F:F,C29,Database!M:M,"Contested- Non Trial Based")</f>
        <v>0</v>
      </c>
      <c r="AK29" s="17">
        <f t="shared" si="6"/>
        <v>0</v>
      </c>
      <c r="AL29" s="17"/>
    </row>
    <row r="30" spans="1:38" ht="17.45" customHeight="1">
      <c r="A30" s="42" t="s">
        <v>63</v>
      </c>
      <c r="B30" s="43" t="s">
        <v>31</v>
      </c>
      <c r="C30" s="43" t="s">
        <v>1578</v>
      </c>
      <c r="D30" s="71">
        <f>COUNTIFS(Database!F:F,C30,Database!P:P,"Last Month Pendency")</f>
        <v>2</v>
      </c>
      <c r="E30" s="71">
        <f>COUNTIFS(Database!F:F,C30,Database!P:P,"Fresh Month Institution")</f>
        <v>0</v>
      </c>
      <c r="F30" s="89">
        <f>COUNTIFS(Database!F:F,C30,Database!P:P,"Other Institution")</f>
        <v>0</v>
      </c>
      <c r="G30" s="89">
        <f>COUNTIFS(Database!F:F,C30,Database!P:P,"Transfer In")</f>
        <v>0</v>
      </c>
      <c r="H30" s="162">
        <f>COUNTIFS(Database!F:F,C30,Database!M:M,"Transfer Out")</f>
        <v>0</v>
      </c>
      <c r="I30" s="89">
        <f>SUM(D30,E30,F30,G30)-H30</f>
        <v>2</v>
      </c>
      <c r="J30" s="54">
        <f t="shared" si="1"/>
        <v>0</v>
      </c>
      <c r="K30" s="71">
        <f>COUNTIFS(Database!F:F,C30,Database!M:M,"Pleadguilty")</f>
        <v>0</v>
      </c>
      <c r="L30" s="71">
        <f>COUNTIFS(Database!F:F,C30,Database!M:M,"In Default")</f>
        <v>0</v>
      </c>
      <c r="M30" s="71">
        <f>COUNTIFS(Database!F:F,C30,Database!M:M,"Uncontested")</f>
        <v>0</v>
      </c>
      <c r="N30" s="51">
        <f t="shared" si="2"/>
        <v>0</v>
      </c>
      <c r="O30" s="71">
        <f>COUNTIFS(Database!F:F,C30,Database!L:L,"Disposed",Database!G:G,"&lt;01-09-2020")</f>
        <v>0</v>
      </c>
      <c r="P30" s="89">
        <f>COUNTIFS(Database!F:F,C30,Database!L:L,"Disposed",Database!G:G,"&gt;31-08-2020")</f>
        <v>0</v>
      </c>
      <c r="Q30" s="51">
        <f t="shared" si="3"/>
        <v>0</v>
      </c>
      <c r="R30" s="71">
        <f t="shared" si="4"/>
        <v>0</v>
      </c>
      <c r="S30" s="105">
        <f>COUNTIFS(Database!F:F,C30,Database!T:T,"Pending",Database!G:G,"&lt;01-09-2020")</f>
        <v>0</v>
      </c>
      <c r="T30" s="105">
        <f>COUNTIFS(Database!F:F,TRIM(C30),Database!T:T,"Pending",Database!G:G,"&gt;31-08-2020")</f>
        <v>2</v>
      </c>
      <c r="U30" s="51">
        <f t="shared" si="5"/>
        <v>2</v>
      </c>
      <c r="V30" s="47"/>
      <c r="W30" s="380" t="str">
        <f>'Summary Sheet'!C34</f>
        <v>Target Achivement Status-Backlog Clearence</v>
      </c>
      <c r="X30" s="380"/>
      <c r="Y30" s="380"/>
      <c r="Z30" s="380"/>
      <c r="AA30" s="380"/>
      <c r="AB30" s="380"/>
      <c r="AC30" s="190" t="str">
        <f>'Summary Sheet'!D34</f>
        <v>Target Not Achieved</v>
      </c>
      <c r="AD30" s="47"/>
      <c r="AF30" s="93">
        <f>COUNTIFS(Database!F:F,C30,Database!M:M,"Contested- Trial Based")</f>
        <v>0</v>
      </c>
      <c r="AG30" s="93">
        <f>COUNTIFS(Database!F:F,C30,Database!M:M,"Contested- Non Trial Based")</f>
        <v>0</v>
      </c>
      <c r="AK30" s="17">
        <f t="shared" si="6"/>
        <v>2</v>
      </c>
      <c r="AL30" s="17"/>
    </row>
    <row r="31" spans="1:38" ht="17.45" customHeight="1">
      <c r="A31" s="42" t="s">
        <v>64</v>
      </c>
      <c r="B31" s="43" t="s">
        <v>32</v>
      </c>
      <c r="C31" s="43" t="s">
        <v>1579</v>
      </c>
      <c r="D31" s="71">
        <f>COUNTIFS(Database!F:F,C31,Database!P:P,"Last Month Pendency")</f>
        <v>0</v>
      </c>
      <c r="E31" s="71">
        <f>COUNTIFS(Database!F:F,C31,Database!P:P,"Fresh Month Institution")</f>
        <v>0</v>
      </c>
      <c r="F31" s="89">
        <f>COUNTIFS(Database!F:F,C31,Database!P:P,"Other Institution")</f>
        <v>0</v>
      </c>
      <c r="G31" s="89">
        <f>COUNTIFS(Database!F:F,C31,Database!P:P,"Transfer In")</f>
        <v>0</v>
      </c>
      <c r="H31" s="162">
        <f>COUNTIFS(Database!F:F,C31,Database!M:M,"Transfer Out")</f>
        <v>0</v>
      </c>
      <c r="I31" s="89">
        <f t="shared" si="0"/>
        <v>0</v>
      </c>
      <c r="J31" s="54">
        <f t="shared" si="1"/>
        <v>0</v>
      </c>
      <c r="K31" s="71">
        <f>COUNTIFS(Database!F:F,C31,Database!M:M,"Pleadguilty")</f>
        <v>0</v>
      </c>
      <c r="L31" s="71">
        <f>COUNTIFS(Database!F:F,C31,Database!M:M,"In Default")</f>
        <v>0</v>
      </c>
      <c r="M31" s="71">
        <f>COUNTIFS(Database!F:F,C31,Database!M:M,"Uncontested")</f>
        <v>0</v>
      </c>
      <c r="N31" s="51">
        <f>SUM(J31,K31,L31,M31)</f>
        <v>0</v>
      </c>
      <c r="O31" s="71">
        <f>COUNTIFS(Database!F:F,C31,Database!L:L,"Disposed",Database!G:G,"&lt;01-09-2020")</f>
        <v>0</v>
      </c>
      <c r="P31" s="89">
        <f>COUNTIFS(Database!F:F,C31,Database!L:L,"Disposed",Database!G:G,"&gt;31-08-2020")</f>
        <v>0</v>
      </c>
      <c r="Q31" s="51">
        <f t="shared" si="3"/>
        <v>0</v>
      </c>
      <c r="R31" s="71">
        <f t="shared" si="4"/>
        <v>0</v>
      </c>
      <c r="S31" s="105">
        <f>COUNTIFS(Database!F:F,C31,Database!T:T,"Pending",Database!G:G,"&lt;01-09-2020")</f>
        <v>0</v>
      </c>
      <c r="T31" s="105">
        <f>COUNTIFS(Database!F:F,TRIM(C31),Database!T:T,"Pending",Database!G:G,"&gt;31-08-2020")</f>
        <v>0</v>
      </c>
      <c r="U31" s="51">
        <f t="shared" si="5"/>
        <v>0</v>
      </c>
      <c r="V31" s="47"/>
      <c r="W31" s="380" t="str">
        <f>'Summary Sheet'!C35</f>
        <v>Target Achivement Status-Contested Disposal</v>
      </c>
      <c r="X31" s="380"/>
      <c r="Y31" s="380"/>
      <c r="Z31" s="380"/>
      <c r="AA31" s="380"/>
      <c r="AB31" s="380"/>
      <c r="AC31" s="190" t="str">
        <f>'Summary Sheet'!D35</f>
        <v>Target Achieved</v>
      </c>
      <c r="AD31" s="47"/>
      <c r="AF31" s="93">
        <f>COUNTIFS(Database!F:F,C31,Database!M:M,"Contested- Trial Based")</f>
        <v>0</v>
      </c>
      <c r="AG31" s="93">
        <f>COUNTIFS(Database!F:F,C31,Database!M:M,"Contested- Non Trial Based")</f>
        <v>0</v>
      </c>
      <c r="AK31" s="17">
        <f t="shared" si="6"/>
        <v>0</v>
      </c>
      <c r="AL31" s="17"/>
    </row>
    <row r="32" spans="1:38" s="16" customFormat="1" ht="17.45" customHeight="1">
      <c r="A32" s="42" t="s">
        <v>65</v>
      </c>
      <c r="B32" s="43" t="s">
        <v>33</v>
      </c>
      <c r="C32" s="43" t="s">
        <v>1580</v>
      </c>
      <c r="D32" s="166">
        <f>COUNTIFS(Database!F:F,C32,Database!P:P,"Last Month Pendency")</f>
        <v>13</v>
      </c>
      <c r="E32" s="166">
        <f>COUNTIFS(Database!F:F,C32,Database!P:P,"Fresh Month Institution")</f>
        <v>1</v>
      </c>
      <c r="F32" s="166">
        <f>COUNTIFS(Database!F:F,C32,Database!P:P,"Other Institution")</f>
        <v>0</v>
      </c>
      <c r="G32" s="166">
        <f>COUNTIFS(Database!F:F,C32,Database!P:P,"Transfer In")</f>
        <v>0</v>
      </c>
      <c r="H32" s="166">
        <f>COUNTIFS(Database!F:F,C32,Database!M:M,"Transfer Out")</f>
        <v>0</v>
      </c>
      <c r="I32" s="166">
        <f t="shared" si="0"/>
        <v>14</v>
      </c>
      <c r="J32" s="166">
        <f t="shared" si="1"/>
        <v>6</v>
      </c>
      <c r="K32" s="166">
        <f>COUNTIFS(Database!F:F,C32,Database!M:M,"Pleadguilty")</f>
        <v>0</v>
      </c>
      <c r="L32" s="166">
        <f>COUNTIFS(Database!F:F,C32,Database!M:M,"In Default")</f>
        <v>0</v>
      </c>
      <c r="M32" s="166">
        <f>COUNTIFS(Database!F:F,C32,Database!M:M,"Uncontested")</f>
        <v>1</v>
      </c>
      <c r="N32" s="166">
        <f>SUM(J32,K32,L32,M32)</f>
        <v>7</v>
      </c>
      <c r="O32" s="166">
        <f>COUNTIFS(Database!F:F,C32,Database!L:L,"Disposed",Database!G:G,"&lt;01-09-2020")</f>
        <v>0</v>
      </c>
      <c r="P32" s="166">
        <f>COUNTIFS(Database!F:F,C32,Database!L:L,"Disposed",Database!G:G,"&gt;31-08-2020")</f>
        <v>7</v>
      </c>
      <c r="Q32" s="166">
        <f t="shared" si="3"/>
        <v>7</v>
      </c>
      <c r="R32" s="166">
        <f t="shared" si="4"/>
        <v>0</v>
      </c>
      <c r="S32" s="166">
        <f>COUNTIFS(Database!F:F,C32,Database!T:T,"Pending",Database!G:G,"&lt;01-09-2020")</f>
        <v>0</v>
      </c>
      <c r="T32" s="166">
        <f>COUNTIFS(Database!F:F,TRIM(C32),Database!T:T,"Pending",Database!G:G,"&gt;31-08-2020")</f>
        <v>7</v>
      </c>
      <c r="U32" s="166">
        <f t="shared" si="5"/>
        <v>7</v>
      </c>
      <c r="V32" s="47"/>
      <c r="W32" s="380" t="str">
        <f>'Summary Sheet'!C36</f>
        <v>Target Achivement Status-Trial Based Contested Disposal</v>
      </c>
      <c r="X32" s="380"/>
      <c r="Y32" s="380"/>
      <c r="Z32" s="380"/>
      <c r="AA32" s="380"/>
      <c r="AB32" s="380"/>
      <c r="AC32" s="190" t="str">
        <f>'Summary Sheet'!D36</f>
        <v>Target Achieved</v>
      </c>
      <c r="AD32" s="47"/>
      <c r="AF32" s="93">
        <f>COUNTIFS(Database!F:F,C32,Database!M:M,"Contested- Trial Based")</f>
        <v>0</v>
      </c>
      <c r="AG32" s="93">
        <f>COUNTIFS(Database!F:F,C32,Database!M:M,"Contested- Non Trial Based")</f>
        <v>6</v>
      </c>
      <c r="AK32" s="17"/>
      <c r="AL32" s="17"/>
    </row>
    <row r="33" spans="1:38" s="16" customFormat="1" ht="33" customHeight="1">
      <c r="A33" s="42" t="s">
        <v>1870</v>
      </c>
      <c r="B33" s="43" t="s">
        <v>1869</v>
      </c>
      <c r="C33" s="43" t="s">
        <v>1868</v>
      </c>
      <c r="D33" s="165">
        <f>COUNTIFS(Database!F:F,C33,Database!P:P,"Last Month Pendency")</f>
        <v>1</v>
      </c>
      <c r="E33" s="165">
        <f>COUNTIFS(Database!F:F,C33,Database!P:P,"Fresh Month Institution")</f>
        <v>0</v>
      </c>
      <c r="F33" s="165">
        <f>COUNTIFS(Database!F:F,C33,Database!P:P,"Other Institution")</f>
        <v>0</v>
      </c>
      <c r="G33" s="165">
        <f>COUNTIFS(Database!F:F,C33,Database!P:P,"Transfer In")</f>
        <v>0</v>
      </c>
      <c r="H33" s="165">
        <f>COUNTIFS(Database!F:F,C33,Database!M:M,"Transfer Out")</f>
        <v>0</v>
      </c>
      <c r="I33" s="165">
        <f t="shared" ref="I33" si="7">SUM(D33,E33,F33,G33)-H33</f>
        <v>1</v>
      </c>
      <c r="J33" s="165">
        <f t="shared" ref="J33" si="8">AF33+AG33</f>
        <v>0</v>
      </c>
      <c r="K33" s="165">
        <f>COUNTIFS(Database!F:F,C33,Database!M:M,"Pleadguilty")</f>
        <v>0</v>
      </c>
      <c r="L33" s="165">
        <f>COUNTIFS(Database!F:F,C33,Database!M:M,"In Default")</f>
        <v>0</v>
      </c>
      <c r="M33" s="165">
        <f>COUNTIFS(Database!F:F,C33,Database!M:M,"Uncontested")</f>
        <v>0</v>
      </c>
      <c r="N33" s="165">
        <f>SUM(J33,K33,L33,M33)</f>
        <v>0</v>
      </c>
      <c r="O33" s="165">
        <f>COUNTIFS(Database!F:F,C33,Database!L:L,"Disposed",Database!G:G,"&lt;01-09-2020")</f>
        <v>0</v>
      </c>
      <c r="P33" s="165">
        <f>COUNTIFS(Database!F:F,C33,Database!L:L,"Disposed",Database!G:G,"&gt;31-08-2020")</f>
        <v>0</v>
      </c>
      <c r="Q33" s="165">
        <f t="shared" ref="Q33" si="9">SUM(O33,P33)</f>
        <v>0</v>
      </c>
      <c r="R33" s="165">
        <f t="shared" ref="R33" si="10">N33-Q33</f>
        <v>0</v>
      </c>
      <c r="S33" s="165">
        <f>COUNTIFS(Database!F:F,C33,Database!T:T,"Pending",Database!G:G,"&lt;01-09-2020")</f>
        <v>0</v>
      </c>
      <c r="T33" s="165">
        <f>COUNTIFS(Database!F:F,TRIM(C33),Database!T:T,"Pending",Database!G:G,"&gt;31-08-2020")</f>
        <v>1</v>
      </c>
      <c r="U33" s="165">
        <f t="shared" ref="U33" si="11">SUM(S33,T33)</f>
        <v>1</v>
      </c>
      <c r="V33" s="47"/>
      <c r="W33" s="380" t="str">
        <f>'Summary Sheet'!C37</f>
        <v>Target Achivement Status-Under Homicide or US 30 CRPC Contested Disposal</v>
      </c>
      <c r="X33" s="380"/>
      <c r="Y33" s="380"/>
      <c r="Z33" s="380"/>
      <c r="AA33" s="380"/>
      <c r="AB33" s="380"/>
      <c r="AC33" s="190" t="str">
        <f>'Summary Sheet'!D37</f>
        <v>Target Not Achieved</v>
      </c>
      <c r="AD33" s="47"/>
      <c r="AF33" s="93">
        <f>COUNTIFS(Database!F:F,C33,Database!M:M,"Contested- Trial Based")</f>
        <v>0</v>
      </c>
      <c r="AG33" s="93">
        <f>COUNTIFS(Database!F:F,C33,Database!M:M,"Contested- Non Trial Based")</f>
        <v>0</v>
      </c>
      <c r="AK33" s="17">
        <f t="shared" ref="AK33" si="12">IF(D33-H33&lt;0,0,D33-H33)</f>
        <v>1</v>
      </c>
      <c r="AL33" s="17"/>
    </row>
    <row r="34" spans="1:38" ht="29.45" customHeight="1">
      <c r="A34" s="42" t="s">
        <v>1877</v>
      </c>
      <c r="B34" s="43" t="s">
        <v>1881</v>
      </c>
      <c r="C34" s="43" t="s">
        <v>1880</v>
      </c>
      <c r="D34" s="71">
        <f>COUNTIFS(Database!F:F,C34,Database!P:P,"Last Month Pendency")</f>
        <v>0</v>
      </c>
      <c r="E34" s="71">
        <f>COUNTIFS(Database!F:F,C34,Database!P:P,"Fresh Month Institution")</f>
        <v>0</v>
      </c>
      <c r="F34" s="89">
        <f>COUNTIFS(Database!F:F,C34,Database!P:P,"Other Institution")</f>
        <v>0</v>
      </c>
      <c r="G34" s="89">
        <f>COUNTIFS(Database!F:F,C34,Database!P:P,"Transfer In")</f>
        <v>0</v>
      </c>
      <c r="H34" s="162">
        <f>COUNTIFS(Database!F:F,C34,Database!M:M,"Transfer Out")</f>
        <v>0</v>
      </c>
      <c r="I34" s="89">
        <f t="shared" si="0"/>
        <v>0</v>
      </c>
      <c r="J34" s="85">
        <f t="shared" si="1"/>
        <v>0</v>
      </c>
      <c r="K34" s="71">
        <f>COUNTIFS(Database!F:F,C34,Database!M:M,"Pleadguilty")</f>
        <v>0</v>
      </c>
      <c r="L34" s="71">
        <f>COUNTIFS(Database!F:F,C34,Database!M:M,"In Default")</f>
        <v>0</v>
      </c>
      <c r="M34" s="71">
        <f>COUNTIFS(Database!F:F,C34,Database!M:M,"Uncontested")</f>
        <v>0</v>
      </c>
      <c r="N34" s="85">
        <f>SUM(J34,K34,L34,M34)</f>
        <v>0</v>
      </c>
      <c r="O34" s="71">
        <f>COUNTIFS(Database!F:F,C34,Database!L:L,"Disposed",Database!G:G,"&lt;01-09-2020")</f>
        <v>0</v>
      </c>
      <c r="P34" s="89">
        <f>COUNTIFS(Database!F:F,C34,Database!L:L,"Disposed",Database!G:G,"&gt;31-08-2020")</f>
        <v>0</v>
      </c>
      <c r="Q34" s="51">
        <f t="shared" si="3"/>
        <v>0</v>
      </c>
      <c r="R34" s="71">
        <f t="shared" si="4"/>
        <v>0</v>
      </c>
      <c r="S34" s="105">
        <f>COUNTIFS(Database!F:F,C34,Database!T:T,"Pending",Database!G:G,"&lt;01-09-2020")</f>
        <v>0</v>
      </c>
      <c r="T34" s="105">
        <f>COUNTIFS(Database!F:F,TRIM(C34),Database!T:T,"Pending",Database!G:G,"&gt;31-08-2020")</f>
        <v>0</v>
      </c>
      <c r="U34" s="51">
        <f t="shared" si="5"/>
        <v>0</v>
      </c>
      <c r="V34" s="47"/>
      <c r="W34" s="381" t="str">
        <f>'Summary Sheet'!C38</f>
        <v>Target Achivement Summary (1- Target Completely Achieved, 2- Target Partially Achieved, 3- Target Not Achieved)</v>
      </c>
      <c r="X34" s="381"/>
      <c r="Y34" s="381"/>
      <c r="Z34" s="381"/>
      <c r="AA34" s="381"/>
      <c r="AB34" s="381"/>
      <c r="AC34" s="263" t="str">
        <f>'Summary Sheet'!D38</f>
        <v>Acieved Partially</v>
      </c>
      <c r="AD34" s="47"/>
      <c r="AF34" s="93">
        <f>COUNTIFS(Database!F:F,C34,Database!M:M,"Contested- Trial Based")</f>
        <v>0</v>
      </c>
      <c r="AG34" s="93">
        <f>COUNTIFS(Database!F:F,C34,Database!M:M,"Contested- Non Trial Based")</f>
        <v>0</v>
      </c>
      <c r="AK34" s="17">
        <f t="shared" si="6"/>
        <v>0</v>
      </c>
      <c r="AL34" s="17"/>
    </row>
    <row r="35" spans="1:38" ht="17.45" customHeight="1">
      <c r="A35" s="431" t="s">
        <v>1644</v>
      </c>
      <c r="B35" s="432"/>
      <c r="C35" s="433"/>
      <c r="D35" s="95">
        <f t="shared" ref="D35:U35" si="13">SUM(D7:D34)</f>
        <v>187</v>
      </c>
      <c r="E35" s="95">
        <f t="shared" si="13"/>
        <v>42</v>
      </c>
      <c r="F35" s="95">
        <f t="shared" si="13"/>
        <v>0</v>
      </c>
      <c r="G35" s="95">
        <f t="shared" si="13"/>
        <v>0</v>
      </c>
      <c r="H35" s="95">
        <f t="shared" si="13"/>
        <v>1</v>
      </c>
      <c r="I35" s="95">
        <f t="shared" si="13"/>
        <v>228</v>
      </c>
      <c r="J35" s="95">
        <f t="shared" si="13"/>
        <v>26</v>
      </c>
      <c r="K35" s="95">
        <f t="shared" si="13"/>
        <v>1</v>
      </c>
      <c r="L35" s="95">
        <f t="shared" si="13"/>
        <v>2</v>
      </c>
      <c r="M35" s="95">
        <f t="shared" si="13"/>
        <v>2</v>
      </c>
      <c r="N35" s="95">
        <f t="shared" si="13"/>
        <v>31</v>
      </c>
      <c r="O35" s="95">
        <f t="shared" si="13"/>
        <v>0</v>
      </c>
      <c r="P35" s="95">
        <f t="shared" si="13"/>
        <v>31</v>
      </c>
      <c r="Q35" s="95">
        <f t="shared" si="13"/>
        <v>31</v>
      </c>
      <c r="R35" s="95">
        <f t="shared" si="13"/>
        <v>0</v>
      </c>
      <c r="S35" s="95">
        <f t="shared" si="13"/>
        <v>3</v>
      </c>
      <c r="T35" s="95">
        <f t="shared" si="13"/>
        <v>194</v>
      </c>
      <c r="U35" s="95">
        <f t="shared" si="13"/>
        <v>197</v>
      </c>
      <c r="V35" s="96"/>
      <c r="W35" s="96"/>
      <c r="X35" s="96"/>
      <c r="Y35" s="96"/>
      <c r="Z35" s="96"/>
      <c r="AA35" s="96"/>
      <c r="AB35" s="96"/>
      <c r="AC35" s="96"/>
      <c r="AD35" s="96"/>
      <c r="AE35" s="97"/>
      <c r="AF35" s="95">
        <f>SUM(AF7:AF34)</f>
        <v>1</v>
      </c>
      <c r="AG35" s="95">
        <f>SUM(AG7:AG34)</f>
        <v>25</v>
      </c>
      <c r="AK35" s="122">
        <f>SUM(AK7:AK34)</f>
        <v>172</v>
      </c>
      <c r="AL35" s="122">
        <f>SUM(AL7:AL34)</f>
        <v>25</v>
      </c>
    </row>
    <row r="36" spans="1:38" ht="41.45" customHeight="1">
      <c r="A36" s="429" t="s">
        <v>389</v>
      </c>
      <c r="B36" s="49" t="s">
        <v>9</v>
      </c>
      <c r="C36" s="55"/>
      <c r="D36" s="409" t="s">
        <v>1513</v>
      </c>
      <c r="E36" s="410" t="s">
        <v>1514</v>
      </c>
      <c r="F36" s="410" t="s">
        <v>1546</v>
      </c>
      <c r="G36" s="410" t="s">
        <v>1516</v>
      </c>
      <c r="H36" s="410" t="s">
        <v>1517</v>
      </c>
      <c r="I36" s="410" t="s">
        <v>1518</v>
      </c>
      <c r="J36" s="435" t="s">
        <v>1519</v>
      </c>
      <c r="K36" s="435"/>
      <c r="L36" s="435"/>
      <c r="M36" s="435"/>
      <c r="N36" s="411" t="s">
        <v>1520</v>
      </c>
      <c r="O36" s="419" t="s">
        <v>1547</v>
      </c>
      <c r="P36" s="419" t="s">
        <v>1522</v>
      </c>
      <c r="Q36" s="411" t="s">
        <v>1523</v>
      </c>
      <c r="R36" s="412" t="s">
        <v>1524</v>
      </c>
      <c r="S36" s="413" t="s">
        <v>1525</v>
      </c>
      <c r="T36" s="413"/>
      <c r="U36" s="413" t="s">
        <v>1548</v>
      </c>
      <c r="V36" s="47"/>
      <c r="W36" s="47"/>
      <c r="X36" s="47"/>
      <c r="Y36" s="47"/>
      <c r="Z36" s="47"/>
      <c r="AA36" s="47"/>
      <c r="AB36" s="47"/>
      <c r="AC36" s="47"/>
      <c r="AD36" s="47"/>
      <c r="AK36" s="16"/>
    </row>
    <row r="37" spans="1:38" ht="42.6" customHeight="1">
      <c r="A37" s="429"/>
      <c r="B37" s="401" t="s">
        <v>7</v>
      </c>
      <c r="C37" s="414" t="s">
        <v>1559</v>
      </c>
      <c r="D37" s="409"/>
      <c r="E37" s="410"/>
      <c r="F37" s="410"/>
      <c r="G37" s="410"/>
      <c r="H37" s="410"/>
      <c r="I37" s="410"/>
      <c r="J37" s="430" t="s">
        <v>1528</v>
      </c>
      <c r="K37" s="430" t="s">
        <v>116</v>
      </c>
      <c r="L37" s="430" t="s">
        <v>1529</v>
      </c>
      <c r="M37" s="430"/>
      <c r="N37" s="411"/>
      <c r="O37" s="419"/>
      <c r="P37" s="419"/>
      <c r="Q37" s="411"/>
      <c r="R37" s="412"/>
      <c r="S37" s="419" t="s">
        <v>1549</v>
      </c>
      <c r="T37" s="419" t="s">
        <v>1531</v>
      </c>
      <c r="U37" s="413"/>
      <c r="V37" s="47"/>
      <c r="W37" s="47"/>
      <c r="X37" s="47"/>
      <c r="Y37" s="47"/>
      <c r="Z37" s="47"/>
      <c r="AA37" s="47"/>
      <c r="AB37" s="47"/>
      <c r="AC37" s="47"/>
      <c r="AD37" s="47"/>
      <c r="AF37" s="383" t="s">
        <v>1596</v>
      </c>
      <c r="AG37" s="383"/>
      <c r="AK37" s="16"/>
    </row>
    <row r="38" spans="1:38" ht="63.6" customHeight="1">
      <c r="A38" s="429"/>
      <c r="B38" s="401"/>
      <c r="C38" s="415"/>
      <c r="D38" s="409"/>
      <c r="E38" s="410"/>
      <c r="F38" s="410"/>
      <c r="G38" s="410"/>
      <c r="H38" s="410"/>
      <c r="I38" s="410"/>
      <c r="J38" s="430"/>
      <c r="K38" s="430"/>
      <c r="L38" s="430"/>
      <c r="M38" s="430"/>
      <c r="N38" s="411"/>
      <c r="O38" s="419"/>
      <c r="P38" s="419"/>
      <c r="Q38" s="411"/>
      <c r="R38" s="412"/>
      <c r="S38" s="419"/>
      <c r="T38" s="419"/>
      <c r="U38" s="413"/>
      <c r="V38" s="47"/>
      <c r="W38" s="47"/>
      <c r="X38" s="47"/>
      <c r="Y38" s="47"/>
      <c r="Z38" s="47"/>
      <c r="AA38" s="47"/>
      <c r="AB38" s="47"/>
      <c r="AC38" s="47"/>
      <c r="AD38" s="47"/>
      <c r="AF38" s="88" t="s">
        <v>1594</v>
      </c>
      <c r="AG38" s="88" t="s">
        <v>1595</v>
      </c>
      <c r="AK38" s="16"/>
    </row>
    <row r="39" spans="1:38" ht="17.45" customHeight="1">
      <c r="A39" s="42" t="s">
        <v>66</v>
      </c>
      <c r="B39" s="43" t="s">
        <v>67</v>
      </c>
      <c r="C39" s="43" t="s">
        <v>1752</v>
      </c>
      <c r="D39" s="71">
        <f>COUNTIFS(Database!F:F,C39,Database!P:P,"Last Month Pendency")</f>
        <v>0</v>
      </c>
      <c r="E39" s="71">
        <f>COUNTIFS(Database!F:F,C39,Database!P:P,"Fresh Month Institution")</f>
        <v>0</v>
      </c>
      <c r="F39" s="89">
        <f>COUNTIFS(Database!F:F,C39,Database!P:P,"Other Institution")</f>
        <v>0</v>
      </c>
      <c r="G39" s="89">
        <f>COUNTIFS(Database!F:F,C39,Database!P:P,"Transfer In")</f>
        <v>0</v>
      </c>
      <c r="H39" s="162">
        <f>COUNTIFS(Database!F:F,C39,Database!M:M,"Transfer Out")</f>
        <v>0</v>
      </c>
      <c r="I39" s="51">
        <f t="shared" ref="I39:I66" si="14">SUM(D39,E39,F39,G39)-H39</f>
        <v>0</v>
      </c>
      <c r="J39" s="54">
        <f t="shared" ref="J39:J66" si="15">AF39+AG39</f>
        <v>0</v>
      </c>
      <c r="K39" s="71">
        <f>COUNTIFS(Database!F:F,C39,Database!M:M,"In Default")</f>
        <v>0</v>
      </c>
      <c r="L39" s="434">
        <f>COUNTIFS(Database!F:F,C39,Database!M:M,"Uncontested")</f>
        <v>0</v>
      </c>
      <c r="M39" s="434"/>
      <c r="N39" s="51">
        <f>SUM(J39,K39,L39)</f>
        <v>0</v>
      </c>
      <c r="O39" s="71">
        <f>COUNTIFS(Database!F:F,C39,Database!L:L,"Disposed",Database!G:G,"&lt;01-09-2020")</f>
        <v>0</v>
      </c>
      <c r="P39" s="89">
        <f>COUNTIFS(Database!F:F,C39,Database!L:L,"Disposed",Database!G:G,"&gt;31-08-2020")</f>
        <v>0</v>
      </c>
      <c r="Q39" s="51">
        <f>SUM(O39,P39)</f>
        <v>0</v>
      </c>
      <c r="R39" s="51">
        <f>N39-Q39</f>
        <v>0</v>
      </c>
      <c r="S39" s="104">
        <f>COUNTIFS(Database!F:F,C39,Database!T:T,"Pending",Database!G:G,"&lt;01-09-2020")</f>
        <v>0</v>
      </c>
      <c r="T39" s="105">
        <f>COUNTIFS(Database!F:F,TRIM(C39),Database!T:T,"Pending",Database!G:G,"&gt;31-08-2020")</f>
        <v>0</v>
      </c>
      <c r="U39" s="51">
        <f>SUM(S39,T39)</f>
        <v>0</v>
      </c>
      <c r="V39" s="47"/>
      <c r="W39" s="47"/>
      <c r="X39" s="47"/>
      <c r="Y39" s="47"/>
      <c r="Z39" s="47"/>
      <c r="AA39" s="47"/>
      <c r="AB39" s="47"/>
      <c r="AC39" s="47"/>
      <c r="AD39" s="47"/>
      <c r="AF39" s="93">
        <f>COUNTIFS(Database!F:F,C39,Database!M:M,"Contested- Trial Based")</f>
        <v>0</v>
      </c>
      <c r="AG39" s="93">
        <f>COUNTIFS(Database!F:F,C39,Database!M:M,"Contested- Non Trial Based")</f>
        <v>0</v>
      </c>
      <c r="AK39" s="17">
        <f t="shared" si="6"/>
        <v>0</v>
      </c>
    </row>
    <row r="40" spans="1:38" ht="17.45" customHeight="1">
      <c r="A40" s="42" t="s">
        <v>68</v>
      </c>
      <c r="B40" s="43" t="s">
        <v>69</v>
      </c>
      <c r="C40" s="43" t="s">
        <v>1753</v>
      </c>
      <c r="D40" s="71">
        <f>COUNTIFS(Database!F:F,C40,Database!P:P,"Last Month Pendency")</f>
        <v>57</v>
      </c>
      <c r="E40" s="71">
        <f>COUNTIFS(Database!F:F,C40,Database!P:P,"Fresh Month Institution")</f>
        <v>0</v>
      </c>
      <c r="F40" s="89">
        <f>COUNTIFS(Database!F:F,C40,Database!P:P,"Other Institution")</f>
        <v>3</v>
      </c>
      <c r="G40" s="89">
        <f>COUNTIFS(Database!F:F,C40,Database!P:P,"Transfer In")</f>
        <v>0</v>
      </c>
      <c r="H40" s="162">
        <f>COUNTIFS(Database!F:F,C40,Database!M:M,"Transfer Out")</f>
        <v>0</v>
      </c>
      <c r="I40" s="51">
        <f t="shared" si="14"/>
        <v>60</v>
      </c>
      <c r="J40" s="104">
        <f t="shared" si="15"/>
        <v>1</v>
      </c>
      <c r="K40" s="186">
        <f>COUNTIFS(Database!F:F,C40,Database!M:M,"In Default")</f>
        <v>2</v>
      </c>
      <c r="L40" s="434">
        <f>COUNTIFS(Database!F:F,C40,Database!M:M,"Uncontested")</f>
        <v>1</v>
      </c>
      <c r="M40" s="434"/>
      <c r="N40" s="51">
        <f t="shared" ref="N40:N66" si="16">SUM(J40,K40,L40)</f>
        <v>4</v>
      </c>
      <c r="O40" s="71">
        <f>COUNTIFS(Database!F:F,C40,Database!L:L,"Disposed",Database!G:G,"&lt;01-09-2020")</f>
        <v>0</v>
      </c>
      <c r="P40" s="89">
        <f>COUNTIFS(Database!F:F,C40,Database!L:L,"Disposed",Database!G:G,"&gt;31-08-2020")</f>
        <v>4</v>
      </c>
      <c r="Q40" s="51">
        <f t="shared" ref="Q40:Q66" si="17">SUM(O40,P40)</f>
        <v>4</v>
      </c>
      <c r="R40" s="71">
        <f t="shared" ref="R40:R66" si="18">N40-Q40</f>
        <v>0</v>
      </c>
      <c r="S40" s="105">
        <f>COUNTIFS(Database!F:F,C40,Database!T:T,"Pending",Database!G:G,"&lt;01-09-2020")</f>
        <v>5</v>
      </c>
      <c r="T40" s="105">
        <f>COUNTIFS(Database!F:F,TRIM(C40),Database!T:T,"Pending",Database!G:G,"&gt;31-08-2020")</f>
        <v>51</v>
      </c>
      <c r="U40" s="51">
        <f t="shared" ref="U40:U66" si="19">SUM(S40,T40)</f>
        <v>56</v>
      </c>
      <c r="V40" s="47"/>
      <c r="W40" s="47"/>
      <c r="X40" s="47"/>
      <c r="Y40" s="47"/>
      <c r="Z40" s="47"/>
      <c r="AA40" s="47"/>
      <c r="AB40" s="47"/>
      <c r="AC40" s="47"/>
      <c r="AD40" s="47"/>
      <c r="AF40" s="93">
        <f>COUNTIFS(Database!F:F,C40,Database!M:M,"Contested- Trial Based")</f>
        <v>0</v>
      </c>
      <c r="AG40" s="93">
        <f>COUNTIFS(Database!F:F,C40,Database!M:M,"Contested- Non Trial Based")</f>
        <v>1</v>
      </c>
      <c r="AK40" s="17">
        <f t="shared" si="6"/>
        <v>57</v>
      </c>
    </row>
    <row r="41" spans="1:38" ht="17.45" customHeight="1">
      <c r="A41" s="42" t="s">
        <v>70</v>
      </c>
      <c r="B41" s="43" t="s">
        <v>71</v>
      </c>
      <c r="C41" s="43" t="s">
        <v>1754</v>
      </c>
      <c r="D41" s="71">
        <f>COUNTIFS(Database!F:F,C41,Database!P:P,"Last Month Pendency")</f>
        <v>1</v>
      </c>
      <c r="E41" s="71">
        <f>COUNTIFS(Database!F:F,C41,Database!P:P,"Fresh Month Institution")</f>
        <v>2</v>
      </c>
      <c r="F41" s="89">
        <f>COUNTIFS(Database!F:F,C41,Database!P:P,"Other Institution")</f>
        <v>0</v>
      </c>
      <c r="G41" s="89">
        <f>COUNTIFS(Database!F:F,C41,Database!P:P,"Transfer In")</f>
        <v>0</v>
      </c>
      <c r="H41" s="162">
        <f>COUNTIFS(Database!F:F,C41,Database!M:M,"Transfer Out")</f>
        <v>0</v>
      </c>
      <c r="I41" s="51">
        <f t="shared" si="14"/>
        <v>3</v>
      </c>
      <c r="J41" s="104">
        <f t="shared" si="15"/>
        <v>0</v>
      </c>
      <c r="K41" s="186">
        <f>COUNTIFS(Database!F:F,C41,Database!M:M,"In Default")</f>
        <v>0</v>
      </c>
      <c r="L41" s="434">
        <f>COUNTIFS(Database!F:F,C41,Database!M:M,"Uncontested")</f>
        <v>0</v>
      </c>
      <c r="M41" s="434"/>
      <c r="N41" s="51">
        <f t="shared" si="16"/>
        <v>0</v>
      </c>
      <c r="O41" s="71">
        <f>COUNTIFS(Database!F:F,C41,Database!L:L,"Disposed",Database!G:G,"&lt;01-09-2020")</f>
        <v>0</v>
      </c>
      <c r="P41" s="89">
        <f>COUNTIFS(Database!F:F,C41,Database!L:L,"Disposed",Database!G:G,"&gt;31-08-2020")</f>
        <v>0</v>
      </c>
      <c r="Q41" s="51">
        <f t="shared" si="17"/>
        <v>0</v>
      </c>
      <c r="R41" s="71">
        <f t="shared" si="18"/>
        <v>0</v>
      </c>
      <c r="S41" s="105">
        <f>COUNTIFS(Database!F:F,C41,Database!T:T,"Pending",Database!G:G,"&lt;01-09-2020")</f>
        <v>0</v>
      </c>
      <c r="T41" s="105">
        <f>COUNTIFS(Database!F:F,TRIM(C41),Database!T:T,"Pending",Database!G:G,"&gt;31-08-2020")</f>
        <v>3</v>
      </c>
      <c r="U41" s="51">
        <f t="shared" si="19"/>
        <v>3</v>
      </c>
      <c r="V41" s="47"/>
      <c r="W41" s="47"/>
      <c r="X41" s="47"/>
      <c r="Y41" s="47"/>
      <c r="Z41" s="47"/>
      <c r="AA41" s="47"/>
      <c r="AB41" s="47"/>
      <c r="AC41" s="47"/>
      <c r="AD41" s="47"/>
      <c r="AF41" s="93">
        <f>COUNTIFS(Database!F:F,C41,Database!M:M,"Contested- Trial Based")</f>
        <v>0</v>
      </c>
      <c r="AG41" s="93">
        <f>COUNTIFS(Database!F:F,C41,Database!M:M,"Contested- Non Trial Based")</f>
        <v>0</v>
      </c>
      <c r="AK41" s="17">
        <f t="shared" si="6"/>
        <v>1</v>
      </c>
    </row>
    <row r="42" spans="1:38" ht="17.45" customHeight="1">
      <c r="A42" s="42" t="s">
        <v>72</v>
      </c>
      <c r="B42" s="43" t="s">
        <v>73</v>
      </c>
      <c r="C42" s="43" t="s">
        <v>1755</v>
      </c>
      <c r="D42" s="71">
        <f>COUNTIFS(Database!F:F,C42,Database!P:P,"Last Month Pendency")</f>
        <v>0</v>
      </c>
      <c r="E42" s="71">
        <f>COUNTIFS(Database!F:F,C42,Database!P:P,"Fresh Month Institution")</f>
        <v>0</v>
      </c>
      <c r="F42" s="89">
        <f>COUNTIFS(Database!F:F,C42,Database!P:P,"Other Institution")</f>
        <v>0</v>
      </c>
      <c r="G42" s="89">
        <f>COUNTIFS(Database!F:F,C42,Database!P:P,"Transfer In")</f>
        <v>0</v>
      </c>
      <c r="H42" s="162">
        <f>COUNTIFS(Database!F:F,C42,Database!M:M,"Transfer Out")</f>
        <v>0</v>
      </c>
      <c r="I42" s="51">
        <f t="shared" si="14"/>
        <v>0</v>
      </c>
      <c r="J42" s="54">
        <f t="shared" si="15"/>
        <v>0</v>
      </c>
      <c r="K42" s="186">
        <f>COUNTIFS(Database!F:F,C42,Database!M:M,"In Default")</f>
        <v>0</v>
      </c>
      <c r="L42" s="434">
        <f>COUNTIFS(Database!F:F,C42,Database!M:M,"Uncontested")</f>
        <v>0</v>
      </c>
      <c r="M42" s="434"/>
      <c r="N42" s="51">
        <f t="shared" si="16"/>
        <v>0</v>
      </c>
      <c r="O42" s="71">
        <f>COUNTIFS(Database!F:F,C42,Database!L:L,"Disposed",Database!G:G,"&lt;01-09-2020")</f>
        <v>0</v>
      </c>
      <c r="P42" s="89">
        <f>COUNTIFS(Database!F:F,C42,Database!L:L,"Disposed",Database!G:G,"&gt;31-08-2020")</f>
        <v>0</v>
      </c>
      <c r="Q42" s="51">
        <f t="shared" si="17"/>
        <v>0</v>
      </c>
      <c r="R42" s="71">
        <f t="shared" si="18"/>
        <v>0</v>
      </c>
      <c r="S42" s="105">
        <f>COUNTIFS(Database!F:F,C42,Database!T:T,"Pending",Database!G:G,"&lt;01-09-2020")</f>
        <v>0</v>
      </c>
      <c r="T42" s="105">
        <f>COUNTIFS(Database!F:F,TRIM(C42),Database!T:T,"Pending",Database!G:G,"&gt;31-08-2020")</f>
        <v>0</v>
      </c>
      <c r="U42" s="51">
        <f t="shared" si="19"/>
        <v>0</v>
      </c>
      <c r="V42" s="47"/>
      <c r="W42" s="47"/>
      <c r="X42" s="47"/>
      <c r="Y42" s="47"/>
      <c r="Z42" s="47"/>
      <c r="AA42" s="47"/>
      <c r="AB42" s="47"/>
      <c r="AC42" s="47"/>
      <c r="AD42" s="47"/>
      <c r="AF42" s="93">
        <f>COUNTIFS(Database!F:F,C42,Database!M:M,"Contested- Trial Based")</f>
        <v>0</v>
      </c>
      <c r="AG42" s="93">
        <f>COUNTIFS(Database!F:F,C42,Database!M:M,"Contested- Non Trial Based")</f>
        <v>0</v>
      </c>
      <c r="AK42" s="17">
        <f t="shared" si="6"/>
        <v>0</v>
      </c>
    </row>
    <row r="43" spans="1:38" ht="17.45" customHeight="1">
      <c r="A43" s="42" t="s">
        <v>74</v>
      </c>
      <c r="B43" s="43" t="s">
        <v>75</v>
      </c>
      <c r="C43" s="43" t="s">
        <v>1735</v>
      </c>
      <c r="D43" s="71">
        <f>COUNTIFS(Database!F:F,C43,Database!P:P,"Last Month Pendency")</f>
        <v>0</v>
      </c>
      <c r="E43" s="71">
        <f>COUNTIFS(Database!F:F,C43,Database!P:P,"Fresh Month Institution")</f>
        <v>0</v>
      </c>
      <c r="F43" s="89">
        <f>COUNTIFS(Database!F:F,C43,Database!P:P,"Other Institution")</f>
        <v>0</v>
      </c>
      <c r="G43" s="89">
        <f>COUNTIFS(Database!F:F,C43,Database!P:P,"Transfer In")</f>
        <v>0</v>
      </c>
      <c r="H43" s="162">
        <f>COUNTIFS(Database!F:F,C43,Database!M:M,"Transfer Out")</f>
        <v>0</v>
      </c>
      <c r="I43" s="51">
        <f t="shared" si="14"/>
        <v>0</v>
      </c>
      <c r="J43" s="54">
        <f t="shared" si="15"/>
        <v>0</v>
      </c>
      <c r="K43" s="186">
        <f>COUNTIFS(Database!F:F,C43,Database!M:M,"In Default")</f>
        <v>0</v>
      </c>
      <c r="L43" s="434">
        <f>COUNTIFS(Database!F:F,C43,Database!M:M,"Uncontested")</f>
        <v>0</v>
      </c>
      <c r="M43" s="434"/>
      <c r="N43" s="51">
        <f t="shared" si="16"/>
        <v>0</v>
      </c>
      <c r="O43" s="71">
        <f>COUNTIFS(Database!F:F,C43,Database!L:L,"Disposed",Database!G:G,"&lt;01-09-2020")</f>
        <v>0</v>
      </c>
      <c r="P43" s="89">
        <f>COUNTIFS(Database!F:F,C43,Database!L:L,"Disposed",Database!G:G,"&gt;31-08-2020")</f>
        <v>0</v>
      </c>
      <c r="Q43" s="51">
        <f t="shared" si="17"/>
        <v>0</v>
      </c>
      <c r="R43" s="71">
        <f t="shared" si="18"/>
        <v>0</v>
      </c>
      <c r="S43" s="105">
        <f>COUNTIFS(Database!F:F,C43,Database!T:T,"Pending",Database!G:G,"&lt;01-09-2020")</f>
        <v>0</v>
      </c>
      <c r="T43" s="105">
        <f>COUNTIFS(Database!F:F,TRIM(C43),Database!T:T,"Pending",Database!G:G,"&gt;31-08-2020")</f>
        <v>0</v>
      </c>
      <c r="U43" s="51">
        <f t="shared" si="19"/>
        <v>0</v>
      </c>
      <c r="V43" s="47"/>
      <c r="W43" s="47"/>
      <c r="X43" s="47"/>
      <c r="Y43" s="47"/>
      <c r="Z43" s="47"/>
      <c r="AA43" s="47"/>
      <c r="AB43" s="47"/>
      <c r="AC43" s="47"/>
      <c r="AD43" s="47"/>
      <c r="AF43" s="93">
        <f>COUNTIFS(Database!F:F,C43,Database!M:M,"Contested- Trial Based")</f>
        <v>0</v>
      </c>
      <c r="AG43" s="93">
        <f>COUNTIFS(Database!F:F,C43,Database!M:M,"Contested- Non Trial Based")</f>
        <v>0</v>
      </c>
      <c r="AK43" s="17">
        <f t="shared" si="6"/>
        <v>0</v>
      </c>
    </row>
    <row r="44" spans="1:38" ht="17.45" customHeight="1">
      <c r="A44" s="42" t="s">
        <v>76</v>
      </c>
      <c r="B44" s="43" t="s">
        <v>77</v>
      </c>
      <c r="C44" s="43" t="s">
        <v>1756</v>
      </c>
      <c r="D44" s="71">
        <f>COUNTIFS(Database!F:F,C44,Database!P:P,"Last Month Pendency")</f>
        <v>0</v>
      </c>
      <c r="E44" s="71">
        <f>COUNTIFS(Database!F:F,C44,Database!P:P,"Fresh Month Institution")</f>
        <v>0</v>
      </c>
      <c r="F44" s="89">
        <f>COUNTIFS(Database!F:F,C44,Database!P:P,"Other Institution")</f>
        <v>0</v>
      </c>
      <c r="G44" s="89">
        <f>COUNTIFS(Database!F:F,C44,Database!P:P,"Transfer In")</f>
        <v>0</v>
      </c>
      <c r="H44" s="162">
        <f>COUNTIFS(Database!F:F,C44,Database!M:M,"Transfer Out")</f>
        <v>0</v>
      </c>
      <c r="I44" s="51">
        <f t="shared" si="14"/>
        <v>0</v>
      </c>
      <c r="J44" s="54">
        <f t="shared" si="15"/>
        <v>0</v>
      </c>
      <c r="K44" s="186">
        <f>COUNTIFS(Database!F:F,C44,Database!M:M,"In Default")</f>
        <v>0</v>
      </c>
      <c r="L44" s="434">
        <f>COUNTIFS(Database!F:F,C44,Database!M:M,"Uncontested")</f>
        <v>0</v>
      </c>
      <c r="M44" s="434"/>
      <c r="N44" s="51">
        <f t="shared" si="16"/>
        <v>0</v>
      </c>
      <c r="O44" s="71">
        <f>COUNTIFS(Database!F:F,C44,Database!L:L,"Disposed",Database!G:G,"&lt;01-09-2020")</f>
        <v>0</v>
      </c>
      <c r="P44" s="89">
        <f>COUNTIFS(Database!F:F,C44,Database!L:L,"Disposed",Database!G:G,"&gt;31-08-2020")</f>
        <v>0</v>
      </c>
      <c r="Q44" s="51">
        <f t="shared" si="17"/>
        <v>0</v>
      </c>
      <c r="R44" s="71">
        <f t="shared" si="18"/>
        <v>0</v>
      </c>
      <c r="S44" s="105">
        <f>COUNTIFS(Database!F:F,C44,Database!T:T,"Pending",Database!G:G,"&lt;01-09-2020")</f>
        <v>0</v>
      </c>
      <c r="T44" s="105">
        <f>COUNTIFS(Database!F:F,TRIM(C44),Database!T:T,"Pending",Database!G:G,"&gt;31-08-2020")</f>
        <v>0</v>
      </c>
      <c r="U44" s="51">
        <f t="shared" si="19"/>
        <v>0</v>
      </c>
      <c r="V44" s="47"/>
      <c r="W44" s="47"/>
      <c r="X44" s="47"/>
      <c r="Y44" s="47"/>
      <c r="Z44" s="47"/>
      <c r="AA44" s="47"/>
      <c r="AB44" s="47"/>
      <c r="AC44" s="47"/>
      <c r="AD44" s="47"/>
      <c r="AF44" s="93">
        <f>COUNTIFS(Database!F:F,C44,Database!M:M,"Contested- Trial Based")</f>
        <v>0</v>
      </c>
      <c r="AG44" s="93">
        <f>COUNTIFS(Database!F:F,C44,Database!M:M,"Contested- Non Trial Based")</f>
        <v>0</v>
      </c>
      <c r="AK44" s="17">
        <f t="shared" si="6"/>
        <v>0</v>
      </c>
    </row>
    <row r="45" spans="1:38" ht="17.45" customHeight="1">
      <c r="A45" s="42" t="s">
        <v>78</v>
      </c>
      <c r="B45" s="43" t="s">
        <v>79</v>
      </c>
      <c r="C45" s="43" t="s">
        <v>1757</v>
      </c>
      <c r="D45" s="71">
        <f>COUNTIFS(Database!F:F,C45,Database!P:P,"Last Month Pendency")</f>
        <v>0</v>
      </c>
      <c r="E45" s="71">
        <f>COUNTIFS(Database!F:F,C45,Database!P:P,"Fresh Month Institution")</f>
        <v>0</v>
      </c>
      <c r="F45" s="89">
        <f>COUNTIFS(Database!F:F,C45,Database!P:P,"Other Institution")</f>
        <v>0</v>
      </c>
      <c r="G45" s="89">
        <f>COUNTIFS(Database!F:F,C45,Database!P:P,"Transfer In")</f>
        <v>0</v>
      </c>
      <c r="H45" s="162">
        <f>COUNTIFS(Database!F:F,C45,Database!M:M,"Transfer Out")</f>
        <v>0</v>
      </c>
      <c r="I45" s="51">
        <f t="shared" si="14"/>
        <v>0</v>
      </c>
      <c r="J45" s="54">
        <f t="shared" si="15"/>
        <v>0</v>
      </c>
      <c r="K45" s="186">
        <f>COUNTIFS(Database!F:F,C45,Database!M:M,"In Default")</f>
        <v>0</v>
      </c>
      <c r="L45" s="434">
        <f>COUNTIFS(Database!F:F,C45,Database!M:M,"Uncontested")</f>
        <v>0</v>
      </c>
      <c r="M45" s="434"/>
      <c r="N45" s="51">
        <f t="shared" si="16"/>
        <v>0</v>
      </c>
      <c r="O45" s="71">
        <f>COUNTIFS(Database!F:F,C45,Database!L:L,"Disposed",Database!G:G,"&lt;01-09-2020")</f>
        <v>0</v>
      </c>
      <c r="P45" s="89">
        <f>COUNTIFS(Database!F:F,C45,Database!L:L,"Disposed",Database!G:G,"&gt;31-08-2020")</f>
        <v>0</v>
      </c>
      <c r="Q45" s="51">
        <f t="shared" si="17"/>
        <v>0</v>
      </c>
      <c r="R45" s="71">
        <f t="shared" si="18"/>
        <v>0</v>
      </c>
      <c r="S45" s="105">
        <f>COUNTIFS(Database!F:F,C45,Database!T:T,"Pending",Database!G:G,"&lt;01-09-2020")</f>
        <v>0</v>
      </c>
      <c r="T45" s="105">
        <f>COUNTIFS(Database!F:F,TRIM(C45),Database!T:T,"Pending",Database!G:G,"&gt;31-08-2020")</f>
        <v>0</v>
      </c>
      <c r="U45" s="51">
        <f t="shared" si="19"/>
        <v>0</v>
      </c>
      <c r="V45" s="47"/>
      <c r="W45" s="47"/>
      <c r="X45" s="47"/>
      <c r="Y45" s="47"/>
      <c r="Z45" s="47"/>
      <c r="AA45" s="47"/>
      <c r="AB45" s="47"/>
      <c r="AC45" s="47"/>
      <c r="AD45" s="47"/>
      <c r="AF45" s="93">
        <f>COUNTIFS(Database!F:F,C45,Database!M:M,"Contested- Trial Based")</f>
        <v>0</v>
      </c>
      <c r="AG45" s="93">
        <f>COUNTIFS(Database!F:F,C45,Database!M:M,"Contested- Non Trial Based")</f>
        <v>0</v>
      </c>
      <c r="AK45" s="17">
        <f t="shared" si="6"/>
        <v>0</v>
      </c>
    </row>
    <row r="46" spans="1:38" ht="17.45" customHeight="1">
      <c r="A46" s="42" t="s">
        <v>80</v>
      </c>
      <c r="B46" s="43" t="s">
        <v>81</v>
      </c>
      <c r="C46" s="43" t="s">
        <v>1758</v>
      </c>
      <c r="D46" s="71">
        <f>COUNTIFS(Database!F:F,C46,Database!P:P,"Last Month Pendency")</f>
        <v>0</v>
      </c>
      <c r="E46" s="71">
        <f>COUNTIFS(Database!F:F,C46,Database!P:P,"Fresh Month Institution")</f>
        <v>0</v>
      </c>
      <c r="F46" s="89">
        <f>COUNTIFS(Database!F:F,C46,Database!P:P,"Other Institution")</f>
        <v>0</v>
      </c>
      <c r="G46" s="89">
        <f>COUNTIFS(Database!F:F,C46,Database!P:P,"Transfer In")</f>
        <v>0</v>
      </c>
      <c r="H46" s="162">
        <f>COUNTIFS(Database!F:F,C46,Database!M:M,"Transfer Out")</f>
        <v>0</v>
      </c>
      <c r="I46" s="51">
        <f t="shared" si="14"/>
        <v>0</v>
      </c>
      <c r="J46" s="54">
        <f t="shared" si="15"/>
        <v>0</v>
      </c>
      <c r="K46" s="186">
        <f>COUNTIFS(Database!F:F,C46,Database!M:M,"In Default")</f>
        <v>0</v>
      </c>
      <c r="L46" s="434">
        <f>COUNTIFS(Database!F:F,C46,Database!M:M,"Uncontested")</f>
        <v>0</v>
      </c>
      <c r="M46" s="434"/>
      <c r="N46" s="51">
        <f t="shared" si="16"/>
        <v>0</v>
      </c>
      <c r="O46" s="71">
        <f>COUNTIFS(Database!F:F,C46,Database!L:L,"Disposed",Database!G:G,"&lt;01-09-2020")</f>
        <v>0</v>
      </c>
      <c r="P46" s="89">
        <f>COUNTIFS(Database!F:F,C46,Database!L:L,"Disposed",Database!G:G,"&gt;31-08-2020")</f>
        <v>0</v>
      </c>
      <c r="Q46" s="51">
        <f t="shared" si="17"/>
        <v>0</v>
      </c>
      <c r="R46" s="71">
        <f t="shared" si="18"/>
        <v>0</v>
      </c>
      <c r="S46" s="105">
        <f>COUNTIFS(Database!F:F,C46,Database!T:T,"Pending",Database!G:G,"&lt;01-09-2020")</f>
        <v>0</v>
      </c>
      <c r="T46" s="105">
        <f>COUNTIFS(Database!F:F,TRIM(C46),Database!T:T,"Pending",Database!G:G,"&gt;31-08-2020")</f>
        <v>0</v>
      </c>
      <c r="U46" s="51">
        <f t="shared" si="19"/>
        <v>0</v>
      </c>
      <c r="V46" s="47"/>
      <c r="W46" s="47"/>
      <c r="X46" s="47"/>
      <c r="Y46" s="47"/>
      <c r="Z46" s="47"/>
      <c r="AA46" s="47"/>
      <c r="AB46" s="47"/>
      <c r="AC46" s="47"/>
      <c r="AD46" s="47"/>
      <c r="AF46" s="93">
        <f>COUNTIFS(Database!F:F,C46,Database!M:M,"Contested- Trial Based")</f>
        <v>0</v>
      </c>
      <c r="AG46" s="93">
        <f>COUNTIFS(Database!F:F,C46,Database!M:M,"Contested- Non Trial Based")</f>
        <v>0</v>
      </c>
      <c r="AK46" s="17">
        <f t="shared" si="6"/>
        <v>0</v>
      </c>
    </row>
    <row r="47" spans="1:38" ht="17.45" customHeight="1">
      <c r="A47" s="42" t="s">
        <v>82</v>
      </c>
      <c r="B47" s="43" t="s">
        <v>83</v>
      </c>
      <c r="C47" s="43" t="s">
        <v>1759</v>
      </c>
      <c r="D47" s="71">
        <f>COUNTIFS(Database!F:F,C47,Database!P:P,"Last Month Pendency")</f>
        <v>59</v>
      </c>
      <c r="E47" s="71">
        <f>COUNTIFS(Database!F:F,C47,Database!P:P,"Fresh Month Institution")</f>
        <v>0</v>
      </c>
      <c r="F47" s="89">
        <f>COUNTIFS(Database!F:F,C47,Database!P:P,"Other Institution")</f>
        <v>2</v>
      </c>
      <c r="G47" s="89">
        <f>COUNTIFS(Database!F:F,C47,Database!P:P,"Transfer In")</f>
        <v>0</v>
      </c>
      <c r="H47" s="162">
        <f>COUNTIFS(Database!F:F,C47,Database!M:M,"Transfer Out")</f>
        <v>0</v>
      </c>
      <c r="I47" s="51">
        <f t="shared" si="14"/>
        <v>61</v>
      </c>
      <c r="J47" s="54">
        <f t="shared" si="15"/>
        <v>1</v>
      </c>
      <c r="K47" s="186">
        <f>COUNTIFS(Database!F:F,C47,Database!M:M,"In Default")</f>
        <v>0</v>
      </c>
      <c r="L47" s="434">
        <f>COUNTIFS(Database!F:F,C47,Database!M:M,"Uncontested")</f>
        <v>0</v>
      </c>
      <c r="M47" s="434"/>
      <c r="N47" s="51">
        <f t="shared" si="16"/>
        <v>1</v>
      </c>
      <c r="O47" s="71">
        <f>COUNTIFS(Database!F:F,C47,Database!L:L,"Disposed",Database!G:G,"&lt;01-09-2020")</f>
        <v>1</v>
      </c>
      <c r="P47" s="89">
        <f>COUNTIFS(Database!F:F,C47,Database!L:L,"Disposed",Database!G:G,"&gt;31-08-2020")</f>
        <v>0</v>
      </c>
      <c r="Q47" s="51">
        <f t="shared" si="17"/>
        <v>1</v>
      </c>
      <c r="R47" s="71">
        <f t="shared" si="18"/>
        <v>0</v>
      </c>
      <c r="S47" s="105">
        <f>COUNTIFS(Database!F:F,C47,Database!T:T,"Pending",Database!G:G,"&lt;01-09-2020")</f>
        <v>47</v>
      </c>
      <c r="T47" s="105">
        <f>COUNTIFS(Database!F:F,TRIM(C47),Database!T:T,"Pending",Database!G:G,"&gt;31-08-2020")</f>
        <v>13</v>
      </c>
      <c r="U47" s="51">
        <f t="shared" si="19"/>
        <v>60</v>
      </c>
      <c r="V47" s="47"/>
      <c r="W47" s="47"/>
      <c r="X47" s="47"/>
      <c r="Y47" s="47"/>
      <c r="Z47" s="47"/>
      <c r="AA47" s="47"/>
      <c r="AB47" s="47"/>
      <c r="AC47" s="47"/>
      <c r="AD47" s="47"/>
      <c r="AF47" s="93">
        <f>COUNTIFS(Database!F:F,C47,Database!M:M,"Contested- Trial Based")</f>
        <v>1</v>
      </c>
      <c r="AG47" s="93">
        <f>COUNTIFS(Database!F:F,C47,Database!M:M,"Contested- Non Trial Based")</f>
        <v>0</v>
      </c>
      <c r="AK47" s="17">
        <f t="shared" si="6"/>
        <v>59</v>
      </c>
    </row>
    <row r="48" spans="1:38" ht="17.45" customHeight="1">
      <c r="A48" s="42" t="s">
        <v>84</v>
      </c>
      <c r="B48" s="43" t="s">
        <v>85</v>
      </c>
      <c r="C48" s="43" t="s">
        <v>1760</v>
      </c>
      <c r="D48" s="71">
        <f>COUNTIFS(Database!F:F,C48,Database!P:P,"Last Month Pendency")</f>
        <v>0</v>
      </c>
      <c r="E48" s="71">
        <f>COUNTIFS(Database!F:F,C48,Database!P:P,"Fresh Month Institution")</f>
        <v>0</v>
      </c>
      <c r="F48" s="89">
        <f>COUNTIFS(Database!F:F,C48,Database!P:P,"Other Institution")</f>
        <v>0</v>
      </c>
      <c r="G48" s="89">
        <f>COUNTIFS(Database!F:F,C48,Database!P:P,"Transfer In")</f>
        <v>0</v>
      </c>
      <c r="H48" s="162">
        <f>COUNTIFS(Database!F:F,C48,Database!M:M,"Transfer Out")</f>
        <v>0</v>
      </c>
      <c r="I48" s="51">
        <f t="shared" si="14"/>
        <v>0</v>
      </c>
      <c r="J48" s="54">
        <f t="shared" si="15"/>
        <v>0</v>
      </c>
      <c r="K48" s="186">
        <f>COUNTIFS(Database!F:F,C48,Database!M:M,"In Default")</f>
        <v>0</v>
      </c>
      <c r="L48" s="434">
        <f>COUNTIFS(Database!F:F,C48,Database!M:M,"Uncontested")</f>
        <v>0</v>
      </c>
      <c r="M48" s="434"/>
      <c r="N48" s="51">
        <f t="shared" si="16"/>
        <v>0</v>
      </c>
      <c r="O48" s="71">
        <f>COUNTIFS(Database!F:F,C48,Database!L:L,"Disposed",Database!G:G,"&lt;01-09-2020")</f>
        <v>0</v>
      </c>
      <c r="P48" s="89">
        <f>COUNTIFS(Database!F:F,C48,Database!L:L,"Disposed",Database!G:G,"&gt;31-08-2020")</f>
        <v>0</v>
      </c>
      <c r="Q48" s="51">
        <f t="shared" si="17"/>
        <v>0</v>
      </c>
      <c r="R48" s="71">
        <f t="shared" si="18"/>
        <v>0</v>
      </c>
      <c r="S48" s="105">
        <f>COUNTIFS(Database!F:F,C48,Database!T:T,"Pending",Database!G:G,"&lt;01-09-2020")</f>
        <v>0</v>
      </c>
      <c r="T48" s="105">
        <f>COUNTIFS(Database!F:F,TRIM(C48),Database!T:T,"Pending",Database!G:G,"&gt;31-08-2020")</f>
        <v>0</v>
      </c>
      <c r="U48" s="51">
        <f t="shared" si="19"/>
        <v>0</v>
      </c>
      <c r="V48" s="47"/>
      <c r="W48" s="47"/>
      <c r="X48" s="47"/>
      <c r="Y48" s="47"/>
      <c r="Z48" s="47"/>
      <c r="AA48" s="47"/>
      <c r="AB48" s="47"/>
      <c r="AC48" s="47"/>
      <c r="AD48" s="47"/>
      <c r="AF48" s="93">
        <f>COUNTIFS(Database!F:F,C48,Database!M:M,"Contested- Trial Based")</f>
        <v>0</v>
      </c>
      <c r="AG48" s="93">
        <f>COUNTIFS(Database!F:F,C48,Database!M:M,"Contested- Non Trial Based")</f>
        <v>0</v>
      </c>
      <c r="AK48" s="17">
        <f t="shared" si="6"/>
        <v>0</v>
      </c>
    </row>
    <row r="49" spans="1:37" ht="42.6" customHeight="1">
      <c r="A49" s="42" t="s">
        <v>86</v>
      </c>
      <c r="B49" s="43" t="s">
        <v>87</v>
      </c>
      <c r="C49" s="43" t="s">
        <v>1761</v>
      </c>
      <c r="D49" s="71">
        <f>COUNTIFS(Database!F:F,C49,Database!P:P,"Last Month Pendency")</f>
        <v>0</v>
      </c>
      <c r="E49" s="71">
        <f>COUNTIFS(Database!F:F,C49,Database!P:P,"Fresh Month Institution")</f>
        <v>0</v>
      </c>
      <c r="F49" s="89">
        <f>COUNTIFS(Database!F:F,C49,Database!P:P,"Other Institution")</f>
        <v>0</v>
      </c>
      <c r="G49" s="89">
        <f>COUNTIFS(Database!F:F,C49,Database!P:P,"Transfer In")</f>
        <v>0</v>
      </c>
      <c r="H49" s="162">
        <f>COUNTIFS(Database!F:F,C49,Database!M:M,"Transfer Out")</f>
        <v>0</v>
      </c>
      <c r="I49" s="51">
        <f t="shared" si="14"/>
        <v>0</v>
      </c>
      <c r="J49" s="54">
        <f t="shared" si="15"/>
        <v>0</v>
      </c>
      <c r="K49" s="186">
        <f>COUNTIFS(Database!F:F,C49,Database!M:M,"In Default")</f>
        <v>0</v>
      </c>
      <c r="L49" s="434">
        <f>COUNTIFS(Database!F:F,C49,Database!M:M,"Uncontested")</f>
        <v>0</v>
      </c>
      <c r="M49" s="434"/>
      <c r="N49" s="51">
        <f t="shared" si="16"/>
        <v>0</v>
      </c>
      <c r="O49" s="71">
        <f>COUNTIFS(Database!F:F,C49,Database!L:L,"Disposed",Database!G:G,"&lt;01-09-2020")</f>
        <v>0</v>
      </c>
      <c r="P49" s="89">
        <f>COUNTIFS(Database!F:F,C49,Database!L:L,"Disposed",Database!G:G,"&gt;31-08-2020")</f>
        <v>0</v>
      </c>
      <c r="Q49" s="51">
        <f t="shared" si="17"/>
        <v>0</v>
      </c>
      <c r="R49" s="71">
        <f t="shared" si="18"/>
        <v>0</v>
      </c>
      <c r="S49" s="105">
        <f>COUNTIFS(Database!F:F,C49,Database!T:T,"Pending",Database!G:G,"&lt;01-09-2020")</f>
        <v>0</v>
      </c>
      <c r="T49" s="105">
        <f>COUNTIFS(Database!F:F,TRIM(C49),Database!T:T,"Pending",Database!G:G,"&gt;31-08-2020")</f>
        <v>0</v>
      </c>
      <c r="U49" s="51">
        <f t="shared" si="19"/>
        <v>0</v>
      </c>
      <c r="V49" s="47"/>
      <c r="W49" s="47"/>
      <c r="X49" s="47"/>
      <c r="Y49" s="47"/>
      <c r="Z49" s="47"/>
      <c r="AA49" s="47"/>
      <c r="AB49" s="47"/>
      <c r="AC49" s="47"/>
      <c r="AD49" s="47"/>
      <c r="AF49" s="93">
        <f>COUNTIFS(Database!F:F,C49,Database!M:M,"Contested- Trial Based")</f>
        <v>0</v>
      </c>
      <c r="AG49" s="93">
        <f>COUNTIFS(Database!F:F,C49,Database!M:M,"Contested- Non Trial Based")</f>
        <v>0</v>
      </c>
      <c r="AK49" s="17">
        <f t="shared" si="6"/>
        <v>0</v>
      </c>
    </row>
    <row r="50" spans="1:37" ht="17.45" customHeight="1">
      <c r="A50" s="42" t="s">
        <v>88</v>
      </c>
      <c r="B50" s="43" t="s">
        <v>89</v>
      </c>
      <c r="C50" s="43" t="s">
        <v>1762</v>
      </c>
      <c r="D50" s="71">
        <f>COUNTIFS(Database!F:F,C50,Database!P:P,"Last Month Pendency")</f>
        <v>0</v>
      </c>
      <c r="E50" s="71">
        <f>COUNTIFS(Database!F:F,C50,Database!P:P,"Fresh Month Institution")</f>
        <v>0</v>
      </c>
      <c r="F50" s="89">
        <f>COUNTIFS(Database!F:F,C50,Database!P:P,"Other Institution")</f>
        <v>0</v>
      </c>
      <c r="G50" s="89">
        <f>COUNTIFS(Database!F:F,C50,Database!P:P,"Transfer In")</f>
        <v>0</v>
      </c>
      <c r="H50" s="162">
        <f>COUNTIFS(Database!F:F,C50,Database!M:M,"Transfer Out")</f>
        <v>0</v>
      </c>
      <c r="I50" s="51">
        <f t="shared" si="14"/>
        <v>0</v>
      </c>
      <c r="J50" s="54">
        <f t="shared" si="15"/>
        <v>0</v>
      </c>
      <c r="K50" s="186">
        <f>COUNTIFS(Database!F:F,C50,Database!M:M,"In Default")</f>
        <v>0</v>
      </c>
      <c r="L50" s="434">
        <f>COUNTIFS(Database!F:F,C50,Database!M:M,"Uncontested")</f>
        <v>0</v>
      </c>
      <c r="M50" s="434"/>
      <c r="N50" s="51">
        <f t="shared" si="16"/>
        <v>0</v>
      </c>
      <c r="O50" s="71">
        <f>COUNTIFS(Database!F:F,C50,Database!L:L,"Disposed",Database!G:G,"&lt;01-09-2020")</f>
        <v>0</v>
      </c>
      <c r="P50" s="89">
        <f>COUNTIFS(Database!F:F,C50,Database!L:L,"Disposed",Database!G:G,"&gt;31-08-2020")</f>
        <v>0</v>
      </c>
      <c r="Q50" s="51">
        <f t="shared" si="17"/>
        <v>0</v>
      </c>
      <c r="R50" s="71">
        <f t="shared" si="18"/>
        <v>0</v>
      </c>
      <c r="S50" s="105">
        <f>COUNTIFS(Database!F:F,C50,Database!T:T,"Pending",Database!G:G,"&lt;01-09-2020")</f>
        <v>0</v>
      </c>
      <c r="T50" s="105">
        <f>COUNTIFS(Database!F:F,TRIM(C50),Database!T:T,"Pending",Database!G:G,"&gt;31-08-2020")</f>
        <v>0</v>
      </c>
      <c r="U50" s="51">
        <f t="shared" si="19"/>
        <v>0</v>
      </c>
      <c r="V50" s="47"/>
      <c r="W50" s="47"/>
      <c r="X50" s="47"/>
      <c r="Y50" s="47"/>
      <c r="Z50" s="47"/>
      <c r="AA50" s="47"/>
      <c r="AB50" s="47"/>
      <c r="AC50" s="47"/>
      <c r="AD50" s="47"/>
      <c r="AF50" s="93">
        <f>COUNTIFS(Database!F:F,C50,Database!M:M,"Contested- Trial Based")</f>
        <v>0</v>
      </c>
      <c r="AG50" s="93">
        <f>COUNTIFS(Database!F:F,C50,Database!M:M,"Contested- Non Trial Based")</f>
        <v>0</v>
      </c>
      <c r="AK50" s="17">
        <f t="shared" si="6"/>
        <v>0</v>
      </c>
    </row>
    <row r="51" spans="1:37" ht="17.45" customHeight="1">
      <c r="A51" s="42" t="s">
        <v>90</v>
      </c>
      <c r="B51" s="43" t="s">
        <v>91</v>
      </c>
      <c r="C51" s="43" t="s">
        <v>1734</v>
      </c>
      <c r="D51" s="71">
        <f>COUNTIFS(Database!F:F,C51,Database!P:P,"Last Month Pendency")</f>
        <v>0</v>
      </c>
      <c r="E51" s="71">
        <f>COUNTIFS(Database!F:F,C51,Database!P:P,"Fresh Month Institution")</f>
        <v>0</v>
      </c>
      <c r="F51" s="89">
        <f>COUNTIFS(Database!F:F,C51,Database!P:P,"Other Institution")</f>
        <v>0</v>
      </c>
      <c r="G51" s="89">
        <f>COUNTIFS(Database!F:F,C51,Database!P:P,"Transfer In")</f>
        <v>0</v>
      </c>
      <c r="H51" s="162">
        <f>COUNTIFS(Database!F:F,C51,Database!M:M,"Transfer Out")</f>
        <v>0</v>
      </c>
      <c r="I51" s="51">
        <f t="shared" si="14"/>
        <v>0</v>
      </c>
      <c r="J51" s="54">
        <f t="shared" si="15"/>
        <v>0</v>
      </c>
      <c r="K51" s="186">
        <f>COUNTIFS(Database!F:F,C51,Database!M:M,"In Default")</f>
        <v>0</v>
      </c>
      <c r="L51" s="434">
        <f>COUNTIFS(Database!F:F,C51,Database!M:M,"Uncontested")</f>
        <v>0</v>
      </c>
      <c r="M51" s="434"/>
      <c r="N51" s="51">
        <f t="shared" si="16"/>
        <v>0</v>
      </c>
      <c r="O51" s="71">
        <f>COUNTIFS(Database!F:F,C51,Database!L:L,"Disposed",Database!G:G,"&lt;01-09-2020")</f>
        <v>0</v>
      </c>
      <c r="P51" s="89">
        <f>COUNTIFS(Database!F:F,C51,Database!L:L,"Disposed",Database!G:G,"&gt;31-08-2020")</f>
        <v>0</v>
      </c>
      <c r="Q51" s="51">
        <f t="shared" si="17"/>
        <v>0</v>
      </c>
      <c r="R51" s="71">
        <f t="shared" si="18"/>
        <v>0</v>
      </c>
      <c r="S51" s="105">
        <f>COUNTIFS(Database!F:F,C51,Database!T:T,"Pending",Database!G:G,"&lt;01-09-2020")</f>
        <v>0</v>
      </c>
      <c r="T51" s="105">
        <f>COUNTIFS(Database!F:F,TRIM(C51),Database!T:T,"Pending",Database!G:G,"&gt;31-08-2020")</f>
        <v>0</v>
      </c>
      <c r="U51" s="51">
        <f t="shared" si="19"/>
        <v>0</v>
      </c>
      <c r="V51" s="47"/>
      <c r="W51" s="47"/>
      <c r="X51" s="47"/>
      <c r="Y51" s="47"/>
      <c r="Z51" s="47"/>
      <c r="AA51" s="47"/>
      <c r="AB51" s="47"/>
      <c r="AC51" s="47"/>
      <c r="AD51" s="47"/>
      <c r="AF51" s="93">
        <f>COUNTIFS(Database!F:F,C51,Database!M:M,"Contested- Trial Based")</f>
        <v>0</v>
      </c>
      <c r="AG51" s="93">
        <f>COUNTIFS(Database!F:F,C51,Database!M:M,"Contested- Non Trial Based")</f>
        <v>0</v>
      </c>
      <c r="AK51" s="17">
        <f t="shared" si="6"/>
        <v>0</v>
      </c>
    </row>
    <row r="52" spans="1:37" ht="51" customHeight="1">
      <c r="A52" s="42" t="s">
        <v>92</v>
      </c>
      <c r="B52" s="43" t="s">
        <v>1763</v>
      </c>
      <c r="C52" s="189" t="s">
        <v>1764</v>
      </c>
      <c r="D52" s="71">
        <f>COUNTIFS(Database!F:F,C52,Database!P:P,"Last Month Pendency")</f>
        <v>0</v>
      </c>
      <c r="E52" s="71">
        <f>COUNTIFS(Database!F:F,C52,Database!P:P,"Fresh Month Institution")</f>
        <v>0</v>
      </c>
      <c r="F52" s="89">
        <f>COUNTIFS(Database!F:F,C52,Database!P:P,"Other Institution")</f>
        <v>0</v>
      </c>
      <c r="G52" s="89">
        <f>COUNTIFS(Database!F:F,C52,Database!P:P,"Transfer In")</f>
        <v>0</v>
      </c>
      <c r="H52" s="162">
        <f>COUNTIFS(Database!F:F,C52,Database!M:M,"Transfer Out")</f>
        <v>0</v>
      </c>
      <c r="I52" s="51">
        <f t="shared" si="14"/>
        <v>0</v>
      </c>
      <c r="J52" s="54">
        <f t="shared" si="15"/>
        <v>0</v>
      </c>
      <c r="K52" s="186">
        <f>COUNTIFS(Database!F:F,C52,Database!M:M,"In Default")</f>
        <v>0</v>
      </c>
      <c r="L52" s="434">
        <f>COUNTIFS(Database!F:F,C52,Database!M:M,"Uncontested")</f>
        <v>0</v>
      </c>
      <c r="M52" s="434"/>
      <c r="N52" s="51">
        <f t="shared" si="16"/>
        <v>0</v>
      </c>
      <c r="O52" s="71">
        <f>COUNTIFS(Database!F:F,C52,Database!L:L,"Disposed",Database!G:G,"&lt;01-09-2020")</f>
        <v>0</v>
      </c>
      <c r="P52" s="89">
        <f>COUNTIFS(Database!F:F,C52,Database!L:L,"Disposed",Database!G:G,"&gt;31-08-2020")</f>
        <v>0</v>
      </c>
      <c r="Q52" s="51">
        <f t="shared" si="17"/>
        <v>0</v>
      </c>
      <c r="R52" s="71">
        <f t="shared" si="18"/>
        <v>0</v>
      </c>
      <c r="S52" s="105">
        <f>COUNTIFS(Database!F:F,C52,Database!T:T,"Pending",Database!G:G,"&lt;01-09-2020")</f>
        <v>0</v>
      </c>
      <c r="T52" s="105">
        <f>COUNTIFS(Database!F:F,TRIM(C52),Database!T:T,"Pending",Database!G:G,"&gt;31-08-2020")</f>
        <v>0</v>
      </c>
      <c r="U52" s="51">
        <f t="shared" si="19"/>
        <v>0</v>
      </c>
      <c r="V52" s="47"/>
      <c r="W52" s="47"/>
      <c r="X52" s="47"/>
      <c r="Y52" s="47"/>
      <c r="Z52" s="47"/>
      <c r="AA52" s="47"/>
      <c r="AB52" s="47"/>
      <c r="AC52" s="47"/>
      <c r="AD52" s="47"/>
      <c r="AF52" s="93">
        <f>COUNTIFS(Database!F:F,C52,Database!M:M,"Contested- Trial Based")</f>
        <v>0</v>
      </c>
      <c r="AG52" s="93">
        <f>COUNTIFS(Database!F:F,C52,Database!M:M,"Contested- Non Trial Based")</f>
        <v>0</v>
      </c>
      <c r="AK52" s="17">
        <f t="shared" si="6"/>
        <v>0</v>
      </c>
    </row>
    <row r="53" spans="1:37" ht="17.45" customHeight="1">
      <c r="A53" s="42" t="s">
        <v>93</v>
      </c>
      <c r="B53" s="43" t="s">
        <v>94</v>
      </c>
      <c r="C53" s="189" t="s">
        <v>1765</v>
      </c>
      <c r="D53" s="71">
        <f>COUNTIFS(Database!F:F,C53,Database!P:P,"Last Month Pendency")</f>
        <v>61</v>
      </c>
      <c r="E53" s="71">
        <f>COUNTIFS(Database!F:F,C53,Database!P:P,"Fresh Month Institution")</f>
        <v>2</v>
      </c>
      <c r="F53" s="89">
        <f>COUNTIFS(Database!F:F,C53,Database!P:P,"Other Institution")</f>
        <v>9</v>
      </c>
      <c r="G53" s="89">
        <f>COUNTIFS(Database!F:F,C53,Database!P:P,"Transfer In")</f>
        <v>0</v>
      </c>
      <c r="H53" s="162">
        <f>COUNTIFS(Database!F:F,C53,Database!M:M,"Transfer Out")</f>
        <v>0</v>
      </c>
      <c r="I53" s="51">
        <f t="shared" si="14"/>
        <v>72</v>
      </c>
      <c r="J53" s="54">
        <f t="shared" si="15"/>
        <v>0</v>
      </c>
      <c r="K53" s="186">
        <f>COUNTIFS(Database!F:F,C53,Database!M:M,"In Default")</f>
        <v>0</v>
      </c>
      <c r="L53" s="434">
        <f>COUNTIFS(Database!F:F,C53,Database!M:M,"Uncontested")</f>
        <v>16</v>
      </c>
      <c r="M53" s="434"/>
      <c r="N53" s="51">
        <f t="shared" si="16"/>
        <v>16</v>
      </c>
      <c r="O53" s="71">
        <f>COUNTIFS(Database!F:F,C53,Database!L:L,"Disposed",Database!G:G,"&lt;01-09-2020")</f>
        <v>0</v>
      </c>
      <c r="P53" s="89">
        <f>COUNTIFS(Database!F:F,C53,Database!L:L,"Disposed",Database!G:G,"&gt;31-08-2020")</f>
        <v>16</v>
      </c>
      <c r="Q53" s="51">
        <f t="shared" si="17"/>
        <v>16</v>
      </c>
      <c r="R53" s="71">
        <f t="shared" si="18"/>
        <v>0</v>
      </c>
      <c r="S53" s="105">
        <f>COUNTIFS(Database!F:F,C53,Database!T:T,"Pending",Database!G:G,"&lt;01-09-2020")</f>
        <v>5</v>
      </c>
      <c r="T53" s="105">
        <f>COUNTIFS(Database!F:F,TRIM(C53),Database!T:T,"Pending",Database!G:G,"&gt;31-08-2020")</f>
        <v>51</v>
      </c>
      <c r="U53" s="51">
        <f t="shared" si="19"/>
        <v>56</v>
      </c>
      <c r="V53" s="47"/>
      <c r="W53" s="47"/>
      <c r="X53" s="47"/>
      <c r="Y53" s="47"/>
      <c r="Z53" s="47"/>
      <c r="AA53" s="47"/>
      <c r="AB53" s="47"/>
      <c r="AC53" s="47"/>
      <c r="AD53" s="47"/>
      <c r="AF53" s="93">
        <f>COUNTIFS(Database!F:F,C53,Database!M:M,"Contested- Trial Based")</f>
        <v>0</v>
      </c>
      <c r="AG53" s="93">
        <f>COUNTIFS(Database!F:F,C53,Database!M:M,"Contested- Non Trial Based")</f>
        <v>0</v>
      </c>
      <c r="AK53" s="17">
        <f t="shared" si="6"/>
        <v>61</v>
      </c>
    </row>
    <row r="54" spans="1:37" ht="17.45" customHeight="1">
      <c r="A54" s="42" t="s">
        <v>95</v>
      </c>
      <c r="B54" s="43" t="s">
        <v>31</v>
      </c>
      <c r="C54" s="43" t="s">
        <v>1766</v>
      </c>
      <c r="D54" s="71">
        <f>COUNTIFS(Database!F:F,C54,Database!P:P,"Last Month Pendency")</f>
        <v>0</v>
      </c>
      <c r="E54" s="71">
        <f>COUNTIFS(Database!F:F,C54,Database!P:P,"Fresh Month Institution")</f>
        <v>0</v>
      </c>
      <c r="F54" s="89">
        <f>COUNTIFS(Database!F:F,C54,Database!P:P,"Other Institution")</f>
        <v>0</v>
      </c>
      <c r="G54" s="89">
        <f>COUNTIFS(Database!F:F,C54,Database!P:P,"Transfer In")</f>
        <v>0</v>
      </c>
      <c r="H54" s="162">
        <f>COUNTIFS(Database!F:F,C54,Database!M:M,"Transfer Out")</f>
        <v>0</v>
      </c>
      <c r="I54" s="51">
        <f t="shared" si="14"/>
        <v>0</v>
      </c>
      <c r="J54" s="54">
        <f t="shared" si="15"/>
        <v>0</v>
      </c>
      <c r="K54" s="186">
        <f>COUNTIFS(Database!F:F,C54,Database!M:M,"In Default")</f>
        <v>0</v>
      </c>
      <c r="L54" s="434">
        <f>COUNTIFS(Database!F:F,C54,Database!M:M,"Uncontested")</f>
        <v>0</v>
      </c>
      <c r="M54" s="434"/>
      <c r="N54" s="51">
        <f t="shared" si="16"/>
        <v>0</v>
      </c>
      <c r="O54" s="71">
        <f>COUNTIFS(Database!F:F,C54,Database!L:L,"Disposed",Database!G:G,"&lt;01-09-2020")</f>
        <v>0</v>
      </c>
      <c r="P54" s="89">
        <f>COUNTIFS(Database!F:F,C54,Database!L:L,"Disposed",Database!G:G,"&gt;31-08-2020")</f>
        <v>0</v>
      </c>
      <c r="Q54" s="51">
        <f t="shared" si="17"/>
        <v>0</v>
      </c>
      <c r="R54" s="71">
        <f t="shared" si="18"/>
        <v>0</v>
      </c>
      <c r="S54" s="105">
        <f>COUNTIFS(Database!F:F,C54,Database!T:T,"Pending",Database!G:G,"&lt;01-09-2020")</f>
        <v>0</v>
      </c>
      <c r="T54" s="105">
        <f>COUNTIFS(Database!F:F,TRIM(C54),Database!T:T,"Pending",Database!G:G,"&gt;31-08-2020")</f>
        <v>0</v>
      </c>
      <c r="U54" s="51">
        <f t="shared" si="19"/>
        <v>0</v>
      </c>
      <c r="V54" s="47"/>
      <c r="W54" s="47"/>
      <c r="X54" s="47"/>
      <c r="Y54" s="47"/>
      <c r="Z54" s="47"/>
      <c r="AA54" s="47"/>
      <c r="AB54" s="47"/>
      <c r="AC54" s="47"/>
      <c r="AD54" s="47"/>
      <c r="AF54" s="93">
        <f>COUNTIFS(Database!F:F,C54,Database!M:M,"Contested- Trial Based")</f>
        <v>0</v>
      </c>
      <c r="AG54" s="93">
        <f>COUNTIFS(Database!F:F,C54,Database!M:M,"Contested- Non Trial Based")</f>
        <v>0</v>
      </c>
      <c r="AK54" s="17">
        <f t="shared" si="6"/>
        <v>0</v>
      </c>
    </row>
    <row r="55" spans="1:37" ht="17.45" customHeight="1">
      <c r="A55" s="42" t="s">
        <v>96</v>
      </c>
      <c r="B55" s="43" t="s">
        <v>98</v>
      </c>
      <c r="C55" s="43" t="s">
        <v>1767</v>
      </c>
      <c r="D55" s="71">
        <f>COUNTIFS(Database!F:F,C55,Database!P:P,"Last Month Pendency")</f>
        <v>11</v>
      </c>
      <c r="E55" s="71">
        <f>COUNTIFS(Database!F:F,C55,Database!P:P,"Fresh Month Institution")</f>
        <v>21</v>
      </c>
      <c r="F55" s="89">
        <f>COUNTIFS(Database!F:F,C55,Database!P:P,"Other Institution")</f>
        <v>0</v>
      </c>
      <c r="G55" s="89">
        <f>COUNTIFS(Database!F:F,C55,Database!P:P,"Transfer In")</f>
        <v>0</v>
      </c>
      <c r="H55" s="162">
        <f>COUNTIFS(Database!F:F,C55,Database!M:M,"Transfer Out")</f>
        <v>0</v>
      </c>
      <c r="I55" s="51">
        <f t="shared" si="14"/>
        <v>32</v>
      </c>
      <c r="J55" s="54">
        <f t="shared" si="15"/>
        <v>1</v>
      </c>
      <c r="K55" s="186">
        <f>COUNTIFS(Database!F:F,C55,Database!M:M,"In Default")</f>
        <v>0</v>
      </c>
      <c r="L55" s="434">
        <f>COUNTIFS(Database!F:F,C55,Database!M:M,"Uncontested")</f>
        <v>22</v>
      </c>
      <c r="M55" s="434"/>
      <c r="N55" s="51">
        <f t="shared" si="16"/>
        <v>23</v>
      </c>
      <c r="O55" s="71">
        <f>COUNTIFS(Database!F:F,C55,Database!L:L,"Disposed",Database!G:G,"&lt;01-09-2020")</f>
        <v>0</v>
      </c>
      <c r="P55" s="89">
        <f>COUNTIFS(Database!F:F,C55,Database!L:L,"Disposed",Database!G:G,"&gt;31-08-2020")</f>
        <v>23</v>
      </c>
      <c r="Q55" s="51">
        <f t="shared" si="17"/>
        <v>23</v>
      </c>
      <c r="R55" s="71">
        <f t="shared" si="18"/>
        <v>0</v>
      </c>
      <c r="S55" s="105">
        <f>COUNTIFS(Database!F:F,C55,Database!T:T,"Pending",Database!G:G,"&lt;01-09-2020")</f>
        <v>0</v>
      </c>
      <c r="T55" s="105">
        <f>COUNTIFS(Database!F:F,TRIM(C55),Database!T:T,"Pending",Database!G:G,"&gt;31-08-2020")</f>
        <v>9</v>
      </c>
      <c r="U55" s="51">
        <f t="shared" si="19"/>
        <v>9</v>
      </c>
      <c r="V55" s="47"/>
      <c r="W55" s="47"/>
      <c r="X55" s="47"/>
      <c r="Y55" s="47"/>
      <c r="Z55" s="47"/>
      <c r="AA55" s="47"/>
      <c r="AB55" s="47"/>
      <c r="AC55" s="47"/>
      <c r="AD55" s="47"/>
      <c r="AF55" s="93">
        <f>COUNTIFS(Database!F:F,C55,Database!M:M,"Contested- Trial Based")</f>
        <v>0</v>
      </c>
      <c r="AG55" s="93">
        <f>COUNTIFS(Database!F:F,C55,Database!M:M,"Contested- Non Trial Based")</f>
        <v>1</v>
      </c>
      <c r="AK55" s="17">
        <f t="shared" si="6"/>
        <v>11</v>
      </c>
    </row>
    <row r="56" spans="1:37" ht="17.45" customHeight="1">
      <c r="A56" s="42" t="s">
        <v>97</v>
      </c>
      <c r="B56" s="43" t="s">
        <v>1550</v>
      </c>
      <c r="C56" s="43" t="s">
        <v>1745</v>
      </c>
      <c r="D56" s="71">
        <f>COUNTIFS(Database!F:F,C56,Database!P:P,"Last Month Pendency")</f>
        <v>26</v>
      </c>
      <c r="E56" s="71">
        <f>COUNTIFS(Database!F:F,C56,Database!P:P,"Fresh Month Institution")</f>
        <v>4</v>
      </c>
      <c r="F56" s="89">
        <f>COUNTIFS(Database!F:F,C56,Database!P:P,"Other Institution")</f>
        <v>0</v>
      </c>
      <c r="G56" s="89">
        <f>COUNTIFS(Database!F:F,C56,Database!P:P,"Transfer In")</f>
        <v>0</v>
      </c>
      <c r="H56" s="162">
        <f>COUNTIFS(Database!F:F,C56,Database!M:M,"Transfer Out")</f>
        <v>0</v>
      </c>
      <c r="I56" s="51">
        <f t="shared" si="14"/>
        <v>30</v>
      </c>
      <c r="J56" s="54">
        <f t="shared" si="15"/>
        <v>2</v>
      </c>
      <c r="K56" s="186">
        <f>COUNTIFS(Database!F:F,C56,Database!M:M,"In Default")</f>
        <v>0</v>
      </c>
      <c r="L56" s="434">
        <f>COUNTIFS(Database!F:F,C56,Database!M:M,"Uncontested")</f>
        <v>4</v>
      </c>
      <c r="M56" s="434"/>
      <c r="N56" s="51">
        <f t="shared" si="16"/>
        <v>6</v>
      </c>
      <c r="O56" s="71">
        <f>COUNTIFS(Database!F:F,C56,Database!L:L,"Disposed",Database!G:G,"&lt;01-09-2020")</f>
        <v>0</v>
      </c>
      <c r="P56" s="89">
        <f>COUNTIFS(Database!F:F,C56,Database!L:L,"Disposed",Database!G:G,"&gt;31-08-2020")</f>
        <v>6</v>
      </c>
      <c r="Q56" s="51">
        <f t="shared" si="17"/>
        <v>6</v>
      </c>
      <c r="R56" s="71">
        <f t="shared" si="18"/>
        <v>0</v>
      </c>
      <c r="S56" s="105">
        <f>COUNTIFS(Database!F:F,C56,Database!T:T,"Pending",Database!G:G,"&lt;01-09-2020")</f>
        <v>0</v>
      </c>
      <c r="T56" s="105">
        <f>COUNTIFS(Database!F:F,TRIM(C56),Database!T:T,"Pending",Database!G:G,"&gt;31-08-2020")</f>
        <v>24</v>
      </c>
      <c r="U56" s="51">
        <f t="shared" si="19"/>
        <v>24</v>
      </c>
      <c r="V56" s="47"/>
      <c r="W56" s="47"/>
      <c r="X56" s="47"/>
      <c r="Y56" s="47"/>
      <c r="Z56" s="47"/>
      <c r="AA56" s="47"/>
      <c r="AB56" s="47"/>
      <c r="AC56" s="47"/>
      <c r="AD56" s="47"/>
      <c r="AF56" s="93">
        <f>COUNTIFS(Database!F:F,C56,Database!M:M,"Contested- Trial Based")</f>
        <v>0</v>
      </c>
      <c r="AG56" s="93">
        <f>COUNTIFS(Database!F:F,C56,Database!M:M,"Contested- Non Trial Based")</f>
        <v>2</v>
      </c>
      <c r="AK56" s="17">
        <f t="shared" si="6"/>
        <v>26</v>
      </c>
    </row>
    <row r="57" spans="1:37" ht="48.6" customHeight="1">
      <c r="A57" s="42" t="s">
        <v>99</v>
      </c>
      <c r="B57" s="43" t="s">
        <v>100</v>
      </c>
      <c r="C57" s="43" t="s">
        <v>1768</v>
      </c>
      <c r="D57" s="71">
        <f>COUNTIFS(Database!F:F,C57,Database!P:P,"Last Month Pendency")</f>
        <v>2</v>
      </c>
      <c r="E57" s="71">
        <f>COUNTIFS(Database!F:F,C57,Database!P:P,"Fresh Month Institution")</f>
        <v>0</v>
      </c>
      <c r="F57" s="89">
        <f>COUNTIFS(Database!F:F,C57,Database!P:P,"Other Institution")</f>
        <v>0</v>
      </c>
      <c r="G57" s="89">
        <f>COUNTIFS(Database!F:F,C57,Database!P:P,"Transfer In")</f>
        <v>0</v>
      </c>
      <c r="H57" s="162">
        <f>COUNTIFS(Database!F:F,C57,Database!M:M,"Transfer Out")</f>
        <v>0</v>
      </c>
      <c r="I57" s="51">
        <f t="shared" si="14"/>
        <v>2</v>
      </c>
      <c r="J57" s="54">
        <f t="shared" si="15"/>
        <v>0</v>
      </c>
      <c r="K57" s="186">
        <f>COUNTIFS(Database!F:F,C57,Database!M:M,"In Default")</f>
        <v>0</v>
      </c>
      <c r="L57" s="434">
        <f>COUNTIFS(Database!F:F,C57,Database!M:M,"Uncontested")</f>
        <v>0</v>
      </c>
      <c r="M57" s="434"/>
      <c r="N57" s="51">
        <f t="shared" si="16"/>
        <v>0</v>
      </c>
      <c r="O57" s="71">
        <f>COUNTIFS(Database!F:F,C57,Database!L:L,"Disposed",Database!G:G,"&lt;01-09-2020")</f>
        <v>0</v>
      </c>
      <c r="P57" s="89">
        <f>COUNTIFS(Database!F:F,C57,Database!L:L,"Disposed",Database!G:G,"&gt;31-08-2020")</f>
        <v>0</v>
      </c>
      <c r="Q57" s="51">
        <f t="shared" si="17"/>
        <v>0</v>
      </c>
      <c r="R57" s="71">
        <f t="shared" si="18"/>
        <v>0</v>
      </c>
      <c r="S57" s="105">
        <f>COUNTIFS(Database!F:F,C57,Database!T:T,"Pending",Database!G:G,"&lt;01-09-2020")</f>
        <v>0</v>
      </c>
      <c r="T57" s="105">
        <f>COUNTIFS(Database!F:F,TRIM(C57),Database!T:T,"Pending",Database!G:G,"&gt;31-08-2020")</f>
        <v>2</v>
      </c>
      <c r="U57" s="51">
        <f t="shared" si="19"/>
        <v>2</v>
      </c>
      <c r="V57" s="47"/>
      <c r="W57" s="47"/>
      <c r="X57" s="47"/>
      <c r="Y57" s="47"/>
      <c r="Z57" s="47"/>
      <c r="AA57" s="47"/>
      <c r="AB57" s="47"/>
      <c r="AC57" s="47"/>
      <c r="AD57" s="47"/>
      <c r="AF57" s="93">
        <f>COUNTIFS(Database!F:F,C57,Database!M:M,"Contested- Trial Based")</f>
        <v>0</v>
      </c>
      <c r="AG57" s="93">
        <f>COUNTIFS(Database!F:F,C57,Database!M:M,"Contested- Non Trial Based")</f>
        <v>0</v>
      </c>
      <c r="AK57" s="17">
        <f t="shared" si="6"/>
        <v>2</v>
      </c>
    </row>
    <row r="58" spans="1:37" ht="17.45" customHeight="1">
      <c r="A58" s="42" t="s">
        <v>101</v>
      </c>
      <c r="B58" s="43" t="s">
        <v>102</v>
      </c>
      <c r="C58" s="43" t="s">
        <v>1769</v>
      </c>
      <c r="D58" s="71">
        <f>COUNTIFS(Database!F:F,C58,Database!P:P,"Last Month Pendency")</f>
        <v>0</v>
      </c>
      <c r="E58" s="71">
        <f>COUNTIFS(Database!F:F,C58,Database!P:P,"Fresh Month Institution")</f>
        <v>0</v>
      </c>
      <c r="F58" s="89">
        <f>COUNTIFS(Database!F:F,C58,Database!P:P,"Other Institution")</f>
        <v>0</v>
      </c>
      <c r="G58" s="89">
        <f>COUNTIFS(Database!F:F,C58,Database!P:P,"Transfer In")</f>
        <v>0</v>
      </c>
      <c r="H58" s="162">
        <f>COUNTIFS(Database!F:F,C58,Database!M:M,"Transfer Out")</f>
        <v>0</v>
      </c>
      <c r="I58" s="51">
        <f t="shared" si="14"/>
        <v>0</v>
      </c>
      <c r="J58" s="54">
        <f t="shared" si="15"/>
        <v>0</v>
      </c>
      <c r="K58" s="186">
        <f>COUNTIFS(Database!F:F,C58,Database!M:M,"In Default")</f>
        <v>0</v>
      </c>
      <c r="L58" s="434">
        <f>COUNTIFS(Database!F:F,C58,Database!M:M,"Uncontested")</f>
        <v>0</v>
      </c>
      <c r="M58" s="434"/>
      <c r="N58" s="51">
        <f t="shared" si="16"/>
        <v>0</v>
      </c>
      <c r="O58" s="71">
        <f>COUNTIFS(Database!F:F,C58,Database!L:L,"Disposed",Database!G:G,"&lt;01-09-2020")</f>
        <v>0</v>
      </c>
      <c r="P58" s="89">
        <f>COUNTIFS(Database!F:F,C58,Database!L:L,"Disposed",Database!G:G,"&gt;31-08-2020")</f>
        <v>0</v>
      </c>
      <c r="Q58" s="51">
        <f t="shared" si="17"/>
        <v>0</v>
      </c>
      <c r="R58" s="71">
        <f t="shared" si="18"/>
        <v>0</v>
      </c>
      <c r="S58" s="105">
        <f>COUNTIFS(Database!F:F,C58,Database!T:T,"Pending",Database!G:G,"&lt;01-09-2020")</f>
        <v>0</v>
      </c>
      <c r="T58" s="105">
        <f>COUNTIFS(Database!F:F,TRIM(C58),Database!T:T,"Pending",Database!G:G,"&gt;31-08-2020")</f>
        <v>0</v>
      </c>
      <c r="U58" s="51">
        <f t="shared" si="19"/>
        <v>0</v>
      </c>
      <c r="V58" s="47"/>
      <c r="W58" s="47"/>
      <c r="X58" s="47"/>
      <c r="Y58" s="47"/>
      <c r="Z58" s="47"/>
      <c r="AA58" s="47"/>
      <c r="AB58" s="47"/>
      <c r="AC58" s="47"/>
      <c r="AD58" s="47"/>
      <c r="AF58" s="93">
        <f>COUNTIFS(Database!F:F,C58,Database!M:M,"Contested- Trial Based")</f>
        <v>0</v>
      </c>
      <c r="AG58" s="93">
        <f>COUNTIFS(Database!F:F,C58,Database!M:M,"Contested- Non Trial Based")</f>
        <v>0</v>
      </c>
      <c r="AK58" s="17">
        <f t="shared" si="6"/>
        <v>0</v>
      </c>
    </row>
    <row r="59" spans="1:37" ht="17.45" customHeight="1">
      <c r="A59" s="42" t="s">
        <v>103</v>
      </c>
      <c r="B59" s="43" t="s">
        <v>104</v>
      </c>
      <c r="C59" s="43" t="s">
        <v>1770</v>
      </c>
      <c r="D59" s="71">
        <f>COUNTIFS(Database!F:F,C59,Database!P:P,"Last Month Pendency")</f>
        <v>1</v>
      </c>
      <c r="E59" s="71">
        <f>COUNTIFS(Database!F:F,C59,Database!P:P,"Fresh Month Institution")</f>
        <v>0</v>
      </c>
      <c r="F59" s="89">
        <f>COUNTIFS(Database!F:F,C59,Database!P:P,"Other Institution")</f>
        <v>0</v>
      </c>
      <c r="G59" s="89">
        <f>COUNTIFS(Database!F:F,C59,Database!P:P,"Transfer In")</f>
        <v>0</v>
      </c>
      <c r="H59" s="162">
        <f>COUNTIFS(Database!F:F,C59,Database!M:M,"Transfer Out")</f>
        <v>0</v>
      </c>
      <c r="I59" s="51">
        <f t="shared" si="14"/>
        <v>1</v>
      </c>
      <c r="J59" s="54">
        <f t="shared" si="15"/>
        <v>0</v>
      </c>
      <c r="K59" s="186">
        <f>COUNTIFS(Database!F:F,C59,Database!M:M,"In Default")</f>
        <v>0</v>
      </c>
      <c r="L59" s="434">
        <f>COUNTIFS(Database!F:F,C59,Database!M:M,"Uncontested")</f>
        <v>0</v>
      </c>
      <c r="M59" s="434"/>
      <c r="N59" s="51">
        <f t="shared" si="16"/>
        <v>0</v>
      </c>
      <c r="O59" s="71">
        <f>COUNTIFS(Database!F:F,C59,Database!L:L,"Disposed",Database!G:G,"&lt;01-09-2020")</f>
        <v>0</v>
      </c>
      <c r="P59" s="89">
        <f>COUNTIFS(Database!F:F,C59,Database!L:L,"Disposed",Database!G:G,"&gt;31-08-2020")</f>
        <v>0</v>
      </c>
      <c r="Q59" s="51">
        <f t="shared" si="17"/>
        <v>0</v>
      </c>
      <c r="R59" s="71">
        <f t="shared" si="18"/>
        <v>0</v>
      </c>
      <c r="S59" s="105">
        <f>COUNTIFS(Database!F:F,C59,Database!T:T,"Pending",Database!G:G,"&lt;01-09-2020")</f>
        <v>0</v>
      </c>
      <c r="T59" s="105">
        <f>COUNTIFS(Database!F:F,TRIM(C59),Database!T:T,"Pending",Database!G:G,"&gt;31-08-2020")</f>
        <v>1</v>
      </c>
      <c r="U59" s="51">
        <f t="shared" si="19"/>
        <v>1</v>
      </c>
      <c r="V59" s="47"/>
      <c r="W59" s="47"/>
      <c r="X59" s="47"/>
      <c r="Y59" s="47"/>
      <c r="Z59" s="47"/>
      <c r="AA59" s="47"/>
      <c r="AB59" s="47"/>
      <c r="AC59" s="47"/>
      <c r="AD59" s="47"/>
      <c r="AF59" s="93">
        <f>COUNTIFS(Database!F:F,C59,Database!M:M,"Contested- Trial Based")</f>
        <v>0</v>
      </c>
      <c r="AG59" s="93">
        <f>COUNTIFS(Database!F:F,C59,Database!M:M,"Contested- Non Trial Based")</f>
        <v>0</v>
      </c>
      <c r="AK59" s="17">
        <f t="shared" si="6"/>
        <v>1</v>
      </c>
    </row>
    <row r="60" spans="1:37" ht="17.45" customHeight="1">
      <c r="A60" s="42" t="s">
        <v>105</v>
      </c>
      <c r="B60" s="43" t="s">
        <v>106</v>
      </c>
      <c r="C60" s="43" t="s">
        <v>1771</v>
      </c>
      <c r="D60" s="71">
        <f>COUNTIFS(Database!F:F,C60,Database!P:P,"Last Month Pendency")</f>
        <v>117</v>
      </c>
      <c r="E60" s="71">
        <f>COUNTIFS(Database!F:F,C60,Database!P:P,"Fresh Month Institution")</f>
        <v>10</v>
      </c>
      <c r="F60" s="89">
        <f>COUNTIFS(Database!F:F,C60,Database!P:P,"Other Institution")</f>
        <v>1</v>
      </c>
      <c r="G60" s="89">
        <f>COUNTIFS(Database!F:F,C60,Database!P:P,"Transfer In")</f>
        <v>0</v>
      </c>
      <c r="H60" s="162">
        <f>COUNTIFS(Database!F:F,C60,Database!M:M,"Transfer Out")</f>
        <v>0</v>
      </c>
      <c r="I60" s="51">
        <f t="shared" si="14"/>
        <v>128</v>
      </c>
      <c r="J60" s="54">
        <f t="shared" si="15"/>
        <v>2</v>
      </c>
      <c r="K60" s="186">
        <f>COUNTIFS(Database!F:F,C60,Database!M:M,"In Default")</f>
        <v>2</v>
      </c>
      <c r="L60" s="434">
        <f>COUNTIFS(Database!F:F,C60,Database!M:M,"Uncontested")</f>
        <v>2</v>
      </c>
      <c r="M60" s="434"/>
      <c r="N60" s="51">
        <f t="shared" si="16"/>
        <v>6</v>
      </c>
      <c r="O60" s="71">
        <f>COUNTIFS(Database!F:F,C60,Database!L:L,"Disposed",Database!G:G,"&lt;01-09-2020")</f>
        <v>0</v>
      </c>
      <c r="P60" s="89">
        <f>COUNTIFS(Database!F:F,C60,Database!L:L,"Disposed",Database!G:G,"&gt;31-08-2020")</f>
        <v>6</v>
      </c>
      <c r="Q60" s="51">
        <f t="shared" si="17"/>
        <v>6</v>
      </c>
      <c r="R60" s="71">
        <f t="shared" si="18"/>
        <v>0</v>
      </c>
      <c r="S60" s="105">
        <f>COUNTIFS(Database!F:F,C60,Database!T:T,"Pending",Database!G:G,"&lt;01-09-2020")</f>
        <v>0</v>
      </c>
      <c r="T60" s="105">
        <f>COUNTIFS(Database!F:F,TRIM(C60),Database!T:T,"Pending",Database!G:G,"&gt;31-08-2020")</f>
        <v>122</v>
      </c>
      <c r="U60" s="51">
        <f t="shared" si="19"/>
        <v>122</v>
      </c>
      <c r="V60" s="47"/>
      <c r="W60" s="47"/>
      <c r="X60" s="47"/>
      <c r="Y60" s="47"/>
      <c r="Z60" s="47"/>
      <c r="AA60" s="47"/>
      <c r="AB60" s="47"/>
      <c r="AC60" s="47"/>
      <c r="AD60" s="47"/>
      <c r="AF60" s="93">
        <f>COUNTIFS(Database!F:F,C60,Database!M:M,"Contested- Trial Based")</f>
        <v>2</v>
      </c>
      <c r="AG60" s="93">
        <f>COUNTIFS(Database!F:F,C60,Database!M:M,"Contested- Non Trial Based")</f>
        <v>0</v>
      </c>
      <c r="AK60" s="17">
        <f t="shared" si="6"/>
        <v>117</v>
      </c>
    </row>
    <row r="61" spans="1:37" ht="17.45" customHeight="1">
      <c r="A61" s="42" t="s">
        <v>1748</v>
      </c>
      <c r="B61" s="43" t="s">
        <v>1772</v>
      </c>
      <c r="C61" s="43" t="s">
        <v>1773</v>
      </c>
      <c r="D61" s="71">
        <f>COUNTIFS(Database!F:F,C61,Database!P:P,"Last Month Pendency")</f>
        <v>21</v>
      </c>
      <c r="E61" s="71">
        <f>COUNTIFS(Database!F:F,C61,Database!P:P,"Fresh Month Institution")</f>
        <v>11</v>
      </c>
      <c r="F61" s="89">
        <f>COUNTIFS(Database!F:F,C61,Database!P:P,"Other Institution")</f>
        <v>1</v>
      </c>
      <c r="G61" s="89">
        <f>COUNTIFS(Database!F:F,C61,Database!P:P,"Transfer In")</f>
        <v>0</v>
      </c>
      <c r="H61" s="162">
        <f>COUNTIFS(Database!F:F,C61,Database!M:M,"Transfer Out")</f>
        <v>0</v>
      </c>
      <c r="I61" s="51">
        <f t="shared" si="14"/>
        <v>33</v>
      </c>
      <c r="J61" s="54">
        <f t="shared" si="15"/>
        <v>3</v>
      </c>
      <c r="K61" s="186">
        <f>COUNTIFS(Database!F:F,C61,Database!M:M,"In Default")</f>
        <v>0</v>
      </c>
      <c r="L61" s="434">
        <f>COUNTIFS(Database!F:F,C61,Database!M:M,"Uncontested")</f>
        <v>1</v>
      </c>
      <c r="M61" s="434"/>
      <c r="N61" s="51">
        <f t="shared" si="16"/>
        <v>4</v>
      </c>
      <c r="O61" s="71">
        <f>COUNTIFS(Database!F:F,C61,Database!L:L,"Disposed",Database!G:G,"&lt;01-09-2020")</f>
        <v>0</v>
      </c>
      <c r="P61" s="89">
        <f>COUNTIFS(Database!F:F,C61,Database!L:L,"Disposed",Database!G:G,"&gt;31-08-2020")</f>
        <v>4</v>
      </c>
      <c r="Q61" s="51">
        <f t="shared" si="17"/>
        <v>4</v>
      </c>
      <c r="R61" s="71">
        <f t="shared" si="18"/>
        <v>0</v>
      </c>
      <c r="S61" s="105">
        <f>COUNTIFS(Database!F:F,C61,Database!T:T,"Pending",Database!G:G,"&lt;01-09-2020")</f>
        <v>0</v>
      </c>
      <c r="T61" s="105">
        <f>COUNTIFS(Database!F:F,TRIM(C61),Database!T:T,"Pending",Database!G:G,"&gt;31-08-2020")</f>
        <v>29</v>
      </c>
      <c r="U61" s="51">
        <f t="shared" si="19"/>
        <v>29</v>
      </c>
      <c r="V61" s="47"/>
      <c r="W61" s="47"/>
      <c r="X61" s="47"/>
      <c r="Y61" s="47"/>
      <c r="Z61" s="47"/>
      <c r="AA61" s="47"/>
      <c r="AB61" s="47"/>
      <c r="AC61" s="47"/>
      <c r="AD61" s="47"/>
      <c r="AF61" s="93">
        <f>COUNTIFS(Database!F:F,C61,Database!M:M,"Contested- Trial Based")</f>
        <v>0</v>
      </c>
      <c r="AG61" s="93">
        <f>COUNTIFS(Database!F:F,C61,Database!M:M,"Contested- Non Trial Based")</f>
        <v>3</v>
      </c>
      <c r="AK61" s="17">
        <f t="shared" si="6"/>
        <v>21</v>
      </c>
    </row>
    <row r="62" spans="1:37" ht="54.6" customHeight="1">
      <c r="A62" s="42" t="s">
        <v>1749</v>
      </c>
      <c r="B62" s="43" t="s">
        <v>107</v>
      </c>
      <c r="C62" s="43" t="s">
        <v>1774</v>
      </c>
      <c r="D62" s="71">
        <f>COUNTIFS(Database!F:F,C62,Database!P:P,"Last Month Pendency")</f>
        <v>0</v>
      </c>
      <c r="E62" s="71">
        <f>COUNTIFS(Database!F:F,C62,Database!P:P,"Fresh Month Institution")</f>
        <v>0</v>
      </c>
      <c r="F62" s="89">
        <f>COUNTIFS(Database!F:F,C62,Database!P:P,"Other Institution")</f>
        <v>0</v>
      </c>
      <c r="G62" s="89">
        <f>COUNTIFS(Database!F:F,C62,Database!P:P,"Transfer In")</f>
        <v>0</v>
      </c>
      <c r="H62" s="162">
        <f>COUNTIFS(Database!F:F,C62,Database!M:M,"Transfer Out")</f>
        <v>0</v>
      </c>
      <c r="I62" s="51">
        <f t="shared" si="14"/>
        <v>0</v>
      </c>
      <c r="J62" s="54">
        <f t="shared" si="15"/>
        <v>0</v>
      </c>
      <c r="K62" s="186">
        <f>COUNTIFS(Database!F:F,C62,Database!M:M,"In Default")</f>
        <v>0</v>
      </c>
      <c r="L62" s="434">
        <f>COUNTIFS(Database!F:F,C62,Database!M:M,"Uncontested")</f>
        <v>0</v>
      </c>
      <c r="M62" s="434"/>
      <c r="N62" s="51">
        <f t="shared" si="16"/>
        <v>0</v>
      </c>
      <c r="O62" s="71">
        <f>COUNTIFS(Database!F:F,C62,Database!L:L,"Disposed",Database!G:G,"&lt;01-09-2020")</f>
        <v>0</v>
      </c>
      <c r="P62" s="89">
        <f>COUNTIFS(Database!F:F,C62,Database!L:L,"Disposed",Database!G:G,"&gt;31-08-2020")</f>
        <v>0</v>
      </c>
      <c r="Q62" s="51">
        <f t="shared" si="17"/>
        <v>0</v>
      </c>
      <c r="R62" s="71">
        <f t="shared" si="18"/>
        <v>0</v>
      </c>
      <c r="S62" s="105">
        <f>COUNTIFS(Database!F:F,C62,Database!T:T,"Pending",Database!G:G,"&lt;01-09-2020")</f>
        <v>0</v>
      </c>
      <c r="T62" s="105">
        <f>COUNTIFS(Database!F:F,TRIM(C62),Database!T:T,"Pending",Database!G:G,"&gt;31-08-2020")</f>
        <v>0</v>
      </c>
      <c r="U62" s="51">
        <f t="shared" si="19"/>
        <v>0</v>
      </c>
      <c r="V62" s="47"/>
      <c r="W62" s="47"/>
      <c r="X62" s="47"/>
      <c r="Y62" s="47"/>
      <c r="Z62" s="47"/>
      <c r="AA62" s="47"/>
      <c r="AB62" s="47"/>
      <c r="AC62" s="47"/>
      <c r="AD62" s="47"/>
      <c r="AF62" s="93">
        <f>COUNTIFS(Database!F:F,C62,Database!M:M,"Contested- Trial Based")</f>
        <v>0</v>
      </c>
      <c r="AG62" s="93">
        <f>COUNTIFS(Database!F:F,C62,Database!M:M,"Contested- Non Trial Based")</f>
        <v>0</v>
      </c>
      <c r="AK62" s="17">
        <f t="shared" si="6"/>
        <v>0</v>
      </c>
    </row>
    <row r="63" spans="1:37" ht="17.45" customHeight="1">
      <c r="A63" s="42" t="s">
        <v>1750</v>
      </c>
      <c r="B63" s="43" t="s">
        <v>108</v>
      </c>
      <c r="C63" s="43" t="s">
        <v>1775</v>
      </c>
      <c r="D63" s="71">
        <f>COUNTIFS(Database!F:F,C63,Database!P:P,"Last Month Pendency")</f>
        <v>32</v>
      </c>
      <c r="E63" s="71">
        <f>COUNTIFS(Database!F:F,C63,Database!P:P,"Fresh Month Institution")</f>
        <v>1</v>
      </c>
      <c r="F63" s="89">
        <f>COUNTIFS(Database!F:F,C63,Database!P:P,"Other Institution")</f>
        <v>1</v>
      </c>
      <c r="G63" s="89">
        <f>COUNTIFS(Database!F:F,C63,Database!P:P,"Transfer In")</f>
        <v>0</v>
      </c>
      <c r="H63" s="162">
        <f>COUNTIFS(Database!F:F,C63,Database!M:M,"Transfer Out")</f>
        <v>0</v>
      </c>
      <c r="I63" s="51">
        <f t="shared" si="14"/>
        <v>34</v>
      </c>
      <c r="J63" s="54">
        <f t="shared" si="15"/>
        <v>2</v>
      </c>
      <c r="K63" s="186">
        <f>COUNTIFS(Database!F:F,C63,Database!M:M,"In Default")</f>
        <v>0</v>
      </c>
      <c r="L63" s="434">
        <f>COUNTIFS(Database!F:F,C63,Database!M:M,"Uncontested")</f>
        <v>0</v>
      </c>
      <c r="M63" s="434"/>
      <c r="N63" s="51">
        <f t="shared" si="16"/>
        <v>2</v>
      </c>
      <c r="O63" s="71">
        <f>COUNTIFS(Database!F:F,C63,Database!L:L,"Disposed",Database!G:G,"&lt;01-09-2020")</f>
        <v>0</v>
      </c>
      <c r="P63" s="89">
        <f>COUNTIFS(Database!F:F,C63,Database!L:L,"Disposed",Database!G:G,"&gt;31-08-2020")</f>
        <v>2</v>
      </c>
      <c r="Q63" s="51">
        <f t="shared" si="17"/>
        <v>2</v>
      </c>
      <c r="R63" s="71">
        <f t="shared" si="18"/>
        <v>0</v>
      </c>
      <c r="S63" s="105">
        <f>COUNTIFS(Database!F:F,C63,Database!T:T,"Pending",Database!G:G,"&lt;01-09-2020")</f>
        <v>0</v>
      </c>
      <c r="T63" s="105">
        <f>COUNTIFS(Database!F:F,TRIM(C63),Database!T:T,"Pending",Database!G:G,"&gt;31-08-2020")</f>
        <v>32</v>
      </c>
      <c r="U63" s="51">
        <f t="shared" si="19"/>
        <v>32</v>
      </c>
      <c r="V63" s="47"/>
      <c r="W63" s="47"/>
      <c r="X63" s="47"/>
      <c r="Y63" s="47"/>
      <c r="Z63" s="47"/>
      <c r="AA63" s="47"/>
      <c r="AB63" s="47"/>
      <c r="AC63" s="47"/>
      <c r="AD63" s="47"/>
      <c r="AF63" s="93">
        <f>COUNTIFS(Database!F:F,C63,Database!M:M,"Contested- Trial Based")</f>
        <v>2</v>
      </c>
      <c r="AG63" s="93">
        <f>COUNTIFS(Database!F:F,C63,Database!M:M,"Contested- Non Trial Based")</f>
        <v>0</v>
      </c>
      <c r="AK63" s="17">
        <f t="shared" si="6"/>
        <v>32</v>
      </c>
    </row>
    <row r="64" spans="1:37" s="16" customFormat="1" ht="17.45" customHeight="1">
      <c r="A64" s="42" t="s">
        <v>1751</v>
      </c>
      <c r="B64" s="43" t="s">
        <v>109</v>
      </c>
      <c r="C64" s="43" t="s">
        <v>1776</v>
      </c>
      <c r="D64" s="166">
        <f>COUNTIFS(Database!F:F,C64,Database!P:P,"Last Month Pendency")</f>
        <v>1</v>
      </c>
      <c r="E64" s="166">
        <f>COUNTIFS(Database!F:F,C64,Database!P:P,"Fresh Month Institution")</f>
        <v>0</v>
      </c>
      <c r="F64" s="166">
        <f>COUNTIFS(Database!F:F,C64,Database!P:P,"Other Institution")</f>
        <v>0</v>
      </c>
      <c r="G64" s="166">
        <f>COUNTIFS(Database!F:F,C64,Database!P:P,"Transfer In")</f>
        <v>0</v>
      </c>
      <c r="H64" s="166">
        <f>COUNTIFS(Database!F:F,C64,Database!M:M,"Transfer Out")</f>
        <v>0</v>
      </c>
      <c r="I64" s="166">
        <f t="shared" si="14"/>
        <v>1</v>
      </c>
      <c r="J64" s="166">
        <f t="shared" si="15"/>
        <v>1</v>
      </c>
      <c r="K64" s="186">
        <f>COUNTIFS(Database!F:F,C64,Database!M:M,"In Default")</f>
        <v>0</v>
      </c>
      <c r="L64" s="434">
        <f>COUNTIFS(Database!F:F,C64,Database!M:M,"Uncontested")</f>
        <v>0</v>
      </c>
      <c r="M64" s="434"/>
      <c r="N64" s="166">
        <f t="shared" si="16"/>
        <v>1</v>
      </c>
      <c r="O64" s="166">
        <f>COUNTIFS(Database!F:F,C64,Database!L:L,"Disposed",Database!G:G,"&lt;01-09-2020")</f>
        <v>0</v>
      </c>
      <c r="P64" s="166">
        <f>COUNTIFS(Database!F:F,C64,Database!L:L,"Disposed",Database!G:G,"&gt;31-08-2020")</f>
        <v>1</v>
      </c>
      <c r="Q64" s="166">
        <f t="shared" si="17"/>
        <v>1</v>
      </c>
      <c r="R64" s="166">
        <f t="shared" si="18"/>
        <v>0</v>
      </c>
      <c r="S64" s="166">
        <f>COUNTIFS(Database!F:F,C64,Database!T:T,"Pending",Database!G:G,"&lt;01-09-2020")</f>
        <v>0</v>
      </c>
      <c r="T64" s="166">
        <f>COUNTIFS(Database!F:F,TRIM(C64),Database!T:T,"Pending",Database!G:G,"&gt;31-08-2020")</f>
        <v>0</v>
      </c>
      <c r="U64" s="166">
        <f t="shared" si="19"/>
        <v>0</v>
      </c>
      <c r="V64" s="47"/>
      <c r="W64" s="47"/>
      <c r="X64" s="47"/>
      <c r="Y64" s="47"/>
      <c r="Z64" s="47"/>
      <c r="AA64" s="47"/>
      <c r="AB64" s="47"/>
      <c r="AC64" s="47"/>
      <c r="AD64" s="47"/>
      <c r="AF64" s="93">
        <f>COUNTIFS(Database!F:F,C64,Database!M:M,"Contested- Trial Based")</f>
        <v>0</v>
      </c>
      <c r="AG64" s="93">
        <f>COUNTIFS(Database!F:F,C64,Database!M:M,"Contested- Non Trial Based")</f>
        <v>1</v>
      </c>
      <c r="AK64" s="17"/>
    </row>
    <row r="65" spans="1:37" s="16" customFormat="1" ht="17.45" customHeight="1">
      <c r="A65" s="42" t="s">
        <v>1873</v>
      </c>
      <c r="B65" s="43" t="s">
        <v>1872</v>
      </c>
      <c r="C65" s="43" t="s">
        <v>1871</v>
      </c>
      <c r="D65" s="165">
        <f>COUNTIFS(Database!F:F,C65,Database!P:P,"Last Month Pendency")</f>
        <v>7</v>
      </c>
      <c r="E65" s="165">
        <f>COUNTIFS(Database!F:F,C65,Database!P:P,"Fresh Month Institution")</f>
        <v>0</v>
      </c>
      <c r="F65" s="165">
        <f>COUNTIFS(Database!F:F,C65,Database!P:P,"Other Institution")</f>
        <v>0</v>
      </c>
      <c r="G65" s="165">
        <f>COUNTIFS(Database!F:F,C65,Database!P:P,"Transfer In")</f>
        <v>0</v>
      </c>
      <c r="H65" s="165">
        <f>COUNTIFS(Database!F:F,C65,Database!M:M,"Transfer Out")</f>
        <v>0</v>
      </c>
      <c r="I65" s="165">
        <f t="shared" ref="I65" si="20">SUM(D65,E65,F65,G65)-H65</f>
        <v>7</v>
      </c>
      <c r="J65" s="165">
        <f t="shared" ref="J65" si="21">AF65+AG65</f>
        <v>1</v>
      </c>
      <c r="K65" s="186">
        <f>COUNTIFS(Database!F:F,C65,Database!M:M,"In Default")</f>
        <v>0</v>
      </c>
      <c r="L65" s="434">
        <f>COUNTIFS(Database!F:F,C65,Database!M:M,"Uncontested")</f>
        <v>0</v>
      </c>
      <c r="M65" s="434"/>
      <c r="N65" s="165">
        <f t="shared" ref="N65" si="22">SUM(J65,K65,L65)</f>
        <v>1</v>
      </c>
      <c r="O65" s="165">
        <f>COUNTIFS(Database!F:F,C65,Database!L:L,"Disposed",Database!G:G,"&lt;01-09-2020")</f>
        <v>0</v>
      </c>
      <c r="P65" s="165">
        <f>COUNTIFS(Database!F:F,C65,Database!L:L,"Disposed",Database!G:G,"&gt;31-08-2020")</f>
        <v>1</v>
      </c>
      <c r="Q65" s="165">
        <f t="shared" ref="Q65" si="23">SUM(O65,P65)</f>
        <v>1</v>
      </c>
      <c r="R65" s="165">
        <f t="shared" ref="R65" si="24">N65-Q65</f>
        <v>0</v>
      </c>
      <c r="S65" s="165">
        <f>COUNTIFS(Database!F:F,C65,Database!T:T,"Pending",Database!G:G,"&lt;01-09-2020")</f>
        <v>0</v>
      </c>
      <c r="T65" s="165">
        <f>COUNTIFS(Database!F:F,TRIM(C65),Database!T:T,"Pending",Database!G:G,"&gt;31-08-2020")</f>
        <v>6</v>
      </c>
      <c r="U65" s="165">
        <f t="shared" ref="U65" si="25">SUM(S65,T65)</f>
        <v>6</v>
      </c>
      <c r="V65" s="47"/>
      <c r="W65" s="47"/>
      <c r="X65" s="47"/>
      <c r="Y65" s="47"/>
      <c r="Z65" s="47"/>
      <c r="AA65" s="47"/>
      <c r="AB65" s="47"/>
      <c r="AC65" s="47"/>
      <c r="AD65" s="47"/>
      <c r="AF65" s="93">
        <f>COUNTIFS(Database!F:F,C65,Database!M:M,"Contested- Trial Based")</f>
        <v>0</v>
      </c>
      <c r="AG65" s="93">
        <f>COUNTIFS(Database!F:F,C65,Database!M:M,"Contested- Non Trial Based")</f>
        <v>1</v>
      </c>
      <c r="AK65" s="17"/>
    </row>
    <row r="66" spans="1:37" ht="17.45" customHeight="1">
      <c r="A66" s="42" t="s">
        <v>1882</v>
      </c>
      <c r="B66" s="43" t="s">
        <v>1884</v>
      </c>
      <c r="C66" s="43" t="s">
        <v>1883</v>
      </c>
      <c r="D66" s="71">
        <f>COUNTIFS(Database!F:F,C66,Database!P:P,"Last Month Pendency")</f>
        <v>0</v>
      </c>
      <c r="E66" s="71">
        <f>COUNTIFS(Database!F:F,C66,Database!P:P,"Fresh Month Institution")</f>
        <v>0</v>
      </c>
      <c r="F66" s="89">
        <f>COUNTIFS(Database!F:F,C66,Database!P:P,"Other Institution")</f>
        <v>0</v>
      </c>
      <c r="G66" s="89">
        <f>COUNTIFS(Database!F:F,C66,Database!P:P,"Transfer In")</f>
        <v>0</v>
      </c>
      <c r="H66" s="162">
        <f>COUNTIFS(Database!F:F,C66,Database!M:M,"Transfer Out")</f>
        <v>0</v>
      </c>
      <c r="I66" s="51">
        <f t="shared" si="14"/>
        <v>0</v>
      </c>
      <c r="J66" s="54">
        <f t="shared" si="15"/>
        <v>0</v>
      </c>
      <c r="K66" s="186">
        <f>COUNTIFS(Database!F:F,C66,Database!M:M,"In Default")</f>
        <v>0</v>
      </c>
      <c r="L66" s="434">
        <f>COUNTIFS(Database!F:F,C66,Database!M:M,"Uncontested")</f>
        <v>0</v>
      </c>
      <c r="M66" s="434"/>
      <c r="N66" s="51">
        <f t="shared" si="16"/>
        <v>0</v>
      </c>
      <c r="O66" s="71">
        <f>COUNTIFS(Database!F:F,C66,Database!L:L,"Disposed",Database!G:G,"&lt;01-09-2020")</f>
        <v>0</v>
      </c>
      <c r="P66" s="89">
        <f>COUNTIFS(Database!F:F,C66,Database!L:L,"Disposed",Database!G:G,"&gt;31-08-2020")</f>
        <v>0</v>
      </c>
      <c r="Q66" s="51">
        <f t="shared" si="17"/>
        <v>0</v>
      </c>
      <c r="R66" s="71">
        <f t="shared" si="18"/>
        <v>0</v>
      </c>
      <c r="S66" s="105">
        <f>COUNTIFS(Database!F:F,C66,Database!T:T,"Pending",Database!G:G,"&lt;01-09-2020")</f>
        <v>0</v>
      </c>
      <c r="T66" s="105">
        <f>COUNTIFS(Database!F:F,TRIM(C66),Database!T:T,"Pending",Database!G:G,"&gt;31-08-2020")</f>
        <v>0</v>
      </c>
      <c r="U66" s="51">
        <f t="shared" si="19"/>
        <v>0</v>
      </c>
      <c r="V66" s="47"/>
      <c r="W66" s="47"/>
      <c r="X66" s="47"/>
      <c r="Y66" s="47"/>
      <c r="Z66" s="47"/>
      <c r="AA66" s="47"/>
      <c r="AB66" s="47"/>
      <c r="AC66" s="47"/>
      <c r="AD66" s="47"/>
      <c r="AF66" s="93">
        <f>COUNTIFS(Database!F:F,C66,Database!M:M,"Contested- Trial Based")</f>
        <v>0</v>
      </c>
      <c r="AG66" s="93">
        <f>COUNTIFS(Database!F:F,C66,Database!M:M,"Contested- Non Trial Based")</f>
        <v>0</v>
      </c>
      <c r="AK66" s="17">
        <f t="shared" si="6"/>
        <v>0</v>
      </c>
    </row>
    <row r="67" spans="1:37" s="16" customFormat="1" ht="17.45" customHeight="1">
      <c r="A67" s="42" t="s">
        <v>2010</v>
      </c>
      <c r="B67" s="267" t="s">
        <v>2011</v>
      </c>
      <c r="C67" s="43" t="s">
        <v>2012</v>
      </c>
      <c r="D67" s="187">
        <f>COUNTIFS(Database!F:F,C67,Database!P:P,"Last Month Pendency")</f>
        <v>0</v>
      </c>
      <c r="E67" s="187">
        <f>COUNTIFS(Database!F:F,C67,Database!P:P,"Fresh Month Institution")</f>
        <v>0</v>
      </c>
      <c r="F67" s="187">
        <f>COUNTIFS(Database!F:F,C67,Database!P:P,"Other Institution")</f>
        <v>0</v>
      </c>
      <c r="G67" s="187">
        <f>COUNTIFS(Database!F:F,C67,Database!P:P,"Transfer In")</f>
        <v>0</v>
      </c>
      <c r="H67" s="187">
        <f>COUNTIFS(Database!F:F,C67,Database!M:M,"Transfer Out")</f>
        <v>0</v>
      </c>
      <c r="I67" s="187">
        <f t="shared" ref="I67" si="26">SUM(D67,E67,F67,G67)-H67</f>
        <v>0</v>
      </c>
      <c r="J67" s="187">
        <f t="shared" ref="J67" si="27">AF67+AG67</f>
        <v>0</v>
      </c>
      <c r="K67" s="187">
        <f>COUNTIFS(Database!F:F,C67,Database!M:M,"In Default")</f>
        <v>0</v>
      </c>
      <c r="L67" s="434">
        <f>COUNTIFS(Database!F:F,C67,Database!M:M,"Uncontested")</f>
        <v>0</v>
      </c>
      <c r="M67" s="434"/>
      <c r="N67" s="187">
        <f t="shared" ref="N67" si="28">SUM(J67,K67,L67)</f>
        <v>0</v>
      </c>
      <c r="O67" s="187">
        <f>COUNTIFS(Database!F:F,C67,Database!L:L,"Disposed",Database!G:G,"&lt;01-09-2020")</f>
        <v>0</v>
      </c>
      <c r="P67" s="187">
        <f>COUNTIFS(Database!F:F,C67,Database!L:L,"Disposed",Database!G:G,"&gt;31-08-2020")</f>
        <v>0</v>
      </c>
      <c r="Q67" s="187">
        <f t="shared" ref="Q67" si="29">SUM(O67,P67)</f>
        <v>0</v>
      </c>
      <c r="R67" s="187">
        <f t="shared" ref="R67" si="30">N67-Q67</f>
        <v>0</v>
      </c>
      <c r="S67" s="187">
        <f>COUNTIFS(Database!F:F,C67,Database!T:T,"Pending",Database!G:G,"&lt;01-09-2020")</f>
        <v>0</v>
      </c>
      <c r="T67" s="187">
        <f>COUNTIFS(Database!F:F,TRIM(C67),Database!T:T,"Pending",Database!G:G,"&gt;31-08-2020")</f>
        <v>0</v>
      </c>
      <c r="U67" s="187">
        <f t="shared" ref="U67" si="31">SUM(S67,T67)</f>
        <v>0</v>
      </c>
      <c r="V67" s="47"/>
      <c r="W67" s="47"/>
      <c r="X67" s="47"/>
      <c r="Y67" s="47"/>
      <c r="Z67" s="47"/>
      <c r="AA67" s="47"/>
      <c r="AB67" s="47"/>
      <c r="AC67" s="47"/>
      <c r="AD67" s="47"/>
      <c r="AF67" s="93">
        <f>COUNTIFS(Database!F:F,C67,Database!M:M,"Contested- Trial Based")</f>
        <v>0</v>
      </c>
      <c r="AG67" s="93">
        <f>COUNTIFS(Database!F:F,C67,Database!M:M,"Contested- Non Trial Based")</f>
        <v>0</v>
      </c>
      <c r="AK67" s="17"/>
    </row>
    <row r="68" spans="1:37" ht="17.45" customHeight="1">
      <c r="A68" s="436" t="s">
        <v>1645</v>
      </c>
      <c r="B68" s="437"/>
      <c r="C68" s="98"/>
      <c r="D68" s="106">
        <f>SUM(D39:D67)</f>
        <v>396</v>
      </c>
      <c r="E68" s="106">
        <f t="shared" ref="E68:U68" si="32">SUM(E39:E67)</f>
        <v>51</v>
      </c>
      <c r="F68" s="106">
        <f t="shared" si="32"/>
        <v>17</v>
      </c>
      <c r="G68" s="106">
        <f t="shared" si="32"/>
        <v>0</v>
      </c>
      <c r="H68" s="106">
        <f t="shared" si="32"/>
        <v>0</v>
      </c>
      <c r="I68" s="106">
        <f t="shared" si="32"/>
        <v>464</v>
      </c>
      <c r="J68" s="106">
        <f t="shared" si="32"/>
        <v>14</v>
      </c>
      <c r="K68" s="106">
        <f t="shared" si="32"/>
        <v>4</v>
      </c>
      <c r="L68" s="438">
        <f t="shared" si="32"/>
        <v>46</v>
      </c>
      <c r="M68" s="439"/>
      <c r="N68" s="106">
        <f t="shared" si="32"/>
        <v>64</v>
      </c>
      <c r="O68" s="106">
        <f t="shared" si="32"/>
        <v>1</v>
      </c>
      <c r="P68" s="106">
        <f t="shared" si="32"/>
        <v>63</v>
      </c>
      <c r="Q68" s="106">
        <f t="shared" si="32"/>
        <v>64</v>
      </c>
      <c r="R68" s="106">
        <f t="shared" si="32"/>
        <v>0</v>
      </c>
      <c r="S68" s="106">
        <f t="shared" si="32"/>
        <v>57</v>
      </c>
      <c r="T68" s="106">
        <f t="shared" si="32"/>
        <v>343</v>
      </c>
      <c r="U68" s="106">
        <f t="shared" si="32"/>
        <v>400</v>
      </c>
      <c r="V68" s="96"/>
      <c r="W68" s="96"/>
      <c r="X68" s="96"/>
      <c r="Y68" s="96"/>
      <c r="Z68" s="96"/>
      <c r="AA68" s="96"/>
      <c r="AB68" s="96"/>
      <c r="AC68" s="96"/>
      <c r="AD68" s="96"/>
      <c r="AE68" s="97"/>
      <c r="AF68" s="99">
        <f>SUM(AF39:AF67)</f>
        <v>5</v>
      </c>
      <c r="AG68" s="99">
        <f>SUM(AG39:AG67)</f>
        <v>9</v>
      </c>
      <c r="AK68" s="122">
        <f>SUM(AK39:AK66)</f>
        <v>388</v>
      </c>
    </row>
    <row r="69" spans="1:37" ht="45">
      <c r="J69" s="258" t="s">
        <v>1528</v>
      </c>
      <c r="K69" s="258" t="s">
        <v>1635</v>
      </c>
      <c r="L69" s="258" t="s">
        <v>116</v>
      </c>
      <c r="M69" s="258" t="s">
        <v>1529</v>
      </c>
    </row>
    <row r="70" spans="1:37" ht="18.75">
      <c r="B70" s="109" t="s">
        <v>1641</v>
      </c>
      <c r="C70" s="107"/>
      <c r="D70" s="108">
        <f t="shared" ref="D70:U70" si="33">D68+D35</f>
        <v>583</v>
      </c>
      <c r="E70" s="108">
        <f t="shared" si="33"/>
        <v>93</v>
      </c>
      <c r="F70" s="108">
        <f t="shared" si="33"/>
        <v>17</v>
      </c>
      <c r="G70" s="108">
        <f t="shared" si="33"/>
        <v>0</v>
      </c>
      <c r="H70" s="108">
        <f t="shared" si="33"/>
        <v>1</v>
      </c>
      <c r="I70" s="108">
        <f t="shared" si="33"/>
        <v>692</v>
      </c>
      <c r="J70" s="108">
        <f t="shared" si="33"/>
        <v>40</v>
      </c>
      <c r="K70" s="108">
        <f>K35</f>
        <v>1</v>
      </c>
      <c r="L70" s="108">
        <f>K68+L35</f>
        <v>6</v>
      </c>
      <c r="M70" s="108">
        <f>L68+M35</f>
        <v>48</v>
      </c>
      <c r="N70" s="108">
        <f t="shared" si="33"/>
        <v>95</v>
      </c>
      <c r="O70" s="108">
        <f t="shared" si="33"/>
        <v>1</v>
      </c>
      <c r="P70" s="108">
        <f t="shared" si="33"/>
        <v>94</v>
      </c>
      <c r="Q70" s="108">
        <f t="shared" si="33"/>
        <v>95</v>
      </c>
      <c r="R70" s="108">
        <f t="shared" si="33"/>
        <v>0</v>
      </c>
      <c r="S70" s="108">
        <f t="shared" si="33"/>
        <v>60</v>
      </c>
      <c r="T70" s="108">
        <f t="shared" si="33"/>
        <v>537</v>
      </c>
      <c r="U70" s="108">
        <f t="shared" si="33"/>
        <v>597</v>
      </c>
      <c r="AF70" s="108">
        <f>AF68+AF35</f>
        <v>6</v>
      </c>
      <c r="AG70" s="108">
        <f>AG68+AG35</f>
        <v>34</v>
      </c>
    </row>
    <row r="77" spans="1:37">
      <c r="L77" s="52" t="s">
        <v>1528</v>
      </c>
      <c r="M77" s="52" t="s">
        <v>1635</v>
      </c>
      <c r="N77" s="52" t="s">
        <v>116</v>
      </c>
      <c r="O77" s="52" t="s">
        <v>1529</v>
      </c>
    </row>
  </sheetData>
  <sheetProtection algorithmName="SHA-512" hashValue="EffpuZJRHFk4wKakHsYvDkMaxQEgMG7TYh2fAxy0UMxDJRgVu/YRla7/qJIZAduhimKN10CWQZU5n79DhlT0Zg==" saltValue="tseZc7ffvPO6+i08Vtgn7g==" spinCount="100000" sheet="1" objects="1" scenarios="1"/>
  <customSheetViews>
    <customSheetView guid="{77330FEB-8B75-43E5-931E-B4C5A6173E6D}">
      <pane ySplit="6" topLeftCell="A7" activePane="bottomLeft" state="frozen"/>
      <selection pane="bottomLeft" activeCell="H7" sqref="H7"/>
      <pageMargins left="0.7" right="0.7" top="0.75" bottom="0.75" header="0.3" footer="0.3"/>
      <pageSetup orientation="portrait" horizontalDpi="1200" verticalDpi="1200" r:id="rId1"/>
    </customSheetView>
  </customSheetViews>
  <mergeCells count="130">
    <mergeCell ref="Z20:AA20"/>
    <mergeCell ref="L51:M51"/>
    <mergeCell ref="L52:M52"/>
    <mergeCell ref="L53:M53"/>
    <mergeCell ref="L54:M54"/>
    <mergeCell ref="L55:M55"/>
    <mergeCell ref="L56:M56"/>
    <mergeCell ref="W27:AC27"/>
    <mergeCell ref="W26:AA26"/>
    <mergeCell ref="Z23:AA23"/>
    <mergeCell ref="Z24:AA24"/>
    <mergeCell ref="Z25:AA25"/>
    <mergeCell ref="W23:Y25"/>
    <mergeCell ref="L45:M45"/>
    <mergeCell ref="L46:M46"/>
    <mergeCell ref="L47:M47"/>
    <mergeCell ref="L48:M48"/>
    <mergeCell ref="L49:M49"/>
    <mergeCell ref="L50:M50"/>
    <mergeCell ref="L39:M39"/>
    <mergeCell ref="L40:M40"/>
    <mergeCell ref="L41:M41"/>
    <mergeCell ref="L42:M42"/>
    <mergeCell ref="L43:M43"/>
    <mergeCell ref="L63:M63"/>
    <mergeCell ref="L66:M66"/>
    <mergeCell ref="A68:B68"/>
    <mergeCell ref="L68:M68"/>
    <mergeCell ref="L57:M57"/>
    <mergeCell ref="L58:M58"/>
    <mergeCell ref="L59:M59"/>
    <mergeCell ref="L60:M60"/>
    <mergeCell ref="L61:M61"/>
    <mergeCell ref="L62:M62"/>
    <mergeCell ref="L65:M65"/>
    <mergeCell ref="L64:M64"/>
    <mergeCell ref="L67:M67"/>
    <mergeCell ref="L44:M44"/>
    <mergeCell ref="R36:R38"/>
    <mergeCell ref="S36:T36"/>
    <mergeCell ref="U36:U38"/>
    <mergeCell ref="K37:K38"/>
    <mergeCell ref="L37:M38"/>
    <mergeCell ref="S37:S38"/>
    <mergeCell ref="T37:T38"/>
    <mergeCell ref="I36:I38"/>
    <mergeCell ref="J36:M36"/>
    <mergeCell ref="N36:N38"/>
    <mergeCell ref="O36:O38"/>
    <mergeCell ref="P36:P38"/>
    <mergeCell ref="Q36:Q38"/>
    <mergeCell ref="A36:A38"/>
    <mergeCell ref="D36:D38"/>
    <mergeCell ref="E36:E38"/>
    <mergeCell ref="F36:F38"/>
    <mergeCell ref="G36:G38"/>
    <mergeCell ref="H36:H38"/>
    <mergeCell ref="B37:B38"/>
    <mergeCell ref="J37:J38"/>
    <mergeCell ref="A35:C35"/>
    <mergeCell ref="C37:C38"/>
    <mergeCell ref="V4:AD4"/>
    <mergeCell ref="B5:B6"/>
    <mergeCell ref="J5:J6"/>
    <mergeCell ref="K5:K6"/>
    <mergeCell ref="L5:L6"/>
    <mergeCell ref="M5:M6"/>
    <mergeCell ref="H4:H6"/>
    <mergeCell ref="I4:I6"/>
    <mergeCell ref="J4:M4"/>
    <mergeCell ref="N4:N6"/>
    <mergeCell ref="O4:O6"/>
    <mergeCell ref="P4:P6"/>
    <mergeCell ref="S5:S6"/>
    <mergeCell ref="T5:T6"/>
    <mergeCell ref="V5:V16"/>
    <mergeCell ref="W5:AA5"/>
    <mergeCell ref="AB5:AD5"/>
    <mergeCell ref="W6:AA6"/>
    <mergeCell ref="AB6:AD6"/>
    <mergeCell ref="W7:AA7"/>
    <mergeCell ref="AB7:AD7"/>
    <mergeCell ref="W8:AA15"/>
    <mergeCell ref="AB15:AC15"/>
    <mergeCell ref="W16:AA16"/>
    <mergeCell ref="A4:A6"/>
    <mergeCell ref="D4:D6"/>
    <mergeCell ref="E4:E6"/>
    <mergeCell ref="F4:F6"/>
    <mergeCell ref="G4:G6"/>
    <mergeCell ref="Q4:Q6"/>
    <mergeCell ref="R4:R6"/>
    <mergeCell ref="S4:T4"/>
    <mergeCell ref="U4:U6"/>
    <mergeCell ref="C5:C6"/>
    <mergeCell ref="A1:U1"/>
    <mergeCell ref="A2:B2"/>
    <mergeCell ref="D2:M2"/>
    <mergeCell ref="Q2:V2"/>
    <mergeCell ref="W2:X2"/>
    <mergeCell ref="Y2:Z2"/>
    <mergeCell ref="A3:B3"/>
    <mergeCell ref="D3:M3"/>
    <mergeCell ref="T3:V3"/>
    <mergeCell ref="W3:X3"/>
    <mergeCell ref="Y3:AA3"/>
    <mergeCell ref="W29:AB29"/>
    <mergeCell ref="W30:AB30"/>
    <mergeCell ref="W31:AB31"/>
    <mergeCell ref="W32:AB32"/>
    <mergeCell ref="W33:AB33"/>
    <mergeCell ref="W34:AB34"/>
    <mergeCell ref="W28:AC28"/>
    <mergeCell ref="AF37:AG37"/>
    <mergeCell ref="AF5:AG5"/>
    <mergeCell ref="AB8:AB13"/>
    <mergeCell ref="AC8:AC9"/>
    <mergeCell ref="AC10:AC11"/>
    <mergeCell ref="AD10:AD11"/>
    <mergeCell ref="AB14:AC14"/>
    <mergeCell ref="AB16:AD16"/>
    <mergeCell ref="AD8:AD9"/>
    <mergeCell ref="Z17:AA17"/>
    <mergeCell ref="Z18:AA18"/>
    <mergeCell ref="Z19:AA19"/>
    <mergeCell ref="W17:Y17"/>
    <mergeCell ref="X18:Y18"/>
    <mergeCell ref="X19:Y19"/>
    <mergeCell ref="W22:AA22"/>
    <mergeCell ref="AD23:AD24"/>
  </mergeCells>
  <conditionalFormatting sqref="C39:C63 C36 C68">
    <cfRule type="duplicateValues" dxfId="34" priority="33"/>
  </conditionalFormatting>
  <conditionalFormatting sqref="B25 B21">
    <cfRule type="cellIs" dxfId="33" priority="30" stopIfTrue="1" operator="lessThan">
      <formula>0</formula>
    </cfRule>
  </conditionalFormatting>
  <conditionalFormatting sqref="B7:B13 B15:B23 B29:B32 B25:B27">
    <cfRule type="duplicateValues" dxfId="32" priority="36"/>
  </conditionalFormatting>
  <conditionalFormatting sqref="B33">
    <cfRule type="duplicateValues" dxfId="31" priority="29"/>
  </conditionalFormatting>
  <conditionalFormatting sqref="C64">
    <cfRule type="duplicateValues" dxfId="30" priority="26"/>
  </conditionalFormatting>
  <conditionalFormatting sqref="B32">
    <cfRule type="duplicateValues" dxfId="29" priority="24"/>
  </conditionalFormatting>
  <conditionalFormatting sqref="B33">
    <cfRule type="duplicateValues" dxfId="28" priority="22"/>
  </conditionalFormatting>
  <conditionalFormatting sqref="B34">
    <cfRule type="duplicateValues" dxfId="27" priority="21"/>
  </conditionalFormatting>
  <conditionalFormatting sqref="B14">
    <cfRule type="duplicateValues" dxfId="26" priority="19"/>
  </conditionalFormatting>
  <conditionalFormatting sqref="C7:C13 C15:C23 C29:C34 C25:C27">
    <cfRule type="duplicateValues" dxfId="25" priority="17"/>
  </conditionalFormatting>
  <conditionalFormatting sqref="C65">
    <cfRule type="duplicateValues" dxfId="24" priority="16"/>
  </conditionalFormatting>
  <conditionalFormatting sqref="C66">
    <cfRule type="duplicateValues" dxfId="23" priority="15"/>
  </conditionalFormatting>
  <conditionalFormatting sqref="C14">
    <cfRule type="duplicateValues" dxfId="22" priority="12"/>
  </conditionalFormatting>
  <conditionalFormatting sqref="C24">
    <cfRule type="duplicateValues" dxfId="21" priority="7"/>
  </conditionalFormatting>
  <conditionalFormatting sqref="B24">
    <cfRule type="duplicateValues" dxfId="20" priority="6"/>
  </conditionalFormatting>
  <conditionalFormatting sqref="C28">
    <cfRule type="duplicateValues" dxfId="19" priority="3"/>
  </conditionalFormatting>
  <conditionalFormatting sqref="B28">
    <cfRule type="duplicateValues" dxfId="18" priority="2"/>
  </conditionalFormatting>
  <conditionalFormatting sqref="C67">
    <cfRule type="duplicateValues" dxfId="17" priority="1"/>
  </conditionalFormatting>
  <pageMargins left="0.7" right="0.7" top="0.75" bottom="0.75" header="0.3" footer="0.3"/>
  <pageSetup orientation="portrait" horizontalDpi="1200" verticalDpi="12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AJ109"/>
  <sheetViews>
    <sheetView zoomScaleNormal="100" workbookViewId="0">
      <selection activeCell="E4" sqref="E4"/>
    </sheetView>
  </sheetViews>
  <sheetFormatPr defaultRowHeight="15"/>
  <cols>
    <col min="4" max="4" width="12.5703125" customWidth="1"/>
    <col min="7" max="7" width="11.28515625" style="173" bestFit="1" customWidth="1"/>
    <col min="10" max="10" width="20.140625" customWidth="1"/>
    <col min="11" max="11" width="37.7109375" style="16" customWidth="1"/>
    <col min="31" max="31" width="19.7109375" bestFit="1" customWidth="1"/>
  </cols>
  <sheetData>
    <row r="4" spans="1:36" ht="157.5">
      <c r="A4" s="110" t="s">
        <v>1484</v>
      </c>
      <c r="B4" s="110" t="s">
        <v>1485</v>
      </c>
      <c r="C4" s="110" t="s">
        <v>1486</v>
      </c>
      <c r="D4" s="110" t="s">
        <v>1487</v>
      </c>
      <c r="E4" s="110" t="s">
        <v>1488</v>
      </c>
      <c r="F4" s="110" t="s">
        <v>1489</v>
      </c>
      <c r="G4" s="172" t="s">
        <v>1490</v>
      </c>
      <c r="H4" s="110" t="s">
        <v>1491</v>
      </c>
      <c r="I4" s="145" t="s">
        <v>1736</v>
      </c>
      <c r="J4" s="152" t="s">
        <v>1738</v>
      </c>
      <c r="K4" s="152" t="s">
        <v>1737</v>
      </c>
      <c r="L4" s="146" t="s">
        <v>1513</v>
      </c>
      <c r="M4" s="147" t="s">
        <v>1514</v>
      </c>
      <c r="N4" s="147" t="s">
        <v>1515</v>
      </c>
      <c r="O4" s="147" t="s">
        <v>1516</v>
      </c>
      <c r="P4" s="147" t="s">
        <v>1517</v>
      </c>
      <c r="Q4" s="147" t="s">
        <v>1518</v>
      </c>
      <c r="R4" s="153" t="s">
        <v>1528</v>
      </c>
      <c r="S4" s="153" t="s">
        <v>1635</v>
      </c>
      <c r="T4" s="153" t="s">
        <v>116</v>
      </c>
      <c r="U4" s="153" t="s">
        <v>1529</v>
      </c>
      <c r="V4" s="148" t="s">
        <v>1520</v>
      </c>
      <c r="W4" s="149" t="s">
        <v>1521</v>
      </c>
      <c r="X4" s="149" t="s">
        <v>1522</v>
      </c>
      <c r="Y4" s="148" t="s">
        <v>1523</v>
      </c>
      <c r="Z4" s="150" t="s">
        <v>1524</v>
      </c>
      <c r="AA4" s="149" t="s">
        <v>1530</v>
      </c>
      <c r="AB4" s="149" t="s">
        <v>1531</v>
      </c>
      <c r="AC4" s="151" t="s">
        <v>1526</v>
      </c>
      <c r="AD4" s="212" t="s">
        <v>1958</v>
      </c>
      <c r="AE4" s="212" t="s">
        <v>1991</v>
      </c>
      <c r="AF4" s="247" t="s">
        <v>1992</v>
      </c>
      <c r="AG4" s="247" t="s">
        <v>1865</v>
      </c>
      <c r="AH4" s="248" t="s">
        <v>1498</v>
      </c>
      <c r="AI4" s="248" t="s">
        <v>1621</v>
      </c>
      <c r="AJ4" s="249" t="s">
        <v>1993</v>
      </c>
    </row>
    <row r="5" spans="1:36" ht="15.75">
      <c r="A5" s="17" t="str">
        <f>JudgeProfile!B2</f>
        <v>PHC0290-73-1</v>
      </c>
      <c r="B5" s="17" t="str">
        <f>JudgeProfile!C2</f>
        <v>Mr Amin Said</v>
      </c>
      <c r="C5" s="17" t="str">
        <f>JudgeProfile!D2</f>
        <v>Addl: District &amp; Sessions Judge</v>
      </c>
      <c r="D5" s="17" t="str">
        <f>JudgeProfile!E2</f>
        <v>ADSJ-1</v>
      </c>
      <c r="E5" s="17" t="str">
        <f>JudgeProfile!F2</f>
        <v>Lower Dir - Timergara</v>
      </c>
      <c r="F5" s="17" t="str">
        <f>JudgeProfile!G2</f>
        <v>Regular</v>
      </c>
      <c r="G5" s="171">
        <f>JudgeProfile!H2</f>
        <v>45078</v>
      </c>
      <c r="H5" s="207">
        <f>JudgeProfile!I2</f>
        <v>2023</v>
      </c>
      <c r="I5" s="17" t="s">
        <v>13</v>
      </c>
      <c r="J5" s="42" t="s">
        <v>40</v>
      </c>
      <c r="K5" s="43" t="s">
        <v>15</v>
      </c>
      <c r="L5" s="43">
        <f>'Autogenerated Template'!D7</f>
        <v>26</v>
      </c>
      <c r="M5" s="43">
        <f>'Autogenerated Template'!E7</f>
        <v>2</v>
      </c>
      <c r="N5" s="43">
        <f>'Autogenerated Template'!F7</f>
        <v>0</v>
      </c>
      <c r="O5" s="43">
        <f>'Autogenerated Template'!G7</f>
        <v>0</v>
      </c>
      <c r="P5" s="43">
        <f>'Autogenerated Template'!H7</f>
        <v>1</v>
      </c>
      <c r="Q5" s="43">
        <f>'Autogenerated Template'!I7</f>
        <v>27</v>
      </c>
      <c r="R5" s="43">
        <f>'Autogenerated Template'!J7</f>
        <v>1</v>
      </c>
      <c r="S5" s="43">
        <f>'Autogenerated Template'!K7</f>
        <v>0</v>
      </c>
      <c r="T5" s="43">
        <f>'Autogenerated Template'!L7</f>
        <v>0</v>
      </c>
      <c r="U5" s="43">
        <f>'Autogenerated Template'!M7</f>
        <v>0</v>
      </c>
      <c r="V5" s="43">
        <f>'Autogenerated Template'!N7</f>
        <v>1</v>
      </c>
      <c r="W5" s="43">
        <f>'Autogenerated Template'!O7</f>
        <v>0</v>
      </c>
      <c r="X5" s="43">
        <f>'Autogenerated Template'!P7</f>
        <v>1</v>
      </c>
      <c r="Y5" s="43">
        <f>'Autogenerated Template'!Q7</f>
        <v>1</v>
      </c>
      <c r="Z5" s="43">
        <f>'Autogenerated Template'!R7</f>
        <v>0</v>
      </c>
      <c r="AA5" s="43">
        <f>'Autogenerated Template'!S7</f>
        <v>0</v>
      </c>
      <c r="AB5" s="43">
        <f>'Autogenerated Template'!T7</f>
        <v>26</v>
      </c>
      <c r="AC5" s="43">
        <f>'Autogenerated Template'!U7</f>
        <v>26</v>
      </c>
      <c r="AD5" t="str">
        <f>JudgeProfile!X2</f>
        <v>Zone B</v>
      </c>
      <c r="AE5" t="str">
        <f>IF(L5+M5+N5+O5+P5+Q5&gt;0,"Category Edited","Category Not Edited")</f>
        <v>Category Edited</v>
      </c>
      <c r="AF5" s="16">
        <f>JudgeProfile!$W$2</f>
        <v>900</v>
      </c>
      <c r="AG5" s="16">
        <f>JudgeProfile!$V$2</f>
        <v>900</v>
      </c>
      <c r="AH5" s="16" t="str">
        <f>JudgeProfile!$Q$2</f>
        <v>1 - Remains in this court full month</v>
      </c>
      <c r="AI5" s="16" t="str">
        <f>JudgeProfile!$U$2</f>
        <v>Addl: District &amp; Sessions Judge (Both Civil and Criminal Matter)</v>
      </c>
      <c r="AJ5" s="16" t="str">
        <f>JudgeProfile!$Z$2</f>
        <v>Sessions Court</v>
      </c>
    </row>
    <row r="6" spans="1:36" ht="15.75">
      <c r="A6" s="17" t="str">
        <f>A5</f>
        <v>PHC0290-73-1</v>
      </c>
      <c r="B6" s="17" t="str">
        <f t="shared" ref="B6:H6" si="0">B5</f>
        <v>Mr Amin Said</v>
      </c>
      <c r="C6" s="17" t="str">
        <f t="shared" si="0"/>
        <v>Addl: District &amp; Sessions Judge</v>
      </c>
      <c r="D6" s="17" t="str">
        <f t="shared" si="0"/>
        <v>ADSJ-1</v>
      </c>
      <c r="E6" s="17" t="str">
        <f t="shared" si="0"/>
        <v>Lower Dir - Timergara</v>
      </c>
      <c r="F6" s="17" t="str">
        <f t="shared" si="0"/>
        <v>Regular</v>
      </c>
      <c r="G6" s="171">
        <f t="shared" si="0"/>
        <v>45078</v>
      </c>
      <c r="H6" s="207">
        <f t="shared" si="0"/>
        <v>2023</v>
      </c>
      <c r="I6" s="17" t="s">
        <v>13</v>
      </c>
      <c r="J6" s="42" t="s">
        <v>41</v>
      </c>
      <c r="K6" s="43" t="s">
        <v>16</v>
      </c>
      <c r="L6" s="43">
        <f>'Autogenerated Template'!D8</f>
        <v>13</v>
      </c>
      <c r="M6" s="43">
        <f>'Autogenerated Template'!E8</f>
        <v>1</v>
      </c>
      <c r="N6" s="43">
        <f>'Autogenerated Template'!F8</f>
        <v>0</v>
      </c>
      <c r="O6" s="43">
        <f>'Autogenerated Template'!G8</f>
        <v>0</v>
      </c>
      <c r="P6" s="43">
        <f>'Autogenerated Template'!H8</f>
        <v>0</v>
      </c>
      <c r="Q6" s="43">
        <f>'Autogenerated Template'!I8</f>
        <v>14</v>
      </c>
      <c r="R6" s="43">
        <f>'Autogenerated Template'!J8</f>
        <v>0</v>
      </c>
      <c r="S6" s="43">
        <f>'Autogenerated Template'!K8</f>
        <v>0</v>
      </c>
      <c r="T6" s="43">
        <f>'Autogenerated Template'!L8</f>
        <v>0</v>
      </c>
      <c r="U6" s="43">
        <f>'Autogenerated Template'!M8</f>
        <v>0</v>
      </c>
      <c r="V6" s="43">
        <f>'Autogenerated Template'!N8</f>
        <v>0</v>
      </c>
      <c r="W6" s="43">
        <f>'Autogenerated Template'!O8</f>
        <v>0</v>
      </c>
      <c r="X6" s="43">
        <f>'Autogenerated Template'!P8</f>
        <v>0</v>
      </c>
      <c r="Y6" s="43">
        <f>'Autogenerated Template'!Q8</f>
        <v>0</v>
      </c>
      <c r="Z6" s="43">
        <f>'Autogenerated Template'!R8</f>
        <v>0</v>
      </c>
      <c r="AA6" s="43">
        <f>'Autogenerated Template'!S8</f>
        <v>0</v>
      </c>
      <c r="AB6" s="43">
        <f>'Autogenerated Template'!T8</f>
        <v>14</v>
      </c>
      <c r="AC6" s="43">
        <f>'Autogenerated Template'!U8</f>
        <v>14</v>
      </c>
      <c r="AD6" s="16" t="str">
        <f>AD5</f>
        <v>Zone B</v>
      </c>
      <c r="AE6" s="16" t="str">
        <f t="shared" ref="AE6:AE60" si="1">IF(L6+M6+N6+O6+P6+Q6&gt;0,"Category Edited","Category Not Edited")</f>
        <v>Category Edited</v>
      </c>
      <c r="AF6" s="16">
        <f>JudgeProfile!$W$2</f>
        <v>900</v>
      </c>
      <c r="AG6" s="16">
        <f>JudgeProfile!$V$2</f>
        <v>900</v>
      </c>
      <c r="AH6" s="16" t="str">
        <f>JudgeProfile!$Q$2</f>
        <v>1 - Remains in this court full month</v>
      </c>
      <c r="AI6" s="16" t="str">
        <f>JudgeProfile!$U$2</f>
        <v>Addl: District &amp; Sessions Judge (Both Civil and Criminal Matter)</v>
      </c>
      <c r="AJ6" s="16" t="str">
        <f>JudgeProfile!$Z$2</f>
        <v>Sessions Court</v>
      </c>
    </row>
    <row r="7" spans="1:36" ht="15.75">
      <c r="A7" s="17" t="str">
        <f t="shared" ref="A7:A61" si="2">A6</f>
        <v>PHC0290-73-1</v>
      </c>
      <c r="B7" s="17" t="str">
        <f t="shared" ref="B7:B61" si="3">B6</f>
        <v>Mr Amin Said</v>
      </c>
      <c r="C7" s="17" t="str">
        <f t="shared" ref="C7:C61" si="4">C6</f>
        <v>Addl: District &amp; Sessions Judge</v>
      </c>
      <c r="D7" s="17" t="str">
        <f t="shared" ref="D7:D61" si="5">D6</f>
        <v>ADSJ-1</v>
      </c>
      <c r="E7" s="17" t="str">
        <f t="shared" ref="E7:E61" si="6">E6</f>
        <v>Lower Dir - Timergara</v>
      </c>
      <c r="F7" s="17" t="str">
        <f t="shared" ref="F7:F61" si="7">F6</f>
        <v>Regular</v>
      </c>
      <c r="G7" s="171">
        <f t="shared" ref="G7:G61" si="8">G6</f>
        <v>45078</v>
      </c>
      <c r="H7" s="207">
        <f t="shared" ref="H7:H61" si="9">H6</f>
        <v>2023</v>
      </c>
      <c r="I7" s="17" t="s">
        <v>13</v>
      </c>
      <c r="J7" s="42" t="s">
        <v>42</v>
      </c>
      <c r="K7" s="43" t="s">
        <v>17</v>
      </c>
      <c r="L7" s="43">
        <f>'Autogenerated Template'!D9</f>
        <v>0</v>
      </c>
      <c r="M7" s="43">
        <f>'Autogenerated Template'!E9</f>
        <v>0</v>
      </c>
      <c r="N7" s="43">
        <f>'Autogenerated Template'!F9</f>
        <v>0</v>
      </c>
      <c r="O7" s="43">
        <f>'Autogenerated Template'!G9</f>
        <v>0</v>
      </c>
      <c r="P7" s="43">
        <f>'Autogenerated Template'!H9</f>
        <v>0</v>
      </c>
      <c r="Q7" s="43">
        <f>'Autogenerated Template'!I9</f>
        <v>0</v>
      </c>
      <c r="R7" s="43">
        <f>'Autogenerated Template'!J9</f>
        <v>0</v>
      </c>
      <c r="S7" s="43">
        <f>'Autogenerated Template'!K9</f>
        <v>0</v>
      </c>
      <c r="T7" s="43">
        <f>'Autogenerated Template'!L9</f>
        <v>0</v>
      </c>
      <c r="U7" s="43">
        <f>'Autogenerated Template'!M9</f>
        <v>0</v>
      </c>
      <c r="V7" s="43">
        <f>'Autogenerated Template'!N9</f>
        <v>0</v>
      </c>
      <c r="W7" s="43">
        <f>'Autogenerated Template'!O9</f>
        <v>0</v>
      </c>
      <c r="X7" s="43">
        <f>'Autogenerated Template'!P9</f>
        <v>0</v>
      </c>
      <c r="Y7" s="43">
        <f>'Autogenerated Template'!Q9</f>
        <v>0</v>
      </c>
      <c r="Z7" s="43">
        <f>'Autogenerated Template'!R9</f>
        <v>0</v>
      </c>
      <c r="AA7" s="43">
        <f>'Autogenerated Template'!S9</f>
        <v>0</v>
      </c>
      <c r="AB7" s="43">
        <f>'Autogenerated Template'!T9</f>
        <v>0</v>
      </c>
      <c r="AC7" s="43">
        <f>'Autogenerated Template'!U9</f>
        <v>0</v>
      </c>
      <c r="AD7" s="16" t="str">
        <f t="shared" ref="AD7:AD61" si="10">AD6</f>
        <v>Zone B</v>
      </c>
      <c r="AE7" s="16" t="str">
        <f t="shared" si="1"/>
        <v>Category Not Edited</v>
      </c>
      <c r="AF7" s="16">
        <f>JudgeProfile!$W$2</f>
        <v>900</v>
      </c>
      <c r="AG7" s="16">
        <f>JudgeProfile!$V$2</f>
        <v>900</v>
      </c>
      <c r="AH7" s="16" t="str">
        <f>JudgeProfile!$Q$2</f>
        <v>1 - Remains in this court full month</v>
      </c>
      <c r="AI7" s="16" t="str">
        <f>JudgeProfile!$U$2</f>
        <v>Addl: District &amp; Sessions Judge (Both Civil and Criminal Matter)</v>
      </c>
      <c r="AJ7" s="16" t="str">
        <f>JudgeProfile!$Z$2</f>
        <v>Sessions Court</v>
      </c>
    </row>
    <row r="8" spans="1:36" ht="15.75">
      <c r="A8" s="17" t="str">
        <f t="shared" si="2"/>
        <v>PHC0290-73-1</v>
      </c>
      <c r="B8" s="17" t="str">
        <f t="shared" si="3"/>
        <v>Mr Amin Said</v>
      </c>
      <c r="C8" s="17" t="str">
        <f t="shared" si="4"/>
        <v>Addl: District &amp; Sessions Judge</v>
      </c>
      <c r="D8" s="17" t="str">
        <f t="shared" si="5"/>
        <v>ADSJ-1</v>
      </c>
      <c r="E8" s="17" t="str">
        <f t="shared" si="6"/>
        <v>Lower Dir - Timergara</v>
      </c>
      <c r="F8" s="17" t="str">
        <f t="shared" si="7"/>
        <v>Regular</v>
      </c>
      <c r="G8" s="171">
        <f t="shared" si="8"/>
        <v>45078</v>
      </c>
      <c r="H8" s="207">
        <f t="shared" si="9"/>
        <v>2023</v>
      </c>
      <c r="I8" s="17" t="s">
        <v>13</v>
      </c>
      <c r="J8" s="42" t="s">
        <v>43</v>
      </c>
      <c r="K8" s="43" t="s">
        <v>18</v>
      </c>
      <c r="L8" s="43">
        <f>'Autogenerated Template'!D10</f>
        <v>5</v>
      </c>
      <c r="M8" s="43">
        <f>'Autogenerated Template'!E10</f>
        <v>2</v>
      </c>
      <c r="N8" s="43">
        <f>'Autogenerated Template'!F10</f>
        <v>0</v>
      </c>
      <c r="O8" s="43">
        <f>'Autogenerated Template'!G10</f>
        <v>0</v>
      </c>
      <c r="P8" s="43">
        <f>'Autogenerated Template'!H10</f>
        <v>0</v>
      </c>
      <c r="Q8" s="43">
        <f>'Autogenerated Template'!I10</f>
        <v>7</v>
      </c>
      <c r="R8" s="43">
        <f>'Autogenerated Template'!J10</f>
        <v>0</v>
      </c>
      <c r="S8" s="43">
        <f>'Autogenerated Template'!K10</f>
        <v>0</v>
      </c>
      <c r="T8" s="43">
        <f>'Autogenerated Template'!L10</f>
        <v>0</v>
      </c>
      <c r="U8" s="43">
        <f>'Autogenerated Template'!M10</f>
        <v>0</v>
      </c>
      <c r="V8" s="43">
        <f>'Autogenerated Template'!N10</f>
        <v>0</v>
      </c>
      <c r="W8" s="43">
        <f>'Autogenerated Template'!O10</f>
        <v>0</v>
      </c>
      <c r="X8" s="43">
        <f>'Autogenerated Template'!P10</f>
        <v>0</v>
      </c>
      <c r="Y8" s="43">
        <f>'Autogenerated Template'!Q10</f>
        <v>0</v>
      </c>
      <c r="Z8" s="43">
        <f>'Autogenerated Template'!R10</f>
        <v>0</v>
      </c>
      <c r="AA8" s="43">
        <f>'Autogenerated Template'!S10</f>
        <v>0</v>
      </c>
      <c r="AB8" s="43">
        <f>'Autogenerated Template'!T10</f>
        <v>7</v>
      </c>
      <c r="AC8" s="43">
        <f>'Autogenerated Template'!U10</f>
        <v>7</v>
      </c>
      <c r="AD8" s="16" t="str">
        <f t="shared" si="10"/>
        <v>Zone B</v>
      </c>
      <c r="AE8" s="16" t="str">
        <f t="shared" si="1"/>
        <v>Category Edited</v>
      </c>
      <c r="AF8" s="16">
        <f>JudgeProfile!$W$2</f>
        <v>900</v>
      </c>
      <c r="AG8" s="16">
        <f>JudgeProfile!$V$2</f>
        <v>900</v>
      </c>
      <c r="AH8" s="16" t="str">
        <f>JudgeProfile!$Q$2</f>
        <v>1 - Remains in this court full month</v>
      </c>
      <c r="AI8" s="16" t="str">
        <f>JudgeProfile!$U$2</f>
        <v>Addl: District &amp; Sessions Judge (Both Civil and Criminal Matter)</v>
      </c>
      <c r="AJ8" s="16" t="str">
        <f>JudgeProfile!$Z$2</f>
        <v>Sessions Court</v>
      </c>
    </row>
    <row r="9" spans="1:36" ht="15.75">
      <c r="A9" s="17" t="str">
        <f t="shared" si="2"/>
        <v>PHC0290-73-1</v>
      </c>
      <c r="B9" s="17" t="str">
        <f t="shared" si="3"/>
        <v>Mr Amin Said</v>
      </c>
      <c r="C9" s="17" t="str">
        <f t="shared" si="4"/>
        <v>Addl: District &amp; Sessions Judge</v>
      </c>
      <c r="D9" s="17" t="str">
        <f t="shared" si="5"/>
        <v>ADSJ-1</v>
      </c>
      <c r="E9" s="17" t="str">
        <f t="shared" si="6"/>
        <v>Lower Dir - Timergara</v>
      </c>
      <c r="F9" s="17" t="str">
        <f t="shared" si="7"/>
        <v>Regular</v>
      </c>
      <c r="G9" s="171">
        <f t="shared" si="8"/>
        <v>45078</v>
      </c>
      <c r="H9" s="207">
        <f t="shared" si="9"/>
        <v>2023</v>
      </c>
      <c r="I9" s="17" t="s">
        <v>13</v>
      </c>
      <c r="J9" s="42" t="s">
        <v>44</v>
      </c>
      <c r="K9" s="43" t="s">
        <v>19</v>
      </c>
      <c r="L9" s="43">
        <f>'Autogenerated Template'!D11</f>
        <v>0</v>
      </c>
      <c r="M9" s="43">
        <f>'Autogenerated Template'!E11</f>
        <v>0</v>
      </c>
      <c r="N9" s="43">
        <f>'Autogenerated Template'!F11</f>
        <v>0</v>
      </c>
      <c r="O9" s="43">
        <f>'Autogenerated Template'!G11</f>
        <v>0</v>
      </c>
      <c r="P9" s="43">
        <f>'Autogenerated Template'!H11</f>
        <v>0</v>
      </c>
      <c r="Q9" s="43">
        <f>'Autogenerated Template'!I11</f>
        <v>0</v>
      </c>
      <c r="R9" s="43">
        <f>'Autogenerated Template'!J11</f>
        <v>0</v>
      </c>
      <c r="S9" s="43">
        <f>'Autogenerated Template'!K11</f>
        <v>0</v>
      </c>
      <c r="T9" s="43">
        <f>'Autogenerated Template'!L11</f>
        <v>0</v>
      </c>
      <c r="U9" s="43">
        <f>'Autogenerated Template'!M11</f>
        <v>0</v>
      </c>
      <c r="V9" s="43">
        <f>'Autogenerated Template'!N11</f>
        <v>0</v>
      </c>
      <c r="W9" s="43">
        <f>'Autogenerated Template'!O11</f>
        <v>0</v>
      </c>
      <c r="X9" s="43">
        <f>'Autogenerated Template'!P11</f>
        <v>0</v>
      </c>
      <c r="Y9" s="43">
        <f>'Autogenerated Template'!Q11</f>
        <v>0</v>
      </c>
      <c r="Z9" s="43">
        <f>'Autogenerated Template'!R11</f>
        <v>0</v>
      </c>
      <c r="AA9" s="43">
        <f>'Autogenerated Template'!S11</f>
        <v>0</v>
      </c>
      <c r="AB9" s="43">
        <f>'Autogenerated Template'!T11</f>
        <v>0</v>
      </c>
      <c r="AC9" s="43">
        <f>'Autogenerated Template'!U11</f>
        <v>0</v>
      </c>
      <c r="AD9" s="16" t="str">
        <f t="shared" si="10"/>
        <v>Zone B</v>
      </c>
      <c r="AE9" s="16" t="str">
        <f t="shared" si="1"/>
        <v>Category Not Edited</v>
      </c>
      <c r="AF9" s="16">
        <f>JudgeProfile!$W$2</f>
        <v>900</v>
      </c>
      <c r="AG9" s="16">
        <f>JudgeProfile!$V$2</f>
        <v>900</v>
      </c>
      <c r="AH9" s="16" t="str">
        <f>JudgeProfile!$Q$2</f>
        <v>1 - Remains in this court full month</v>
      </c>
      <c r="AI9" s="16" t="str">
        <f>JudgeProfile!$U$2</f>
        <v>Addl: District &amp; Sessions Judge (Both Civil and Criminal Matter)</v>
      </c>
      <c r="AJ9" s="16" t="str">
        <f>JudgeProfile!$Z$2</f>
        <v>Sessions Court</v>
      </c>
    </row>
    <row r="10" spans="1:36" ht="15.75">
      <c r="A10" s="17" t="str">
        <f t="shared" si="2"/>
        <v>PHC0290-73-1</v>
      </c>
      <c r="B10" s="17" t="str">
        <f t="shared" si="3"/>
        <v>Mr Amin Said</v>
      </c>
      <c r="C10" s="17" t="str">
        <f t="shared" si="4"/>
        <v>Addl: District &amp; Sessions Judge</v>
      </c>
      <c r="D10" s="17" t="str">
        <f t="shared" si="5"/>
        <v>ADSJ-1</v>
      </c>
      <c r="E10" s="17" t="str">
        <f t="shared" si="6"/>
        <v>Lower Dir - Timergara</v>
      </c>
      <c r="F10" s="17" t="str">
        <f t="shared" si="7"/>
        <v>Regular</v>
      </c>
      <c r="G10" s="171">
        <f t="shared" si="8"/>
        <v>45078</v>
      </c>
      <c r="H10" s="207">
        <f t="shared" si="9"/>
        <v>2023</v>
      </c>
      <c r="I10" s="17" t="s">
        <v>13</v>
      </c>
      <c r="J10" s="42" t="s">
        <v>45</v>
      </c>
      <c r="K10" s="43" t="s">
        <v>1539</v>
      </c>
      <c r="L10" s="43">
        <f>'Autogenerated Template'!D12</f>
        <v>16</v>
      </c>
      <c r="M10" s="43">
        <f>'Autogenerated Template'!E12</f>
        <v>0</v>
      </c>
      <c r="N10" s="43">
        <f>'Autogenerated Template'!F12</f>
        <v>0</v>
      </c>
      <c r="O10" s="43">
        <f>'Autogenerated Template'!G12</f>
        <v>0</v>
      </c>
      <c r="P10" s="43">
        <f>'Autogenerated Template'!H12</f>
        <v>0</v>
      </c>
      <c r="Q10" s="43">
        <f>'Autogenerated Template'!I12</f>
        <v>16</v>
      </c>
      <c r="R10" s="43">
        <f>'Autogenerated Template'!J12</f>
        <v>0</v>
      </c>
      <c r="S10" s="43">
        <f>'Autogenerated Template'!K12</f>
        <v>0</v>
      </c>
      <c r="T10" s="43">
        <f>'Autogenerated Template'!L12</f>
        <v>0</v>
      </c>
      <c r="U10" s="43">
        <f>'Autogenerated Template'!M12</f>
        <v>0</v>
      </c>
      <c r="V10" s="43">
        <f>'Autogenerated Template'!N12</f>
        <v>0</v>
      </c>
      <c r="W10" s="43">
        <f>'Autogenerated Template'!O12</f>
        <v>0</v>
      </c>
      <c r="X10" s="43">
        <f>'Autogenerated Template'!P12</f>
        <v>0</v>
      </c>
      <c r="Y10" s="43">
        <f>'Autogenerated Template'!Q12</f>
        <v>0</v>
      </c>
      <c r="Z10" s="43">
        <f>'Autogenerated Template'!R12</f>
        <v>0</v>
      </c>
      <c r="AA10" s="43">
        <f>'Autogenerated Template'!S12</f>
        <v>0</v>
      </c>
      <c r="AB10" s="43">
        <f>'Autogenerated Template'!T12</f>
        <v>16</v>
      </c>
      <c r="AC10" s="43">
        <f>'Autogenerated Template'!U12</f>
        <v>16</v>
      </c>
      <c r="AD10" s="16" t="str">
        <f t="shared" si="10"/>
        <v>Zone B</v>
      </c>
      <c r="AE10" s="16" t="str">
        <f t="shared" si="1"/>
        <v>Category Edited</v>
      </c>
      <c r="AF10" s="16">
        <f>JudgeProfile!$W$2</f>
        <v>900</v>
      </c>
      <c r="AG10" s="16">
        <f>JudgeProfile!$V$2</f>
        <v>900</v>
      </c>
      <c r="AH10" s="16" t="str">
        <f>JudgeProfile!$Q$2</f>
        <v>1 - Remains in this court full month</v>
      </c>
      <c r="AI10" s="16" t="str">
        <f>JudgeProfile!$U$2</f>
        <v>Addl: District &amp; Sessions Judge (Both Civil and Criminal Matter)</v>
      </c>
      <c r="AJ10" s="16" t="str">
        <f>JudgeProfile!$Z$2</f>
        <v>Sessions Court</v>
      </c>
    </row>
    <row r="11" spans="1:36" ht="15.75">
      <c r="A11" s="17" t="str">
        <f t="shared" si="2"/>
        <v>PHC0290-73-1</v>
      </c>
      <c r="B11" s="17" t="str">
        <f t="shared" si="3"/>
        <v>Mr Amin Said</v>
      </c>
      <c r="C11" s="17" t="str">
        <f t="shared" si="4"/>
        <v>Addl: District &amp; Sessions Judge</v>
      </c>
      <c r="D11" s="17" t="str">
        <f t="shared" si="5"/>
        <v>ADSJ-1</v>
      </c>
      <c r="E11" s="17" t="str">
        <f t="shared" si="6"/>
        <v>Lower Dir - Timergara</v>
      </c>
      <c r="F11" s="17" t="str">
        <f t="shared" si="7"/>
        <v>Regular</v>
      </c>
      <c r="G11" s="171">
        <f t="shared" si="8"/>
        <v>45078</v>
      </c>
      <c r="H11" s="207">
        <f t="shared" si="9"/>
        <v>2023</v>
      </c>
      <c r="I11" s="17" t="s">
        <v>13</v>
      </c>
      <c r="J11" s="42" t="s">
        <v>46</v>
      </c>
      <c r="K11" s="43" t="s">
        <v>20</v>
      </c>
      <c r="L11" s="43">
        <f>'Autogenerated Template'!D13</f>
        <v>0</v>
      </c>
      <c r="M11" s="43">
        <f>'Autogenerated Template'!E13</f>
        <v>0</v>
      </c>
      <c r="N11" s="43">
        <f>'Autogenerated Template'!F13</f>
        <v>0</v>
      </c>
      <c r="O11" s="43">
        <f>'Autogenerated Template'!G13</f>
        <v>0</v>
      </c>
      <c r="P11" s="43">
        <f>'Autogenerated Template'!H13</f>
        <v>0</v>
      </c>
      <c r="Q11" s="43">
        <f>'Autogenerated Template'!I13</f>
        <v>0</v>
      </c>
      <c r="R11" s="43">
        <f>'Autogenerated Template'!J13</f>
        <v>0</v>
      </c>
      <c r="S11" s="43">
        <f>'Autogenerated Template'!K13</f>
        <v>0</v>
      </c>
      <c r="T11" s="43">
        <f>'Autogenerated Template'!L13</f>
        <v>0</v>
      </c>
      <c r="U11" s="43">
        <f>'Autogenerated Template'!M13</f>
        <v>0</v>
      </c>
      <c r="V11" s="43">
        <f>'Autogenerated Template'!N13</f>
        <v>0</v>
      </c>
      <c r="W11" s="43">
        <f>'Autogenerated Template'!O13</f>
        <v>0</v>
      </c>
      <c r="X11" s="43">
        <f>'Autogenerated Template'!P13</f>
        <v>0</v>
      </c>
      <c r="Y11" s="43">
        <f>'Autogenerated Template'!Q13</f>
        <v>0</v>
      </c>
      <c r="Z11" s="43">
        <f>'Autogenerated Template'!R13</f>
        <v>0</v>
      </c>
      <c r="AA11" s="43">
        <f>'Autogenerated Template'!S13</f>
        <v>0</v>
      </c>
      <c r="AB11" s="43">
        <f>'Autogenerated Template'!T13</f>
        <v>0</v>
      </c>
      <c r="AC11" s="43">
        <f>'Autogenerated Template'!U13</f>
        <v>0</v>
      </c>
      <c r="AD11" s="16" t="str">
        <f t="shared" si="10"/>
        <v>Zone B</v>
      </c>
      <c r="AE11" s="16" t="str">
        <f t="shared" si="1"/>
        <v>Category Not Edited</v>
      </c>
      <c r="AF11" s="16">
        <f>JudgeProfile!$W$2</f>
        <v>900</v>
      </c>
      <c r="AG11" s="16">
        <f>JudgeProfile!$V$2</f>
        <v>900</v>
      </c>
      <c r="AH11" s="16" t="str">
        <f>JudgeProfile!$Q$2</f>
        <v>1 - Remains in this court full month</v>
      </c>
      <c r="AI11" s="16" t="str">
        <f>JudgeProfile!$U$2</f>
        <v>Addl: District &amp; Sessions Judge (Both Civil and Criminal Matter)</v>
      </c>
      <c r="AJ11" s="16" t="str">
        <f>JudgeProfile!$Z$2</f>
        <v>Sessions Court</v>
      </c>
    </row>
    <row r="12" spans="1:36" ht="31.5">
      <c r="A12" s="17" t="str">
        <f t="shared" si="2"/>
        <v>PHC0290-73-1</v>
      </c>
      <c r="B12" s="17" t="str">
        <f t="shared" si="3"/>
        <v>Mr Amin Said</v>
      </c>
      <c r="C12" s="17" t="str">
        <f t="shared" si="4"/>
        <v>Addl: District &amp; Sessions Judge</v>
      </c>
      <c r="D12" s="17" t="str">
        <f t="shared" si="5"/>
        <v>ADSJ-1</v>
      </c>
      <c r="E12" s="17" t="str">
        <f t="shared" si="6"/>
        <v>Lower Dir - Timergara</v>
      </c>
      <c r="F12" s="17" t="str">
        <f t="shared" si="7"/>
        <v>Regular</v>
      </c>
      <c r="G12" s="171">
        <f t="shared" si="8"/>
        <v>45078</v>
      </c>
      <c r="H12" s="207">
        <f t="shared" si="9"/>
        <v>2023</v>
      </c>
      <c r="I12" s="17" t="s">
        <v>13</v>
      </c>
      <c r="J12" s="42" t="s">
        <v>47</v>
      </c>
      <c r="K12" s="43" t="s">
        <v>1878</v>
      </c>
      <c r="L12" s="43">
        <f>'Autogenerated Template'!D14</f>
        <v>0</v>
      </c>
      <c r="M12" s="43">
        <f>'Autogenerated Template'!E14</f>
        <v>0</v>
      </c>
      <c r="N12" s="43">
        <f>'Autogenerated Template'!F14</f>
        <v>0</v>
      </c>
      <c r="O12" s="43">
        <f>'Autogenerated Template'!G14</f>
        <v>0</v>
      </c>
      <c r="P12" s="43">
        <f>'Autogenerated Template'!H14</f>
        <v>0</v>
      </c>
      <c r="Q12" s="43">
        <f>'Autogenerated Template'!I14</f>
        <v>0</v>
      </c>
      <c r="R12" s="43">
        <f>'Autogenerated Template'!J14</f>
        <v>0</v>
      </c>
      <c r="S12" s="43">
        <f>'Autogenerated Template'!K14</f>
        <v>0</v>
      </c>
      <c r="T12" s="43">
        <f>'Autogenerated Template'!L14</f>
        <v>0</v>
      </c>
      <c r="U12" s="43">
        <f>'Autogenerated Template'!M14</f>
        <v>0</v>
      </c>
      <c r="V12" s="43">
        <f>'Autogenerated Template'!N14</f>
        <v>0</v>
      </c>
      <c r="W12" s="43">
        <f>'Autogenerated Template'!O14</f>
        <v>0</v>
      </c>
      <c r="X12" s="43">
        <f>'Autogenerated Template'!P14</f>
        <v>0</v>
      </c>
      <c r="Y12" s="43">
        <f>'Autogenerated Template'!Q14</f>
        <v>0</v>
      </c>
      <c r="Z12" s="43">
        <f>'Autogenerated Template'!R14</f>
        <v>0</v>
      </c>
      <c r="AA12" s="43">
        <f>'Autogenerated Template'!S14</f>
        <v>0</v>
      </c>
      <c r="AB12" s="43">
        <f>'Autogenerated Template'!T14</f>
        <v>0</v>
      </c>
      <c r="AC12" s="43">
        <f>'Autogenerated Template'!U14</f>
        <v>0</v>
      </c>
      <c r="AD12" s="16" t="str">
        <f t="shared" si="10"/>
        <v>Zone B</v>
      </c>
      <c r="AE12" s="16" t="str">
        <f t="shared" si="1"/>
        <v>Category Not Edited</v>
      </c>
      <c r="AF12" s="16">
        <f>JudgeProfile!$W$2</f>
        <v>900</v>
      </c>
      <c r="AG12" s="16">
        <f>JudgeProfile!$V$2</f>
        <v>900</v>
      </c>
      <c r="AH12" s="16" t="str">
        <f>JudgeProfile!$Q$2</f>
        <v>1 - Remains in this court full month</v>
      </c>
      <c r="AI12" s="16" t="str">
        <f>JudgeProfile!$U$2</f>
        <v>Addl: District &amp; Sessions Judge (Both Civil and Criminal Matter)</v>
      </c>
      <c r="AJ12" s="16" t="str">
        <f>JudgeProfile!$Z$2</f>
        <v>Sessions Court</v>
      </c>
    </row>
    <row r="13" spans="1:36" ht="15.75">
      <c r="A13" s="17" t="str">
        <f t="shared" si="2"/>
        <v>PHC0290-73-1</v>
      </c>
      <c r="B13" s="17" t="str">
        <f t="shared" si="3"/>
        <v>Mr Amin Said</v>
      </c>
      <c r="C13" s="17" t="str">
        <f t="shared" si="4"/>
        <v>Addl: District &amp; Sessions Judge</v>
      </c>
      <c r="D13" s="17" t="str">
        <f t="shared" si="5"/>
        <v>ADSJ-1</v>
      </c>
      <c r="E13" s="17" t="str">
        <f t="shared" si="6"/>
        <v>Lower Dir - Timergara</v>
      </c>
      <c r="F13" s="17" t="str">
        <f t="shared" si="7"/>
        <v>Regular</v>
      </c>
      <c r="G13" s="171">
        <f t="shared" si="8"/>
        <v>45078</v>
      </c>
      <c r="H13" s="207">
        <f t="shared" si="9"/>
        <v>2023</v>
      </c>
      <c r="I13" s="17" t="s">
        <v>13</v>
      </c>
      <c r="J13" s="42" t="s">
        <v>48</v>
      </c>
      <c r="K13" s="43" t="s">
        <v>21</v>
      </c>
      <c r="L13" s="43">
        <f>'Autogenerated Template'!D15</f>
        <v>0</v>
      </c>
      <c r="M13" s="43">
        <f>'Autogenerated Template'!E15</f>
        <v>0</v>
      </c>
      <c r="N13" s="43">
        <f>'Autogenerated Template'!F15</f>
        <v>0</v>
      </c>
      <c r="O13" s="43">
        <f>'Autogenerated Template'!G15</f>
        <v>0</v>
      </c>
      <c r="P13" s="43">
        <f>'Autogenerated Template'!H15</f>
        <v>0</v>
      </c>
      <c r="Q13" s="43">
        <f>'Autogenerated Template'!I15</f>
        <v>0</v>
      </c>
      <c r="R13" s="43">
        <f>'Autogenerated Template'!J15</f>
        <v>0</v>
      </c>
      <c r="S13" s="43">
        <f>'Autogenerated Template'!K15</f>
        <v>0</v>
      </c>
      <c r="T13" s="43">
        <f>'Autogenerated Template'!L15</f>
        <v>0</v>
      </c>
      <c r="U13" s="43">
        <f>'Autogenerated Template'!M15</f>
        <v>0</v>
      </c>
      <c r="V13" s="43">
        <f>'Autogenerated Template'!N15</f>
        <v>0</v>
      </c>
      <c r="W13" s="43">
        <f>'Autogenerated Template'!O15</f>
        <v>0</v>
      </c>
      <c r="X13" s="43">
        <f>'Autogenerated Template'!P15</f>
        <v>0</v>
      </c>
      <c r="Y13" s="43">
        <f>'Autogenerated Template'!Q15</f>
        <v>0</v>
      </c>
      <c r="Z13" s="43">
        <f>'Autogenerated Template'!R15</f>
        <v>0</v>
      </c>
      <c r="AA13" s="43">
        <f>'Autogenerated Template'!S15</f>
        <v>0</v>
      </c>
      <c r="AB13" s="43">
        <f>'Autogenerated Template'!T15</f>
        <v>0</v>
      </c>
      <c r="AC13" s="43">
        <f>'Autogenerated Template'!U15</f>
        <v>0</v>
      </c>
      <c r="AD13" s="16" t="str">
        <f t="shared" si="10"/>
        <v>Zone B</v>
      </c>
      <c r="AE13" s="16" t="str">
        <f t="shared" si="1"/>
        <v>Category Not Edited</v>
      </c>
      <c r="AF13" s="16">
        <f>JudgeProfile!$W$2</f>
        <v>900</v>
      </c>
      <c r="AG13" s="16">
        <f>JudgeProfile!$V$2</f>
        <v>900</v>
      </c>
      <c r="AH13" s="16" t="str">
        <f>JudgeProfile!$Q$2</f>
        <v>1 - Remains in this court full month</v>
      </c>
      <c r="AI13" s="16" t="str">
        <f>JudgeProfile!$U$2</f>
        <v>Addl: District &amp; Sessions Judge (Both Civil and Criminal Matter)</v>
      </c>
      <c r="AJ13" s="16" t="str">
        <f>JudgeProfile!$Z$2</f>
        <v>Sessions Court</v>
      </c>
    </row>
    <row r="14" spans="1:36" ht="15.75">
      <c r="A14" s="17" t="str">
        <f t="shared" si="2"/>
        <v>PHC0290-73-1</v>
      </c>
      <c r="B14" s="17" t="str">
        <f t="shared" si="3"/>
        <v>Mr Amin Said</v>
      </c>
      <c r="C14" s="17" t="str">
        <f t="shared" si="4"/>
        <v>Addl: District &amp; Sessions Judge</v>
      </c>
      <c r="D14" s="17" t="str">
        <f t="shared" si="5"/>
        <v>ADSJ-1</v>
      </c>
      <c r="E14" s="17" t="str">
        <f t="shared" si="6"/>
        <v>Lower Dir - Timergara</v>
      </c>
      <c r="F14" s="17" t="str">
        <f t="shared" si="7"/>
        <v>Regular</v>
      </c>
      <c r="G14" s="171">
        <f t="shared" si="8"/>
        <v>45078</v>
      </c>
      <c r="H14" s="207">
        <f t="shared" si="9"/>
        <v>2023</v>
      </c>
      <c r="I14" s="17" t="s">
        <v>13</v>
      </c>
      <c r="J14" s="42" t="s">
        <v>49</v>
      </c>
      <c r="K14" s="43" t="s">
        <v>22</v>
      </c>
      <c r="L14" s="43">
        <f>'Autogenerated Template'!D16</f>
        <v>6</v>
      </c>
      <c r="M14" s="43">
        <f>'Autogenerated Template'!E16</f>
        <v>1</v>
      </c>
      <c r="N14" s="43">
        <f>'Autogenerated Template'!F16</f>
        <v>0</v>
      </c>
      <c r="O14" s="43">
        <f>'Autogenerated Template'!G16</f>
        <v>0</v>
      </c>
      <c r="P14" s="43">
        <f>'Autogenerated Template'!H16</f>
        <v>0</v>
      </c>
      <c r="Q14" s="43">
        <f>'Autogenerated Template'!I16</f>
        <v>7</v>
      </c>
      <c r="R14" s="43">
        <f>'Autogenerated Template'!J16</f>
        <v>0</v>
      </c>
      <c r="S14" s="43">
        <f>'Autogenerated Template'!K16</f>
        <v>0</v>
      </c>
      <c r="T14" s="43">
        <f>'Autogenerated Template'!L16</f>
        <v>0</v>
      </c>
      <c r="U14" s="43">
        <f>'Autogenerated Template'!M16</f>
        <v>0</v>
      </c>
      <c r="V14" s="43">
        <f>'Autogenerated Template'!N16</f>
        <v>0</v>
      </c>
      <c r="W14" s="43">
        <f>'Autogenerated Template'!O16</f>
        <v>0</v>
      </c>
      <c r="X14" s="43">
        <f>'Autogenerated Template'!P16</f>
        <v>0</v>
      </c>
      <c r="Y14" s="43">
        <f>'Autogenerated Template'!Q16</f>
        <v>0</v>
      </c>
      <c r="Z14" s="43">
        <f>'Autogenerated Template'!R16</f>
        <v>0</v>
      </c>
      <c r="AA14" s="43">
        <f>'Autogenerated Template'!S16</f>
        <v>3</v>
      </c>
      <c r="AB14" s="43">
        <f>'Autogenerated Template'!T16</f>
        <v>4</v>
      </c>
      <c r="AC14" s="43">
        <f>'Autogenerated Template'!U16</f>
        <v>7</v>
      </c>
      <c r="AD14" s="16" t="str">
        <f t="shared" si="10"/>
        <v>Zone B</v>
      </c>
      <c r="AE14" s="16" t="str">
        <f t="shared" si="1"/>
        <v>Category Edited</v>
      </c>
      <c r="AF14" s="16">
        <f>JudgeProfile!$W$2</f>
        <v>900</v>
      </c>
      <c r="AG14" s="16">
        <f>JudgeProfile!$V$2</f>
        <v>900</v>
      </c>
      <c r="AH14" s="16" t="str">
        <f>JudgeProfile!$Q$2</f>
        <v>1 - Remains in this court full month</v>
      </c>
      <c r="AI14" s="16" t="str">
        <f>JudgeProfile!$U$2</f>
        <v>Addl: District &amp; Sessions Judge (Both Civil and Criminal Matter)</v>
      </c>
      <c r="AJ14" s="16" t="str">
        <f>JudgeProfile!$Z$2</f>
        <v>Sessions Court</v>
      </c>
    </row>
    <row r="15" spans="1:36" ht="15.75">
      <c r="A15" s="17" t="str">
        <f t="shared" si="2"/>
        <v>PHC0290-73-1</v>
      </c>
      <c r="B15" s="17" t="str">
        <f t="shared" si="3"/>
        <v>Mr Amin Said</v>
      </c>
      <c r="C15" s="17" t="str">
        <f t="shared" si="4"/>
        <v>Addl: District &amp; Sessions Judge</v>
      </c>
      <c r="D15" s="17" t="str">
        <f t="shared" si="5"/>
        <v>ADSJ-1</v>
      </c>
      <c r="E15" s="17" t="str">
        <f t="shared" si="6"/>
        <v>Lower Dir - Timergara</v>
      </c>
      <c r="F15" s="17" t="str">
        <f t="shared" si="7"/>
        <v>Regular</v>
      </c>
      <c r="G15" s="171">
        <f t="shared" si="8"/>
        <v>45078</v>
      </c>
      <c r="H15" s="207">
        <f t="shared" si="9"/>
        <v>2023</v>
      </c>
      <c r="I15" s="17" t="s">
        <v>13</v>
      </c>
      <c r="J15" s="42" t="s">
        <v>50</v>
      </c>
      <c r="K15" s="43" t="s">
        <v>1543</v>
      </c>
      <c r="L15" s="43">
        <f>'Autogenerated Template'!D17</f>
        <v>94</v>
      </c>
      <c r="M15" s="43">
        <f>'Autogenerated Template'!E17</f>
        <v>1</v>
      </c>
      <c r="N15" s="43">
        <f>'Autogenerated Template'!F17</f>
        <v>0</v>
      </c>
      <c r="O15" s="43">
        <f>'Autogenerated Template'!G17</f>
        <v>0</v>
      </c>
      <c r="P15" s="43">
        <f>'Autogenerated Template'!H17</f>
        <v>0</v>
      </c>
      <c r="Q15" s="43">
        <f>'Autogenerated Template'!I17</f>
        <v>95</v>
      </c>
      <c r="R15" s="43">
        <f>'Autogenerated Template'!J17</f>
        <v>0</v>
      </c>
      <c r="S15" s="43">
        <f>'Autogenerated Template'!K17</f>
        <v>1</v>
      </c>
      <c r="T15" s="43">
        <f>'Autogenerated Template'!L17</f>
        <v>0</v>
      </c>
      <c r="U15" s="43">
        <f>'Autogenerated Template'!M17</f>
        <v>0</v>
      </c>
      <c r="V15" s="43">
        <f>'Autogenerated Template'!N17</f>
        <v>1</v>
      </c>
      <c r="W15" s="43">
        <f>'Autogenerated Template'!O17</f>
        <v>0</v>
      </c>
      <c r="X15" s="43">
        <f>'Autogenerated Template'!P17</f>
        <v>1</v>
      </c>
      <c r="Y15" s="43">
        <f>'Autogenerated Template'!Q17</f>
        <v>1</v>
      </c>
      <c r="Z15" s="43">
        <f>'Autogenerated Template'!R17</f>
        <v>0</v>
      </c>
      <c r="AA15" s="43">
        <f>'Autogenerated Template'!S17</f>
        <v>0</v>
      </c>
      <c r="AB15" s="43">
        <f>'Autogenerated Template'!T17</f>
        <v>94</v>
      </c>
      <c r="AC15" s="43">
        <f>'Autogenerated Template'!U17</f>
        <v>94</v>
      </c>
      <c r="AD15" s="16" t="str">
        <f t="shared" si="10"/>
        <v>Zone B</v>
      </c>
      <c r="AE15" s="16" t="str">
        <f t="shared" si="1"/>
        <v>Category Edited</v>
      </c>
      <c r="AF15" s="16">
        <f>JudgeProfile!$W$2</f>
        <v>900</v>
      </c>
      <c r="AG15" s="16">
        <f>JudgeProfile!$V$2</f>
        <v>900</v>
      </c>
      <c r="AH15" s="16" t="str">
        <f>JudgeProfile!$Q$2</f>
        <v>1 - Remains in this court full month</v>
      </c>
      <c r="AI15" s="16" t="str">
        <f>JudgeProfile!$U$2</f>
        <v>Addl: District &amp; Sessions Judge (Both Civil and Criminal Matter)</v>
      </c>
      <c r="AJ15" s="16" t="str">
        <f>JudgeProfile!$Z$2</f>
        <v>Sessions Court</v>
      </c>
    </row>
    <row r="16" spans="1:36" ht="15.75">
      <c r="A16" s="17" t="str">
        <f t="shared" si="2"/>
        <v>PHC0290-73-1</v>
      </c>
      <c r="B16" s="17" t="str">
        <f t="shared" si="3"/>
        <v>Mr Amin Said</v>
      </c>
      <c r="C16" s="17" t="str">
        <f t="shared" si="4"/>
        <v>Addl: District &amp; Sessions Judge</v>
      </c>
      <c r="D16" s="17" t="str">
        <f t="shared" si="5"/>
        <v>ADSJ-1</v>
      </c>
      <c r="E16" s="17" t="str">
        <f t="shared" si="6"/>
        <v>Lower Dir - Timergara</v>
      </c>
      <c r="F16" s="17" t="str">
        <f t="shared" si="7"/>
        <v>Regular</v>
      </c>
      <c r="G16" s="171">
        <f t="shared" si="8"/>
        <v>45078</v>
      </c>
      <c r="H16" s="207">
        <f t="shared" si="9"/>
        <v>2023</v>
      </c>
      <c r="I16" s="17" t="s">
        <v>13</v>
      </c>
      <c r="J16" s="42" t="s">
        <v>51</v>
      </c>
      <c r="K16" s="43" t="s">
        <v>1544</v>
      </c>
      <c r="L16" s="43">
        <f>'Autogenerated Template'!D18</f>
        <v>0</v>
      </c>
      <c r="M16" s="43">
        <f>'Autogenerated Template'!E18</f>
        <v>0</v>
      </c>
      <c r="N16" s="43">
        <f>'Autogenerated Template'!F18</f>
        <v>0</v>
      </c>
      <c r="O16" s="43">
        <f>'Autogenerated Template'!G18</f>
        <v>0</v>
      </c>
      <c r="P16" s="43">
        <f>'Autogenerated Template'!H18</f>
        <v>0</v>
      </c>
      <c r="Q16" s="43">
        <f>'Autogenerated Template'!I18</f>
        <v>0</v>
      </c>
      <c r="R16" s="43">
        <f>'Autogenerated Template'!J18</f>
        <v>0</v>
      </c>
      <c r="S16" s="43">
        <f>'Autogenerated Template'!K18</f>
        <v>0</v>
      </c>
      <c r="T16" s="43">
        <f>'Autogenerated Template'!L18</f>
        <v>0</v>
      </c>
      <c r="U16" s="43">
        <f>'Autogenerated Template'!M18</f>
        <v>0</v>
      </c>
      <c r="V16" s="43">
        <f>'Autogenerated Template'!N18</f>
        <v>0</v>
      </c>
      <c r="W16" s="43">
        <f>'Autogenerated Template'!O18</f>
        <v>0</v>
      </c>
      <c r="X16" s="43">
        <f>'Autogenerated Template'!P18</f>
        <v>0</v>
      </c>
      <c r="Y16" s="43">
        <f>'Autogenerated Template'!Q18</f>
        <v>0</v>
      </c>
      <c r="Z16" s="43">
        <f>'Autogenerated Template'!R18</f>
        <v>0</v>
      </c>
      <c r="AA16" s="43">
        <f>'Autogenerated Template'!S18</f>
        <v>0</v>
      </c>
      <c r="AB16" s="43">
        <f>'Autogenerated Template'!T18</f>
        <v>0</v>
      </c>
      <c r="AC16" s="43">
        <f>'Autogenerated Template'!U18</f>
        <v>0</v>
      </c>
      <c r="AD16" s="16" t="str">
        <f t="shared" si="10"/>
        <v>Zone B</v>
      </c>
      <c r="AE16" s="16" t="str">
        <f t="shared" si="1"/>
        <v>Category Not Edited</v>
      </c>
      <c r="AF16" s="16">
        <f>JudgeProfile!$W$2</f>
        <v>900</v>
      </c>
      <c r="AG16" s="16">
        <f>JudgeProfile!$V$2</f>
        <v>900</v>
      </c>
      <c r="AH16" s="16" t="str">
        <f>JudgeProfile!$Q$2</f>
        <v>1 - Remains in this court full month</v>
      </c>
      <c r="AI16" s="16" t="str">
        <f>JudgeProfile!$U$2</f>
        <v>Addl: District &amp; Sessions Judge (Both Civil and Criminal Matter)</v>
      </c>
      <c r="AJ16" s="16" t="str">
        <f>JudgeProfile!$Z$2</f>
        <v>Sessions Court</v>
      </c>
    </row>
    <row r="17" spans="1:36" ht="15.75">
      <c r="A17" s="17" t="str">
        <f t="shared" si="2"/>
        <v>PHC0290-73-1</v>
      </c>
      <c r="B17" s="17" t="str">
        <f t="shared" si="3"/>
        <v>Mr Amin Said</v>
      </c>
      <c r="C17" s="17" t="str">
        <f t="shared" si="4"/>
        <v>Addl: District &amp; Sessions Judge</v>
      </c>
      <c r="D17" s="17" t="str">
        <f t="shared" si="5"/>
        <v>ADSJ-1</v>
      </c>
      <c r="E17" s="17" t="str">
        <f t="shared" si="6"/>
        <v>Lower Dir - Timergara</v>
      </c>
      <c r="F17" s="17" t="str">
        <f t="shared" si="7"/>
        <v>Regular</v>
      </c>
      <c r="G17" s="171">
        <f t="shared" si="8"/>
        <v>45078</v>
      </c>
      <c r="H17" s="207">
        <f t="shared" si="9"/>
        <v>2023</v>
      </c>
      <c r="I17" s="17" t="s">
        <v>13</v>
      </c>
      <c r="J17" s="42" t="s">
        <v>52</v>
      </c>
      <c r="K17" s="43" t="s">
        <v>23</v>
      </c>
      <c r="L17" s="43">
        <f>'Autogenerated Template'!D19</f>
        <v>1</v>
      </c>
      <c r="M17" s="43">
        <f>'Autogenerated Template'!E19</f>
        <v>3</v>
      </c>
      <c r="N17" s="43">
        <f>'Autogenerated Template'!F19</f>
        <v>0</v>
      </c>
      <c r="O17" s="43">
        <f>'Autogenerated Template'!G19</f>
        <v>0</v>
      </c>
      <c r="P17" s="43">
        <f>'Autogenerated Template'!H19</f>
        <v>0</v>
      </c>
      <c r="Q17" s="43">
        <f>'Autogenerated Template'!I19</f>
        <v>4</v>
      </c>
      <c r="R17" s="43">
        <f>'Autogenerated Template'!J19</f>
        <v>0</v>
      </c>
      <c r="S17" s="43">
        <f>'Autogenerated Template'!K19</f>
        <v>0</v>
      </c>
      <c r="T17" s="43">
        <f>'Autogenerated Template'!L19</f>
        <v>0</v>
      </c>
      <c r="U17" s="43">
        <f>'Autogenerated Template'!M19</f>
        <v>1</v>
      </c>
      <c r="V17" s="43">
        <f>'Autogenerated Template'!N19</f>
        <v>1</v>
      </c>
      <c r="W17" s="43">
        <f>'Autogenerated Template'!O19</f>
        <v>0</v>
      </c>
      <c r="X17" s="43">
        <f>'Autogenerated Template'!P19</f>
        <v>1</v>
      </c>
      <c r="Y17" s="43">
        <f>'Autogenerated Template'!Q19</f>
        <v>1</v>
      </c>
      <c r="Z17" s="43">
        <f>'Autogenerated Template'!R19</f>
        <v>0</v>
      </c>
      <c r="AA17" s="43">
        <f>'Autogenerated Template'!S19</f>
        <v>0</v>
      </c>
      <c r="AB17" s="43">
        <f>'Autogenerated Template'!T19</f>
        <v>3</v>
      </c>
      <c r="AC17" s="43">
        <f>'Autogenerated Template'!U19</f>
        <v>3</v>
      </c>
      <c r="AD17" s="16" t="str">
        <f t="shared" si="10"/>
        <v>Zone B</v>
      </c>
      <c r="AE17" s="16" t="str">
        <f t="shared" si="1"/>
        <v>Category Edited</v>
      </c>
      <c r="AF17" s="16">
        <f>JudgeProfile!$W$2</f>
        <v>900</v>
      </c>
      <c r="AG17" s="16">
        <f>JudgeProfile!$V$2</f>
        <v>900</v>
      </c>
      <c r="AH17" s="16" t="str">
        <f>JudgeProfile!$Q$2</f>
        <v>1 - Remains in this court full month</v>
      </c>
      <c r="AI17" s="16" t="str">
        <f>JudgeProfile!$U$2</f>
        <v>Addl: District &amp; Sessions Judge (Both Civil and Criminal Matter)</v>
      </c>
      <c r="AJ17" s="16" t="str">
        <f>JudgeProfile!$Z$2</f>
        <v>Sessions Court</v>
      </c>
    </row>
    <row r="18" spans="1:36" ht="15.75">
      <c r="A18" s="17" t="str">
        <f t="shared" si="2"/>
        <v>PHC0290-73-1</v>
      </c>
      <c r="B18" s="17" t="str">
        <f t="shared" si="3"/>
        <v>Mr Amin Said</v>
      </c>
      <c r="C18" s="17" t="str">
        <f t="shared" si="4"/>
        <v>Addl: District &amp; Sessions Judge</v>
      </c>
      <c r="D18" s="17" t="str">
        <f t="shared" si="5"/>
        <v>ADSJ-1</v>
      </c>
      <c r="E18" s="17" t="str">
        <f t="shared" si="6"/>
        <v>Lower Dir - Timergara</v>
      </c>
      <c r="F18" s="17" t="str">
        <f t="shared" si="7"/>
        <v>Regular</v>
      </c>
      <c r="G18" s="171">
        <f t="shared" si="8"/>
        <v>45078</v>
      </c>
      <c r="H18" s="207">
        <f t="shared" si="9"/>
        <v>2023</v>
      </c>
      <c r="I18" s="17" t="s">
        <v>13</v>
      </c>
      <c r="J18" s="42" t="s">
        <v>53</v>
      </c>
      <c r="K18" s="48" t="s">
        <v>24</v>
      </c>
      <c r="L18" s="43">
        <f>'Autogenerated Template'!D20</f>
        <v>1</v>
      </c>
      <c r="M18" s="43">
        <f>'Autogenerated Template'!E20</f>
        <v>0</v>
      </c>
      <c r="N18" s="43">
        <f>'Autogenerated Template'!F20</f>
        <v>0</v>
      </c>
      <c r="O18" s="43">
        <f>'Autogenerated Template'!G20</f>
        <v>0</v>
      </c>
      <c r="P18" s="43">
        <f>'Autogenerated Template'!H20</f>
        <v>0</v>
      </c>
      <c r="Q18" s="43">
        <f>'Autogenerated Template'!I20</f>
        <v>1</v>
      </c>
      <c r="R18" s="43">
        <f>'Autogenerated Template'!J20</f>
        <v>0</v>
      </c>
      <c r="S18" s="43">
        <f>'Autogenerated Template'!K20</f>
        <v>0</v>
      </c>
      <c r="T18" s="43">
        <f>'Autogenerated Template'!L20</f>
        <v>0</v>
      </c>
      <c r="U18" s="43">
        <f>'Autogenerated Template'!M20</f>
        <v>0</v>
      </c>
      <c r="V18" s="43">
        <f>'Autogenerated Template'!N20</f>
        <v>0</v>
      </c>
      <c r="W18" s="43">
        <f>'Autogenerated Template'!O20</f>
        <v>0</v>
      </c>
      <c r="X18" s="43">
        <f>'Autogenerated Template'!P20</f>
        <v>0</v>
      </c>
      <c r="Y18" s="43">
        <f>'Autogenerated Template'!Q20</f>
        <v>0</v>
      </c>
      <c r="Z18" s="43">
        <f>'Autogenerated Template'!R20</f>
        <v>0</v>
      </c>
      <c r="AA18" s="43">
        <f>'Autogenerated Template'!S20</f>
        <v>0</v>
      </c>
      <c r="AB18" s="43">
        <f>'Autogenerated Template'!T20</f>
        <v>1</v>
      </c>
      <c r="AC18" s="43">
        <f>'Autogenerated Template'!U20</f>
        <v>1</v>
      </c>
      <c r="AD18" s="16" t="str">
        <f t="shared" si="10"/>
        <v>Zone B</v>
      </c>
      <c r="AE18" s="16" t="str">
        <f t="shared" si="1"/>
        <v>Category Edited</v>
      </c>
      <c r="AF18" s="16">
        <f>JudgeProfile!$W$2</f>
        <v>900</v>
      </c>
      <c r="AG18" s="16">
        <f>JudgeProfile!$V$2</f>
        <v>900</v>
      </c>
      <c r="AH18" s="16" t="str">
        <f>JudgeProfile!$Q$2</f>
        <v>1 - Remains in this court full month</v>
      </c>
      <c r="AI18" s="16" t="str">
        <f>JudgeProfile!$U$2</f>
        <v>Addl: District &amp; Sessions Judge (Both Civil and Criminal Matter)</v>
      </c>
      <c r="AJ18" s="16" t="str">
        <f>JudgeProfile!$Z$2</f>
        <v>Sessions Court</v>
      </c>
    </row>
    <row r="19" spans="1:36" ht="15.75">
      <c r="A19" s="17" t="str">
        <f t="shared" si="2"/>
        <v>PHC0290-73-1</v>
      </c>
      <c r="B19" s="17" t="str">
        <f t="shared" si="3"/>
        <v>Mr Amin Said</v>
      </c>
      <c r="C19" s="17" t="str">
        <f t="shared" si="4"/>
        <v>Addl: District &amp; Sessions Judge</v>
      </c>
      <c r="D19" s="17" t="str">
        <f t="shared" si="5"/>
        <v>ADSJ-1</v>
      </c>
      <c r="E19" s="17" t="str">
        <f t="shared" si="6"/>
        <v>Lower Dir - Timergara</v>
      </c>
      <c r="F19" s="17" t="str">
        <f t="shared" si="7"/>
        <v>Regular</v>
      </c>
      <c r="G19" s="171">
        <f t="shared" si="8"/>
        <v>45078</v>
      </c>
      <c r="H19" s="207">
        <f t="shared" si="9"/>
        <v>2023</v>
      </c>
      <c r="I19" s="17" t="s">
        <v>13</v>
      </c>
      <c r="J19" s="42" t="s">
        <v>54</v>
      </c>
      <c r="K19" s="43" t="s">
        <v>25</v>
      </c>
      <c r="L19" s="43">
        <f>'Autogenerated Template'!D21</f>
        <v>1</v>
      </c>
      <c r="M19" s="43">
        <f>'Autogenerated Template'!E21</f>
        <v>0</v>
      </c>
      <c r="N19" s="43">
        <f>'Autogenerated Template'!F21</f>
        <v>0</v>
      </c>
      <c r="O19" s="43">
        <f>'Autogenerated Template'!G21</f>
        <v>0</v>
      </c>
      <c r="P19" s="43">
        <f>'Autogenerated Template'!H21</f>
        <v>0</v>
      </c>
      <c r="Q19" s="43">
        <f>'Autogenerated Template'!I21</f>
        <v>1</v>
      </c>
      <c r="R19" s="43">
        <f>'Autogenerated Template'!J21</f>
        <v>0</v>
      </c>
      <c r="S19" s="43">
        <f>'Autogenerated Template'!K21</f>
        <v>0</v>
      </c>
      <c r="T19" s="43">
        <f>'Autogenerated Template'!L21</f>
        <v>0</v>
      </c>
      <c r="U19" s="43">
        <f>'Autogenerated Template'!M21</f>
        <v>0</v>
      </c>
      <c r="V19" s="43">
        <f>'Autogenerated Template'!N21</f>
        <v>0</v>
      </c>
      <c r="W19" s="43">
        <f>'Autogenerated Template'!O21</f>
        <v>0</v>
      </c>
      <c r="X19" s="43">
        <f>'Autogenerated Template'!P21</f>
        <v>0</v>
      </c>
      <c r="Y19" s="43">
        <f>'Autogenerated Template'!Q21</f>
        <v>0</v>
      </c>
      <c r="Z19" s="43">
        <f>'Autogenerated Template'!R21</f>
        <v>0</v>
      </c>
      <c r="AA19" s="43">
        <f>'Autogenerated Template'!S21</f>
        <v>0</v>
      </c>
      <c r="AB19" s="43">
        <f>'Autogenerated Template'!T21</f>
        <v>1</v>
      </c>
      <c r="AC19" s="43">
        <f>'Autogenerated Template'!U21</f>
        <v>1</v>
      </c>
      <c r="AD19" s="16" t="str">
        <f t="shared" si="10"/>
        <v>Zone B</v>
      </c>
      <c r="AE19" s="16" t="str">
        <f t="shared" si="1"/>
        <v>Category Edited</v>
      </c>
      <c r="AF19" s="16">
        <f>JudgeProfile!$W$2</f>
        <v>900</v>
      </c>
      <c r="AG19" s="16">
        <f>JudgeProfile!$V$2</f>
        <v>900</v>
      </c>
      <c r="AH19" s="16" t="str">
        <f>JudgeProfile!$Q$2</f>
        <v>1 - Remains in this court full month</v>
      </c>
      <c r="AI19" s="16" t="str">
        <f>JudgeProfile!$U$2</f>
        <v>Addl: District &amp; Sessions Judge (Both Civil and Criminal Matter)</v>
      </c>
      <c r="AJ19" s="16" t="str">
        <f>JudgeProfile!$Z$2</f>
        <v>Sessions Court</v>
      </c>
    </row>
    <row r="20" spans="1:36" ht="15.75">
      <c r="A20" s="17" t="str">
        <f t="shared" si="2"/>
        <v>PHC0290-73-1</v>
      </c>
      <c r="B20" s="17" t="str">
        <f t="shared" si="3"/>
        <v>Mr Amin Said</v>
      </c>
      <c r="C20" s="17" t="str">
        <f t="shared" si="4"/>
        <v>Addl: District &amp; Sessions Judge</v>
      </c>
      <c r="D20" s="17" t="str">
        <f t="shared" si="5"/>
        <v>ADSJ-1</v>
      </c>
      <c r="E20" s="17" t="str">
        <f t="shared" si="6"/>
        <v>Lower Dir - Timergara</v>
      </c>
      <c r="F20" s="17" t="str">
        <f t="shared" si="7"/>
        <v>Regular</v>
      </c>
      <c r="G20" s="171">
        <f t="shared" si="8"/>
        <v>45078</v>
      </c>
      <c r="H20" s="207">
        <f t="shared" si="9"/>
        <v>2023</v>
      </c>
      <c r="I20" s="17" t="s">
        <v>13</v>
      </c>
      <c r="J20" s="42" t="s">
        <v>55</v>
      </c>
      <c r="K20" s="43" t="s">
        <v>26</v>
      </c>
      <c r="L20" s="43">
        <f>'Autogenerated Template'!D22</f>
        <v>0</v>
      </c>
      <c r="M20" s="43">
        <f>'Autogenerated Template'!E22</f>
        <v>0</v>
      </c>
      <c r="N20" s="43">
        <f>'Autogenerated Template'!F22</f>
        <v>0</v>
      </c>
      <c r="O20" s="43">
        <f>'Autogenerated Template'!G22</f>
        <v>0</v>
      </c>
      <c r="P20" s="43">
        <f>'Autogenerated Template'!H22</f>
        <v>0</v>
      </c>
      <c r="Q20" s="43">
        <f>'Autogenerated Template'!I22</f>
        <v>0</v>
      </c>
      <c r="R20" s="43">
        <f>'Autogenerated Template'!J22</f>
        <v>0</v>
      </c>
      <c r="S20" s="43">
        <f>'Autogenerated Template'!K22</f>
        <v>0</v>
      </c>
      <c r="T20" s="43">
        <f>'Autogenerated Template'!L22</f>
        <v>0</v>
      </c>
      <c r="U20" s="43">
        <f>'Autogenerated Template'!M22</f>
        <v>0</v>
      </c>
      <c r="V20" s="43">
        <f>'Autogenerated Template'!N22</f>
        <v>0</v>
      </c>
      <c r="W20" s="43">
        <f>'Autogenerated Template'!O22</f>
        <v>0</v>
      </c>
      <c r="X20" s="43">
        <f>'Autogenerated Template'!P22</f>
        <v>0</v>
      </c>
      <c r="Y20" s="43">
        <f>'Autogenerated Template'!Q22</f>
        <v>0</v>
      </c>
      <c r="Z20" s="43">
        <f>'Autogenerated Template'!R22</f>
        <v>0</v>
      </c>
      <c r="AA20" s="43">
        <f>'Autogenerated Template'!S22</f>
        <v>0</v>
      </c>
      <c r="AB20" s="43">
        <f>'Autogenerated Template'!T22</f>
        <v>0</v>
      </c>
      <c r="AC20" s="43">
        <f>'Autogenerated Template'!U22</f>
        <v>0</v>
      </c>
      <c r="AD20" s="16" t="str">
        <f t="shared" si="10"/>
        <v>Zone B</v>
      </c>
      <c r="AE20" s="16" t="str">
        <f t="shared" si="1"/>
        <v>Category Not Edited</v>
      </c>
      <c r="AF20" s="16">
        <f>JudgeProfile!$W$2</f>
        <v>900</v>
      </c>
      <c r="AG20" s="16">
        <f>JudgeProfile!$V$2</f>
        <v>900</v>
      </c>
      <c r="AH20" s="16" t="str">
        <f>JudgeProfile!$Q$2</f>
        <v>1 - Remains in this court full month</v>
      </c>
      <c r="AI20" s="16" t="str">
        <f>JudgeProfile!$U$2</f>
        <v>Addl: District &amp; Sessions Judge (Both Civil and Criminal Matter)</v>
      </c>
      <c r="AJ20" s="16" t="str">
        <f>JudgeProfile!$Z$2</f>
        <v>Sessions Court</v>
      </c>
    </row>
    <row r="21" spans="1:36" ht="15.75">
      <c r="A21" s="17" t="str">
        <f t="shared" si="2"/>
        <v>PHC0290-73-1</v>
      </c>
      <c r="B21" s="17" t="str">
        <f t="shared" si="3"/>
        <v>Mr Amin Said</v>
      </c>
      <c r="C21" s="17" t="str">
        <f t="shared" si="4"/>
        <v>Addl: District &amp; Sessions Judge</v>
      </c>
      <c r="D21" s="17" t="str">
        <f t="shared" si="5"/>
        <v>ADSJ-1</v>
      </c>
      <c r="E21" s="17" t="str">
        <f t="shared" si="6"/>
        <v>Lower Dir - Timergara</v>
      </c>
      <c r="F21" s="17" t="str">
        <f t="shared" si="7"/>
        <v>Regular</v>
      </c>
      <c r="G21" s="171">
        <f t="shared" si="8"/>
        <v>45078</v>
      </c>
      <c r="H21" s="207">
        <f t="shared" si="9"/>
        <v>2023</v>
      </c>
      <c r="I21" s="17" t="s">
        <v>13</v>
      </c>
      <c r="J21" s="42" t="s">
        <v>56</v>
      </c>
      <c r="K21" s="43" t="s">
        <v>27</v>
      </c>
      <c r="L21" s="43">
        <f>'Autogenerated Template'!D23</f>
        <v>0</v>
      </c>
      <c r="M21" s="43">
        <f>'Autogenerated Template'!E23</f>
        <v>0</v>
      </c>
      <c r="N21" s="43">
        <f>'Autogenerated Template'!F23</f>
        <v>0</v>
      </c>
      <c r="O21" s="43">
        <f>'Autogenerated Template'!G23</f>
        <v>0</v>
      </c>
      <c r="P21" s="43">
        <f>'Autogenerated Template'!H23</f>
        <v>0</v>
      </c>
      <c r="Q21" s="43">
        <f>'Autogenerated Template'!I23</f>
        <v>0</v>
      </c>
      <c r="R21" s="43">
        <f>'Autogenerated Template'!J23</f>
        <v>0</v>
      </c>
      <c r="S21" s="43">
        <f>'Autogenerated Template'!K23</f>
        <v>0</v>
      </c>
      <c r="T21" s="43">
        <f>'Autogenerated Template'!L23</f>
        <v>0</v>
      </c>
      <c r="U21" s="43">
        <f>'Autogenerated Template'!M23</f>
        <v>0</v>
      </c>
      <c r="V21" s="43">
        <f>'Autogenerated Template'!N23</f>
        <v>0</v>
      </c>
      <c r="W21" s="43">
        <f>'Autogenerated Template'!O23</f>
        <v>0</v>
      </c>
      <c r="X21" s="43">
        <f>'Autogenerated Template'!P23</f>
        <v>0</v>
      </c>
      <c r="Y21" s="43">
        <f>'Autogenerated Template'!Q23</f>
        <v>0</v>
      </c>
      <c r="Z21" s="43">
        <f>'Autogenerated Template'!R23</f>
        <v>0</v>
      </c>
      <c r="AA21" s="43">
        <f>'Autogenerated Template'!S23</f>
        <v>0</v>
      </c>
      <c r="AB21" s="43">
        <f>'Autogenerated Template'!T23</f>
        <v>0</v>
      </c>
      <c r="AC21" s="43">
        <f>'Autogenerated Template'!U23</f>
        <v>0</v>
      </c>
      <c r="AD21" s="16" t="str">
        <f t="shared" si="10"/>
        <v>Zone B</v>
      </c>
      <c r="AE21" s="16" t="str">
        <f t="shared" si="1"/>
        <v>Category Not Edited</v>
      </c>
      <c r="AF21" s="16">
        <f>JudgeProfile!$W$2</f>
        <v>900</v>
      </c>
      <c r="AG21" s="16">
        <f>JudgeProfile!$V$2</f>
        <v>900</v>
      </c>
      <c r="AH21" s="16" t="str">
        <f>JudgeProfile!$Q$2</f>
        <v>1 - Remains in this court full month</v>
      </c>
      <c r="AI21" s="16" t="str">
        <f>JudgeProfile!$U$2</f>
        <v>Addl: District &amp; Sessions Judge (Both Civil and Criminal Matter)</v>
      </c>
      <c r="AJ21" s="16" t="str">
        <f>JudgeProfile!$Z$2</f>
        <v>Sessions Court</v>
      </c>
    </row>
    <row r="22" spans="1:36" ht="31.5">
      <c r="A22" s="17" t="str">
        <f t="shared" si="2"/>
        <v>PHC0290-73-1</v>
      </c>
      <c r="B22" s="17" t="str">
        <f t="shared" si="3"/>
        <v>Mr Amin Said</v>
      </c>
      <c r="C22" s="17" t="str">
        <f t="shared" si="4"/>
        <v>Addl: District &amp; Sessions Judge</v>
      </c>
      <c r="D22" s="17" t="str">
        <f t="shared" si="5"/>
        <v>ADSJ-1</v>
      </c>
      <c r="E22" s="17" t="str">
        <f t="shared" si="6"/>
        <v>Lower Dir - Timergara</v>
      </c>
      <c r="F22" s="17" t="str">
        <f t="shared" si="7"/>
        <v>Regular</v>
      </c>
      <c r="G22" s="171">
        <f t="shared" si="8"/>
        <v>45078</v>
      </c>
      <c r="H22" s="207">
        <f t="shared" si="9"/>
        <v>2023</v>
      </c>
      <c r="I22" s="17" t="s">
        <v>13</v>
      </c>
      <c r="J22" s="42" t="s">
        <v>57</v>
      </c>
      <c r="K22" s="43" t="s">
        <v>1746</v>
      </c>
      <c r="L22" s="43">
        <f>'Autogenerated Template'!D24</f>
        <v>0</v>
      </c>
      <c r="M22" s="43">
        <f>'Autogenerated Template'!E24</f>
        <v>0</v>
      </c>
      <c r="N22" s="43">
        <f>'Autogenerated Template'!F24</f>
        <v>0</v>
      </c>
      <c r="O22" s="43">
        <f>'Autogenerated Template'!G24</f>
        <v>0</v>
      </c>
      <c r="P22" s="43">
        <f>'Autogenerated Template'!H24</f>
        <v>0</v>
      </c>
      <c r="Q22" s="43">
        <f>'Autogenerated Template'!I24</f>
        <v>0</v>
      </c>
      <c r="R22" s="43">
        <f>'Autogenerated Template'!J24</f>
        <v>0</v>
      </c>
      <c r="S22" s="43">
        <f>'Autogenerated Template'!K24</f>
        <v>0</v>
      </c>
      <c r="T22" s="43">
        <f>'Autogenerated Template'!L24</f>
        <v>0</v>
      </c>
      <c r="U22" s="43">
        <f>'Autogenerated Template'!M24</f>
        <v>0</v>
      </c>
      <c r="V22" s="43">
        <f>'Autogenerated Template'!N24</f>
        <v>0</v>
      </c>
      <c r="W22" s="43">
        <f>'Autogenerated Template'!O24</f>
        <v>0</v>
      </c>
      <c r="X22" s="43">
        <f>'Autogenerated Template'!P24</f>
        <v>0</v>
      </c>
      <c r="Y22" s="43">
        <f>'Autogenerated Template'!Q24</f>
        <v>0</v>
      </c>
      <c r="Z22" s="43">
        <f>'Autogenerated Template'!R24</f>
        <v>0</v>
      </c>
      <c r="AA22" s="43">
        <f>'Autogenerated Template'!S24</f>
        <v>0</v>
      </c>
      <c r="AB22" s="43">
        <f>'Autogenerated Template'!T24</f>
        <v>0</v>
      </c>
      <c r="AC22" s="43">
        <f>'Autogenerated Template'!U24</f>
        <v>0</v>
      </c>
      <c r="AD22" s="16" t="str">
        <f t="shared" si="10"/>
        <v>Zone B</v>
      </c>
      <c r="AE22" s="16" t="str">
        <f t="shared" si="1"/>
        <v>Category Not Edited</v>
      </c>
      <c r="AF22" s="16">
        <f>JudgeProfile!$W$2</f>
        <v>900</v>
      </c>
      <c r="AG22" s="16">
        <f>JudgeProfile!$V$2</f>
        <v>900</v>
      </c>
      <c r="AH22" s="16" t="str">
        <f>JudgeProfile!$Q$2</f>
        <v>1 - Remains in this court full month</v>
      </c>
      <c r="AI22" s="16" t="str">
        <f>JudgeProfile!$U$2</f>
        <v>Addl: District &amp; Sessions Judge (Both Civil and Criminal Matter)</v>
      </c>
      <c r="AJ22" s="16" t="str">
        <f>JudgeProfile!$Z$2</f>
        <v>Sessions Court</v>
      </c>
    </row>
    <row r="23" spans="1:36" ht="15.75">
      <c r="A23" s="17" t="str">
        <f t="shared" si="2"/>
        <v>PHC0290-73-1</v>
      </c>
      <c r="B23" s="17" t="str">
        <f t="shared" si="3"/>
        <v>Mr Amin Said</v>
      </c>
      <c r="C23" s="17" t="str">
        <f t="shared" si="4"/>
        <v>Addl: District &amp; Sessions Judge</v>
      </c>
      <c r="D23" s="17" t="str">
        <f t="shared" si="5"/>
        <v>ADSJ-1</v>
      </c>
      <c r="E23" s="17" t="str">
        <f t="shared" si="6"/>
        <v>Lower Dir - Timergara</v>
      </c>
      <c r="F23" s="17" t="str">
        <f t="shared" si="7"/>
        <v>Regular</v>
      </c>
      <c r="G23" s="171">
        <f t="shared" si="8"/>
        <v>45078</v>
      </c>
      <c r="H23" s="207">
        <f t="shared" si="9"/>
        <v>2023</v>
      </c>
      <c r="I23" s="17" t="s">
        <v>13</v>
      </c>
      <c r="J23" s="42" t="s">
        <v>58</v>
      </c>
      <c r="K23" s="43" t="s">
        <v>28</v>
      </c>
      <c r="L23" s="43">
        <f>'Autogenerated Template'!D25</f>
        <v>0</v>
      </c>
      <c r="M23" s="43">
        <f>'Autogenerated Template'!E25</f>
        <v>0</v>
      </c>
      <c r="N23" s="43">
        <f>'Autogenerated Template'!F25</f>
        <v>0</v>
      </c>
      <c r="O23" s="43">
        <f>'Autogenerated Template'!G25</f>
        <v>0</v>
      </c>
      <c r="P23" s="43">
        <f>'Autogenerated Template'!H25</f>
        <v>0</v>
      </c>
      <c r="Q23" s="43">
        <f>'Autogenerated Template'!I25</f>
        <v>0</v>
      </c>
      <c r="R23" s="43">
        <f>'Autogenerated Template'!J25</f>
        <v>0</v>
      </c>
      <c r="S23" s="43">
        <f>'Autogenerated Template'!K25</f>
        <v>0</v>
      </c>
      <c r="T23" s="43">
        <f>'Autogenerated Template'!L25</f>
        <v>0</v>
      </c>
      <c r="U23" s="43">
        <f>'Autogenerated Template'!M25</f>
        <v>0</v>
      </c>
      <c r="V23" s="43">
        <f>'Autogenerated Template'!N25</f>
        <v>0</v>
      </c>
      <c r="W23" s="43">
        <f>'Autogenerated Template'!O25</f>
        <v>0</v>
      </c>
      <c r="X23" s="43">
        <f>'Autogenerated Template'!P25</f>
        <v>0</v>
      </c>
      <c r="Y23" s="43">
        <f>'Autogenerated Template'!Q25</f>
        <v>0</v>
      </c>
      <c r="Z23" s="43">
        <f>'Autogenerated Template'!R25</f>
        <v>0</v>
      </c>
      <c r="AA23" s="43">
        <f>'Autogenerated Template'!S25</f>
        <v>0</v>
      </c>
      <c r="AB23" s="43">
        <f>'Autogenerated Template'!T25</f>
        <v>0</v>
      </c>
      <c r="AC23" s="43">
        <f>'Autogenerated Template'!U25</f>
        <v>0</v>
      </c>
      <c r="AD23" s="16" t="str">
        <f t="shared" si="10"/>
        <v>Zone B</v>
      </c>
      <c r="AE23" s="16" t="str">
        <f t="shared" si="1"/>
        <v>Category Not Edited</v>
      </c>
      <c r="AF23" s="16">
        <f>JudgeProfile!$W$2</f>
        <v>900</v>
      </c>
      <c r="AG23" s="16">
        <f>JudgeProfile!$V$2</f>
        <v>900</v>
      </c>
      <c r="AH23" s="16" t="str">
        <f>JudgeProfile!$Q$2</f>
        <v>1 - Remains in this court full month</v>
      </c>
      <c r="AI23" s="16" t="str">
        <f>JudgeProfile!$U$2</f>
        <v>Addl: District &amp; Sessions Judge (Both Civil and Criminal Matter)</v>
      </c>
      <c r="AJ23" s="16" t="str">
        <f>JudgeProfile!$Z$2</f>
        <v>Sessions Court</v>
      </c>
    </row>
    <row r="24" spans="1:36" ht="15.75">
      <c r="A24" s="17" t="str">
        <f t="shared" si="2"/>
        <v>PHC0290-73-1</v>
      </c>
      <c r="B24" s="17" t="str">
        <f t="shared" si="3"/>
        <v>Mr Amin Said</v>
      </c>
      <c r="C24" s="17" t="str">
        <f t="shared" si="4"/>
        <v>Addl: District &amp; Sessions Judge</v>
      </c>
      <c r="D24" s="17" t="str">
        <f t="shared" si="5"/>
        <v>ADSJ-1</v>
      </c>
      <c r="E24" s="17" t="str">
        <f t="shared" si="6"/>
        <v>Lower Dir - Timergara</v>
      </c>
      <c r="F24" s="17" t="str">
        <f t="shared" si="7"/>
        <v>Regular</v>
      </c>
      <c r="G24" s="171">
        <f t="shared" si="8"/>
        <v>45078</v>
      </c>
      <c r="H24" s="207">
        <f t="shared" si="9"/>
        <v>2023</v>
      </c>
      <c r="I24" s="17" t="s">
        <v>13</v>
      </c>
      <c r="J24" s="42" t="s">
        <v>59</v>
      </c>
      <c r="K24" s="43" t="s">
        <v>29</v>
      </c>
      <c r="L24" s="43">
        <f>'Autogenerated Template'!D26</f>
        <v>8</v>
      </c>
      <c r="M24" s="43">
        <f>'Autogenerated Template'!E26</f>
        <v>29</v>
      </c>
      <c r="N24" s="43">
        <f>'Autogenerated Template'!F26</f>
        <v>0</v>
      </c>
      <c r="O24" s="43">
        <f>'Autogenerated Template'!G26</f>
        <v>0</v>
      </c>
      <c r="P24" s="43">
        <f>'Autogenerated Template'!H26</f>
        <v>0</v>
      </c>
      <c r="Q24" s="43">
        <f>'Autogenerated Template'!I26</f>
        <v>37</v>
      </c>
      <c r="R24" s="43">
        <f>'Autogenerated Template'!J26</f>
        <v>18</v>
      </c>
      <c r="S24" s="43">
        <f>'Autogenerated Template'!K26</f>
        <v>0</v>
      </c>
      <c r="T24" s="43">
        <f>'Autogenerated Template'!L26</f>
        <v>2</v>
      </c>
      <c r="U24" s="43">
        <f>'Autogenerated Template'!M26</f>
        <v>0</v>
      </c>
      <c r="V24" s="43">
        <f>'Autogenerated Template'!N26</f>
        <v>20</v>
      </c>
      <c r="W24" s="43">
        <f>'Autogenerated Template'!O26</f>
        <v>0</v>
      </c>
      <c r="X24" s="43">
        <f>'Autogenerated Template'!P26</f>
        <v>20</v>
      </c>
      <c r="Y24" s="43">
        <f>'Autogenerated Template'!Q26</f>
        <v>20</v>
      </c>
      <c r="Z24" s="43">
        <f>'Autogenerated Template'!R26</f>
        <v>0</v>
      </c>
      <c r="AA24" s="43">
        <f>'Autogenerated Template'!S26</f>
        <v>0</v>
      </c>
      <c r="AB24" s="43">
        <f>'Autogenerated Template'!T26</f>
        <v>17</v>
      </c>
      <c r="AC24" s="43">
        <f>'Autogenerated Template'!U26</f>
        <v>17</v>
      </c>
      <c r="AD24" s="16" t="str">
        <f t="shared" si="10"/>
        <v>Zone B</v>
      </c>
      <c r="AE24" s="16" t="str">
        <f t="shared" si="1"/>
        <v>Category Edited</v>
      </c>
      <c r="AF24" s="16">
        <f>JudgeProfile!$W$2</f>
        <v>900</v>
      </c>
      <c r="AG24" s="16">
        <f>JudgeProfile!$V$2</f>
        <v>900</v>
      </c>
      <c r="AH24" s="16" t="str">
        <f>JudgeProfile!$Q$2</f>
        <v>1 - Remains in this court full month</v>
      </c>
      <c r="AI24" s="16" t="str">
        <f>JudgeProfile!$U$2</f>
        <v>Addl: District &amp; Sessions Judge (Both Civil and Criminal Matter)</v>
      </c>
      <c r="AJ24" s="16" t="str">
        <f>JudgeProfile!$Z$2</f>
        <v>Sessions Court</v>
      </c>
    </row>
    <row r="25" spans="1:36" ht="15.75">
      <c r="A25" s="17" t="str">
        <f t="shared" si="2"/>
        <v>PHC0290-73-1</v>
      </c>
      <c r="B25" s="17" t="str">
        <f t="shared" si="3"/>
        <v>Mr Amin Said</v>
      </c>
      <c r="C25" s="17" t="str">
        <f t="shared" si="4"/>
        <v>Addl: District &amp; Sessions Judge</v>
      </c>
      <c r="D25" s="17" t="str">
        <f t="shared" si="5"/>
        <v>ADSJ-1</v>
      </c>
      <c r="E25" s="17" t="str">
        <f t="shared" si="6"/>
        <v>Lower Dir - Timergara</v>
      </c>
      <c r="F25" s="17" t="str">
        <f t="shared" si="7"/>
        <v>Regular</v>
      </c>
      <c r="G25" s="171">
        <f t="shared" si="8"/>
        <v>45078</v>
      </c>
      <c r="H25" s="207">
        <f t="shared" si="9"/>
        <v>2023</v>
      </c>
      <c r="I25" s="17" t="s">
        <v>13</v>
      </c>
      <c r="J25" s="42" t="s">
        <v>60</v>
      </c>
      <c r="K25" s="43" t="s">
        <v>1545</v>
      </c>
      <c r="L25" s="43">
        <f>'Autogenerated Template'!D27</f>
        <v>0</v>
      </c>
      <c r="M25" s="43">
        <f>'Autogenerated Template'!E27</f>
        <v>2</v>
      </c>
      <c r="N25" s="43">
        <f>'Autogenerated Template'!F27</f>
        <v>0</v>
      </c>
      <c r="O25" s="43">
        <f>'Autogenerated Template'!G27</f>
        <v>0</v>
      </c>
      <c r="P25" s="43">
        <f>'Autogenerated Template'!H27</f>
        <v>0</v>
      </c>
      <c r="Q25" s="43">
        <f>'Autogenerated Template'!I27</f>
        <v>2</v>
      </c>
      <c r="R25" s="43">
        <f>'Autogenerated Template'!J27</f>
        <v>1</v>
      </c>
      <c r="S25" s="43">
        <f>'Autogenerated Template'!K27</f>
        <v>0</v>
      </c>
      <c r="T25" s="43">
        <f>'Autogenerated Template'!L27</f>
        <v>0</v>
      </c>
      <c r="U25" s="43">
        <f>'Autogenerated Template'!M27</f>
        <v>0</v>
      </c>
      <c r="V25" s="43">
        <f>'Autogenerated Template'!N27</f>
        <v>1</v>
      </c>
      <c r="W25" s="43">
        <f>'Autogenerated Template'!O27</f>
        <v>0</v>
      </c>
      <c r="X25" s="43">
        <f>'Autogenerated Template'!P27</f>
        <v>1</v>
      </c>
      <c r="Y25" s="43">
        <f>'Autogenerated Template'!Q27</f>
        <v>1</v>
      </c>
      <c r="Z25" s="43">
        <f>'Autogenerated Template'!R27</f>
        <v>0</v>
      </c>
      <c r="AA25" s="43">
        <f>'Autogenerated Template'!S27</f>
        <v>0</v>
      </c>
      <c r="AB25" s="43">
        <f>'Autogenerated Template'!T27</f>
        <v>1</v>
      </c>
      <c r="AC25" s="43">
        <f>'Autogenerated Template'!U27</f>
        <v>1</v>
      </c>
      <c r="AD25" s="16" t="str">
        <f t="shared" si="10"/>
        <v>Zone B</v>
      </c>
      <c r="AE25" s="16" t="str">
        <f t="shared" si="1"/>
        <v>Category Edited</v>
      </c>
      <c r="AF25" s="16">
        <f>JudgeProfile!$W$2</f>
        <v>900</v>
      </c>
      <c r="AG25" s="16">
        <f>JudgeProfile!$V$2</f>
        <v>900</v>
      </c>
      <c r="AH25" s="16" t="str">
        <f>JudgeProfile!$Q$2</f>
        <v>1 - Remains in this court full month</v>
      </c>
      <c r="AI25" s="16" t="str">
        <f>JudgeProfile!$U$2</f>
        <v>Addl: District &amp; Sessions Judge (Both Civil and Criminal Matter)</v>
      </c>
      <c r="AJ25" s="16" t="str">
        <f>JudgeProfile!$Z$2</f>
        <v>Sessions Court</v>
      </c>
    </row>
    <row r="26" spans="1:36" ht="31.5">
      <c r="A26" s="17" t="str">
        <f t="shared" si="2"/>
        <v>PHC0290-73-1</v>
      </c>
      <c r="B26" s="17" t="str">
        <f t="shared" si="3"/>
        <v>Mr Amin Said</v>
      </c>
      <c r="C26" s="17" t="str">
        <f t="shared" si="4"/>
        <v>Addl: District &amp; Sessions Judge</v>
      </c>
      <c r="D26" s="17" t="str">
        <f t="shared" si="5"/>
        <v>ADSJ-1</v>
      </c>
      <c r="E26" s="17" t="str">
        <f t="shared" si="6"/>
        <v>Lower Dir - Timergara</v>
      </c>
      <c r="F26" s="17" t="str">
        <f t="shared" si="7"/>
        <v>Regular</v>
      </c>
      <c r="G26" s="171">
        <f t="shared" si="8"/>
        <v>45078</v>
      </c>
      <c r="H26" s="207">
        <f t="shared" si="9"/>
        <v>2023</v>
      </c>
      <c r="I26" s="17" t="s">
        <v>13</v>
      </c>
      <c r="J26" s="42" t="s">
        <v>61</v>
      </c>
      <c r="K26" s="43" t="s">
        <v>1908</v>
      </c>
      <c r="L26" s="43">
        <f>'Autogenerated Template'!D28</f>
        <v>0</v>
      </c>
      <c r="M26" s="43">
        <f>'Autogenerated Template'!E28</f>
        <v>0</v>
      </c>
      <c r="N26" s="43">
        <f>'Autogenerated Template'!F28</f>
        <v>0</v>
      </c>
      <c r="O26" s="43">
        <f>'Autogenerated Template'!G28</f>
        <v>0</v>
      </c>
      <c r="P26" s="43">
        <f>'Autogenerated Template'!H28</f>
        <v>0</v>
      </c>
      <c r="Q26" s="43">
        <f>'Autogenerated Template'!I28</f>
        <v>0</v>
      </c>
      <c r="R26" s="43">
        <f>'Autogenerated Template'!J28</f>
        <v>0</v>
      </c>
      <c r="S26" s="43">
        <f>'Autogenerated Template'!K28</f>
        <v>0</v>
      </c>
      <c r="T26" s="43">
        <f>'Autogenerated Template'!L28</f>
        <v>0</v>
      </c>
      <c r="U26" s="43">
        <f>'Autogenerated Template'!M28</f>
        <v>0</v>
      </c>
      <c r="V26" s="43">
        <f>'Autogenerated Template'!N28</f>
        <v>0</v>
      </c>
      <c r="W26" s="43">
        <f>'Autogenerated Template'!O28</f>
        <v>0</v>
      </c>
      <c r="X26" s="43">
        <f>'Autogenerated Template'!P28</f>
        <v>0</v>
      </c>
      <c r="Y26" s="43">
        <f>'Autogenerated Template'!Q28</f>
        <v>0</v>
      </c>
      <c r="Z26" s="43">
        <f>'Autogenerated Template'!R28</f>
        <v>0</v>
      </c>
      <c r="AA26" s="43">
        <f>'Autogenerated Template'!S28</f>
        <v>0</v>
      </c>
      <c r="AB26" s="43">
        <f>'Autogenerated Template'!T28</f>
        <v>0</v>
      </c>
      <c r="AC26" s="43">
        <f>'Autogenerated Template'!U28</f>
        <v>0</v>
      </c>
      <c r="AD26" s="16" t="str">
        <f t="shared" si="10"/>
        <v>Zone B</v>
      </c>
      <c r="AE26" s="16" t="str">
        <f t="shared" si="1"/>
        <v>Category Not Edited</v>
      </c>
      <c r="AF26" s="16">
        <f>JudgeProfile!$W$2</f>
        <v>900</v>
      </c>
      <c r="AG26" s="16">
        <f>JudgeProfile!$V$2</f>
        <v>900</v>
      </c>
      <c r="AH26" s="16" t="str">
        <f>JudgeProfile!$Q$2</f>
        <v>1 - Remains in this court full month</v>
      </c>
      <c r="AI26" s="16" t="str">
        <f>JudgeProfile!$U$2</f>
        <v>Addl: District &amp; Sessions Judge (Both Civil and Criminal Matter)</v>
      </c>
      <c r="AJ26" s="16" t="str">
        <f>JudgeProfile!$Z$2</f>
        <v>Sessions Court</v>
      </c>
    </row>
    <row r="27" spans="1:36" ht="15.75">
      <c r="A27" s="17" t="str">
        <f t="shared" si="2"/>
        <v>PHC0290-73-1</v>
      </c>
      <c r="B27" s="17" t="str">
        <f t="shared" si="3"/>
        <v>Mr Amin Said</v>
      </c>
      <c r="C27" s="17" t="str">
        <f t="shared" si="4"/>
        <v>Addl: District &amp; Sessions Judge</v>
      </c>
      <c r="D27" s="17" t="str">
        <f t="shared" si="5"/>
        <v>ADSJ-1</v>
      </c>
      <c r="E27" s="17" t="str">
        <f t="shared" si="6"/>
        <v>Lower Dir - Timergara</v>
      </c>
      <c r="F27" s="17" t="str">
        <f t="shared" si="7"/>
        <v>Regular</v>
      </c>
      <c r="G27" s="171">
        <f t="shared" si="8"/>
        <v>45078</v>
      </c>
      <c r="H27" s="207">
        <f t="shared" si="9"/>
        <v>2023</v>
      </c>
      <c r="I27" s="17" t="s">
        <v>13</v>
      </c>
      <c r="J27" s="42" t="s">
        <v>62</v>
      </c>
      <c r="K27" s="43" t="s">
        <v>30</v>
      </c>
      <c r="L27" s="43">
        <f>'Autogenerated Template'!D29</f>
        <v>0</v>
      </c>
      <c r="M27" s="43">
        <f>'Autogenerated Template'!E29</f>
        <v>0</v>
      </c>
      <c r="N27" s="43">
        <f>'Autogenerated Template'!F29</f>
        <v>0</v>
      </c>
      <c r="O27" s="43">
        <f>'Autogenerated Template'!G29</f>
        <v>0</v>
      </c>
      <c r="P27" s="43">
        <f>'Autogenerated Template'!H29</f>
        <v>0</v>
      </c>
      <c r="Q27" s="43">
        <f>'Autogenerated Template'!I29</f>
        <v>0</v>
      </c>
      <c r="R27" s="43">
        <f>'Autogenerated Template'!J29</f>
        <v>0</v>
      </c>
      <c r="S27" s="43">
        <f>'Autogenerated Template'!K29</f>
        <v>0</v>
      </c>
      <c r="T27" s="43">
        <f>'Autogenerated Template'!L29</f>
        <v>0</v>
      </c>
      <c r="U27" s="43">
        <f>'Autogenerated Template'!M29</f>
        <v>0</v>
      </c>
      <c r="V27" s="43">
        <f>'Autogenerated Template'!N29</f>
        <v>0</v>
      </c>
      <c r="W27" s="43">
        <f>'Autogenerated Template'!O29</f>
        <v>0</v>
      </c>
      <c r="X27" s="43">
        <f>'Autogenerated Template'!P29</f>
        <v>0</v>
      </c>
      <c r="Y27" s="43">
        <f>'Autogenerated Template'!Q29</f>
        <v>0</v>
      </c>
      <c r="Z27" s="43">
        <f>'Autogenerated Template'!R29</f>
        <v>0</v>
      </c>
      <c r="AA27" s="43">
        <f>'Autogenerated Template'!S29</f>
        <v>0</v>
      </c>
      <c r="AB27" s="43">
        <f>'Autogenerated Template'!T29</f>
        <v>0</v>
      </c>
      <c r="AC27" s="43">
        <f>'Autogenerated Template'!U29</f>
        <v>0</v>
      </c>
      <c r="AD27" s="16" t="str">
        <f t="shared" si="10"/>
        <v>Zone B</v>
      </c>
      <c r="AE27" s="16" t="str">
        <f t="shared" si="1"/>
        <v>Category Not Edited</v>
      </c>
      <c r="AF27" s="16">
        <f>JudgeProfile!$W$2</f>
        <v>900</v>
      </c>
      <c r="AG27" s="16">
        <f>JudgeProfile!$V$2</f>
        <v>900</v>
      </c>
      <c r="AH27" s="16" t="str">
        <f>JudgeProfile!$Q$2</f>
        <v>1 - Remains in this court full month</v>
      </c>
      <c r="AI27" s="16" t="str">
        <f>JudgeProfile!$U$2</f>
        <v>Addl: District &amp; Sessions Judge (Both Civil and Criminal Matter)</v>
      </c>
      <c r="AJ27" s="16" t="str">
        <f>JudgeProfile!$Z$2</f>
        <v>Sessions Court</v>
      </c>
    </row>
    <row r="28" spans="1:36" ht="15.75">
      <c r="A28" s="17" t="str">
        <f t="shared" si="2"/>
        <v>PHC0290-73-1</v>
      </c>
      <c r="B28" s="17" t="str">
        <f t="shared" si="3"/>
        <v>Mr Amin Said</v>
      </c>
      <c r="C28" s="17" t="str">
        <f t="shared" si="4"/>
        <v>Addl: District &amp; Sessions Judge</v>
      </c>
      <c r="D28" s="17" t="str">
        <f t="shared" si="5"/>
        <v>ADSJ-1</v>
      </c>
      <c r="E28" s="17" t="str">
        <f t="shared" si="6"/>
        <v>Lower Dir - Timergara</v>
      </c>
      <c r="F28" s="17" t="str">
        <f t="shared" si="7"/>
        <v>Regular</v>
      </c>
      <c r="G28" s="171">
        <f t="shared" si="8"/>
        <v>45078</v>
      </c>
      <c r="H28" s="207">
        <f t="shared" si="9"/>
        <v>2023</v>
      </c>
      <c r="I28" s="17" t="s">
        <v>13</v>
      </c>
      <c r="J28" s="42" t="s">
        <v>63</v>
      </c>
      <c r="K28" s="43" t="s">
        <v>31</v>
      </c>
      <c r="L28" s="43">
        <f>'Autogenerated Template'!D30</f>
        <v>2</v>
      </c>
      <c r="M28" s="43">
        <f>'Autogenerated Template'!E30</f>
        <v>0</v>
      </c>
      <c r="N28" s="43">
        <f>'Autogenerated Template'!F30</f>
        <v>0</v>
      </c>
      <c r="O28" s="43">
        <f>'Autogenerated Template'!G30</f>
        <v>0</v>
      </c>
      <c r="P28" s="43">
        <f>'Autogenerated Template'!H30</f>
        <v>0</v>
      </c>
      <c r="Q28" s="43">
        <f>'Autogenerated Template'!I30</f>
        <v>2</v>
      </c>
      <c r="R28" s="43">
        <f>'Autogenerated Template'!J30</f>
        <v>0</v>
      </c>
      <c r="S28" s="43">
        <f>'Autogenerated Template'!K30</f>
        <v>0</v>
      </c>
      <c r="T28" s="43">
        <f>'Autogenerated Template'!L30</f>
        <v>0</v>
      </c>
      <c r="U28" s="43">
        <f>'Autogenerated Template'!M30</f>
        <v>0</v>
      </c>
      <c r="V28" s="43">
        <f>'Autogenerated Template'!N30</f>
        <v>0</v>
      </c>
      <c r="W28" s="43">
        <f>'Autogenerated Template'!O30</f>
        <v>0</v>
      </c>
      <c r="X28" s="43">
        <f>'Autogenerated Template'!P30</f>
        <v>0</v>
      </c>
      <c r="Y28" s="43">
        <f>'Autogenerated Template'!Q30</f>
        <v>0</v>
      </c>
      <c r="Z28" s="43">
        <f>'Autogenerated Template'!R30</f>
        <v>0</v>
      </c>
      <c r="AA28" s="43">
        <f>'Autogenerated Template'!S30</f>
        <v>0</v>
      </c>
      <c r="AB28" s="43">
        <f>'Autogenerated Template'!T30</f>
        <v>2</v>
      </c>
      <c r="AC28" s="43">
        <f>'Autogenerated Template'!U30</f>
        <v>2</v>
      </c>
      <c r="AD28" s="16" t="str">
        <f t="shared" si="10"/>
        <v>Zone B</v>
      </c>
      <c r="AE28" s="16" t="str">
        <f t="shared" si="1"/>
        <v>Category Edited</v>
      </c>
      <c r="AF28" s="16">
        <f>JudgeProfile!$W$2</f>
        <v>900</v>
      </c>
      <c r="AG28" s="16">
        <f>JudgeProfile!$V$2</f>
        <v>900</v>
      </c>
      <c r="AH28" s="16" t="str">
        <f>JudgeProfile!$Q$2</f>
        <v>1 - Remains in this court full month</v>
      </c>
      <c r="AI28" s="16" t="str">
        <f>JudgeProfile!$U$2</f>
        <v>Addl: District &amp; Sessions Judge (Both Civil and Criminal Matter)</v>
      </c>
      <c r="AJ28" s="16" t="str">
        <f>JudgeProfile!$Z$2</f>
        <v>Sessions Court</v>
      </c>
    </row>
    <row r="29" spans="1:36" ht="15.75">
      <c r="A29" s="17" t="str">
        <f t="shared" si="2"/>
        <v>PHC0290-73-1</v>
      </c>
      <c r="B29" s="17" t="str">
        <f t="shared" si="3"/>
        <v>Mr Amin Said</v>
      </c>
      <c r="C29" s="17" t="str">
        <f t="shared" si="4"/>
        <v>Addl: District &amp; Sessions Judge</v>
      </c>
      <c r="D29" s="17" t="str">
        <f t="shared" si="5"/>
        <v>ADSJ-1</v>
      </c>
      <c r="E29" s="17" t="str">
        <f t="shared" si="6"/>
        <v>Lower Dir - Timergara</v>
      </c>
      <c r="F29" s="17" t="str">
        <f t="shared" si="7"/>
        <v>Regular</v>
      </c>
      <c r="G29" s="171">
        <f t="shared" si="8"/>
        <v>45078</v>
      </c>
      <c r="H29" s="207">
        <f t="shared" si="9"/>
        <v>2023</v>
      </c>
      <c r="I29" s="17" t="s">
        <v>13</v>
      </c>
      <c r="J29" s="42" t="s">
        <v>64</v>
      </c>
      <c r="K29" s="43" t="s">
        <v>32</v>
      </c>
      <c r="L29" s="43">
        <f>'Autogenerated Template'!D31</f>
        <v>0</v>
      </c>
      <c r="M29" s="43">
        <f>'Autogenerated Template'!E31</f>
        <v>0</v>
      </c>
      <c r="N29" s="43">
        <f>'Autogenerated Template'!F31</f>
        <v>0</v>
      </c>
      <c r="O29" s="43">
        <f>'Autogenerated Template'!G31</f>
        <v>0</v>
      </c>
      <c r="P29" s="43">
        <f>'Autogenerated Template'!H31</f>
        <v>0</v>
      </c>
      <c r="Q29" s="43">
        <f>'Autogenerated Template'!I31</f>
        <v>0</v>
      </c>
      <c r="R29" s="43">
        <f>'Autogenerated Template'!J31</f>
        <v>0</v>
      </c>
      <c r="S29" s="43">
        <f>'Autogenerated Template'!K31</f>
        <v>0</v>
      </c>
      <c r="T29" s="43">
        <f>'Autogenerated Template'!L31</f>
        <v>0</v>
      </c>
      <c r="U29" s="43">
        <f>'Autogenerated Template'!M31</f>
        <v>0</v>
      </c>
      <c r="V29" s="43">
        <f>'Autogenerated Template'!N31</f>
        <v>0</v>
      </c>
      <c r="W29" s="43">
        <f>'Autogenerated Template'!O31</f>
        <v>0</v>
      </c>
      <c r="X29" s="43">
        <f>'Autogenerated Template'!P31</f>
        <v>0</v>
      </c>
      <c r="Y29" s="43">
        <f>'Autogenerated Template'!Q31</f>
        <v>0</v>
      </c>
      <c r="Z29" s="43">
        <f>'Autogenerated Template'!R31</f>
        <v>0</v>
      </c>
      <c r="AA29" s="43">
        <f>'Autogenerated Template'!S31</f>
        <v>0</v>
      </c>
      <c r="AB29" s="43">
        <f>'Autogenerated Template'!T31</f>
        <v>0</v>
      </c>
      <c r="AC29" s="43">
        <f>'Autogenerated Template'!U31</f>
        <v>0</v>
      </c>
      <c r="AD29" s="16" t="str">
        <f t="shared" si="10"/>
        <v>Zone B</v>
      </c>
      <c r="AE29" s="16" t="str">
        <f t="shared" si="1"/>
        <v>Category Not Edited</v>
      </c>
      <c r="AF29" s="16">
        <f>JudgeProfile!$W$2</f>
        <v>900</v>
      </c>
      <c r="AG29" s="16">
        <f>JudgeProfile!$V$2</f>
        <v>900</v>
      </c>
      <c r="AH29" s="16" t="str">
        <f>JudgeProfile!$Q$2</f>
        <v>1 - Remains in this court full month</v>
      </c>
      <c r="AI29" s="16" t="str">
        <f>JudgeProfile!$U$2</f>
        <v>Addl: District &amp; Sessions Judge (Both Civil and Criminal Matter)</v>
      </c>
      <c r="AJ29" s="16" t="str">
        <f>JudgeProfile!$Z$2</f>
        <v>Sessions Court</v>
      </c>
    </row>
    <row r="30" spans="1:36" ht="15.75">
      <c r="A30" s="17" t="str">
        <f t="shared" si="2"/>
        <v>PHC0290-73-1</v>
      </c>
      <c r="B30" s="17" t="str">
        <f t="shared" si="3"/>
        <v>Mr Amin Said</v>
      </c>
      <c r="C30" s="17" t="str">
        <f t="shared" si="4"/>
        <v>Addl: District &amp; Sessions Judge</v>
      </c>
      <c r="D30" s="17" t="str">
        <f t="shared" si="5"/>
        <v>ADSJ-1</v>
      </c>
      <c r="E30" s="17" t="str">
        <f t="shared" si="6"/>
        <v>Lower Dir - Timergara</v>
      </c>
      <c r="F30" s="17" t="str">
        <f t="shared" si="7"/>
        <v>Regular</v>
      </c>
      <c r="G30" s="171">
        <f t="shared" si="8"/>
        <v>45078</v>
      </c>
      <c r="H30" s="207">
        <f t="shared" si="9"/>
        <v>2023</v>
      </c>
      <c r="I30" s="17" t="s">
        <v>13</v>
      </c>
      <c r="J30" s="42" t="s">
        <v>65</v>
      </c>
      <c r="K30" s="43" t="s">
        <v>33</v>
      </c>
      <c r="L30" s="43">
        <f>'Autogenerated Template'!D32</f>
        <v>13</v>
      </c>
      <c r="M30" s="43">
        <f>'Autogenerated Template'!E32</f>
        <v>1</v>
      </c>
      <c r="N30" s="43">
        <f>'Autogenerated Template'!F32</f>
        <v>0</v>
      </c>
      <c r="O30" s="43">
        <f>'Autogenerated Template'!G32</f>
        <v>0</v>
      </c>
      <c r="P30" s="43">
        <f>'Autogenerated Template'!H32</f>
        <v>0</v>
      </c>
      <c r="Q30" s="43">
        <f>'Autogenerated Template'!I32</f>
        <v>14</v>
      </c>
      <c r="R30" s="43">
        <f>'Autogenerated Template'!J32</f>
        <v>6</v>
      </c>
      <c r="S30" s="43">
        <f>'Autogenerated Template'!K32</f>
        <v>0</v>
      </c>
      <c r="T30" s="43">
        <f>'Autogenerated Template'!L32</f>
        <v>0</v>
      </c>
      <c r="U30" s="43">
        <f>'Autogenerated Template'!M32</f>
        <v>1</v>
      </c>
      <c r="V30" s="43">
        <f>'Autogenerated Template'!N32</f>
        <v>7</v>
      </c>
      <c r="W30" s="43">
        <f>'Autogenerated Template'!O32</f>
        <v>0</v>
      </c>
      <c r="X30" s="43">
        <f>'Autogenerated Template'!P32</f>
        <v>7</v>
      </c>
      <c r="Y30" s="43">
        <f>'Autogenerated Template'!Q32</f>
        <v>7</v>
      </c>
      <c r="Z30" s="43">
        <f>'Autogenerated Template'!R32</f>
        <v>0</v>
      </c>
      <c r="AA30" s="43">
        <f>'Autogenerated Template'!S32</f>
        <v>0</v>
      </c>
      <c r="AB30" s="43">
        <f>'Autogenerated Template'!T32</f>
        <v>7</v>
      </c>
      <c r="AC30" s="43">
        <f>'Autogenerated Template'!U32</f>
        <v>7</v>
      </c>
      <c r="AD30" s="16" t="str">
        <f t="shared" si="10"/>
        <v>Zone B</v>
      </c>
      <c r="AE30" s="16" t="str">
        <f t="shared" si="1"/>
        <v>Category Edited</v>
      </c>
      <c r="AF30" s="16">
        <f>JudgeProfile!$W$2</f>
        <v>900</v>
      </c>
      <c r="AG30" s="16">
        <f>JudgeProfile!$V$2</f>
        <v>900</v>
      </c>
      <c r="AH30" s="16" t="str">
        <f>JudgeProfile!$Q$2</f>
        <v>1 - Remains in this court full month</v>
      </c>
      <c r="AI30" s="16" t="str">
        <f>JudgeProfile!$U$2</f>
        <v>Addl: District &amp; Sessions Judge (Both Civil and Criminal Matter)</v>
      </c>
      <c r="AJ30" s="16" t="str">
        <f>JudgeProfile!$Z$2</f>
        <v>Sessions Court</v>
      </c>
    </row>
    <row r="31" spans="1:36" s="16" customFormat="1" ht="31.5">
      <c r="A31" s="17" t="str">
        <f t="shared" ref="A31:H32" si="11">A29</f>
        <v>PHC0290-73-1</v>
      </c>
      <c r="B31" s="17" t="str">
        <f t="shared" si="11"/>
        <v>Mr Amin Said</v>
      </c>
      <c r="C31" s="17" t="str">
        <f t="shared" si="11"/>
        <v>Addl: District &amp; Sessions Judge</v>
      </c>
      <c r="D31" s="17" t="str">
        <f t="shared" si="11"/>
        <v>ADSJ-1</v>
      </c>
      <c r="E31" s="17" t="str">
        <f t="shared" si="11"/>
        <v>Lower Dir - Timergara</v>
      </c>
      <c r="F31" s="17" t="str">
        <f t="shared" si="11"/>
        <v>Regular</v>
      </c>
      <c r="G31" s="171">
        <f t="shared" si="11"/>
        <v>45078</v>
      </c>
      <c r="H31" s="207">
        <f t="shared" si="11"/>
        <v>2023</v>
      </c>
      <c r="I31" s="17" t="s">
        <v>13</v>
      </c>
      <c r="J31" s="42" t="s">
        <v>1870</v>
      </c>
      <c r="K31" s="43" t="s">
        <v>1869</v>
      </c>
      <c r="L31" s="43">
        <f>'Autogenerated Template'!D33</f>
        <v>1</v>
      </c>
      <c r="M31" s="43">
        <f>'Autogenerated Template'!E33</f>
        <v>0</v>
      </c>
      <c r="N31" s="43">
        <f>'Autogenerated Template'!F33</f>
        <v>0</v>
      </c>
      <c r="O31" s="43">
        <f>'Autogenerated Template'!G33</f>
        <v>0</v>
      </c>
      <c r="P31" s="43">
        <f>'Autogenerated Template'!H33</f>
        <v>0</v>
      </c>
      <c r="Q31" s="43">
        <f>'Autogenerated Template'!I33</f>
        <v>1</v>
      </c>
      <c r="R31" s="43">
        <f>'Autogenerated Template'!J33</f>
        <v>0</v>
      </c>
      <c r="S31" s="43">
        <f>'Autogenerated Template'!K33</f>
        <v>0</v>
      </c>
      <c r="T31" s="43">
        <f>'Autogenerated Template'!L33</f>
        <v>0</v>
      </c>
      <c r="U31" s="43">
        <f>'Autogenerated Template'!M33</f>
        <v>0</v>
      </c>
      <c r="V31" s="43">
        <f>'Autogenerated Template'!N33</f>
        <v>0</v>
      </c>
      <c r="W31" s="43">
        <f>'Autogenerated Template'!O33</f>
        <v>0</v>
      </c>
      <c r="X31" s="43">
        <f>'Autogenerated Template'!P33</f>
        <v>0</v>
      </c>
      <c r="Y31" s="43">
        <f>'Autogenerated Template'!Q33</f>
        <v>0</v>
      </c>
      <c r="Z31" s="43">
        <f>'Autogenerated Template'!R33</f>
        <v>0</v>
      </c>
      <c r="AA31" s="43">
        <f>'Autogenerated Template'!S33</f>
        <v>0</v>
      </c>
      <c r="AB31" s="43">
        <f>'Autogenerated Template'!T33</f>
        <v>1</v>
      </c>
      <c r="AC31" s="43">
        <f>'Autogenerated Template'!U33</f>
        <v>1</v>
      </c>
      <c r="AD31" s="16" t="str">
        <f t="shared" si="10"/>
        <v>Zone B</v>
      </c>
      <c r="AE31" s="16" t="str">
        <f t="shared" si="1"/>
        <v>Category Edited</v>
      </c>
      <c r="AF31" s="16">
        <f>JudgeProfile!$W$2</f>
        <v>900</v>
      </c>
      <c r="AG31" s="16">
        <f>JudgeProfile!$V$2</f>
        <v>900</v>
      </c>
      <c r="AH31" s="16" t="str">
        <f>JudgeProfile!$Q$2</f>
        <v>1 - Remains in this court full month</v>
      </c>
      <c r="AI31" s="16" t="str">
        <f>JudgeProfile!$U$2</f>
        <v>Addl: District &amp; Sessions Judge (Both Civil and Criminal Matter)</v>
      </c>
      <c r="AJ31" s="16" t="str">
        <f>JudgeProfile!$Z$2</f>
        <v>Sessions Court</v>
      </c>
    </row>
    <row r="32" spans="1:36" ht="15.75">
      <c r="A32" s="17" t="str">
        <f t="shared" si="11"/>
        <v>PHC0290-73-1</v>
      </c>
      <c r="B32" s="17" t="str">
        <f t="shared" si="11"/>
        <v>Mr Amin Said</v>
      </c>
      <c r="C32" s="17" t="str">
        <f t="shared" si="11"/>
        <v>Addl: District &amp; Sessions Judge</v>
      </c>
      <c r="D32" s="17" t="str">
        <f t="shared" si="11"/>
        <v>ADSJ-1</v>
      </c>
      <c r="E32" s="17" t="str">
        <f t="shared" si="11"/>
        <v>Lower Dir - Timergara</v>
      </c>
      <c r="F32" s="17" t="str">
        <f t="shared" si="11"/>
        <v>Regular</v>
      </c>
      <c r="G32" s="171">
        <f t="shared" si="11"/>
        <v>45078</v>
      </c>
      <c r="H32" s="207">
        <f t="shared" si="11"/>
        <v>2023</v>
      </c>
      <c r="I32" s="17" t="s">
        <v>13</v>
      </c>
      <c r="J32" s="42" t="s">
        <v>1877</v>
      </c>
      <c r="K32" s="43" t="s">
        <v>1881</v>
      </c>
      <c r="L32" s="43">
        <f>'Autogenerated Template'!D34</f>
        <v>0</v>
      </c>
      <c r="M32" s="43">
        <f>'Autogenerated Template'!E34</f>
        <v>0</v>
      </c>
      <c r="N32" s="43">
        <f>'Autogenerated Template'!F34</f>
        <v>0</v>
      </c>
      <c r="O32" s="43">
        <f>'Autogenerated Template'!G34</f>
        <v>0</v>
      </c>
      <c r="P32" s="43">
        <f>'Autogenerated Template'!H34</f>
        <v>0</v>
      </c>
      <c r="Q32" s="43">
        <f>'Autogenerated Template'!I34</f>
        <v>0</v>
      </c>
      <c r="R32" s="43">
        <f>'Autogenerated Template'!J34</f>
        <v>0</v>
      </c>
      <c r="S32" s="43">
        <f>'Autogenerated Template'!K34</f>
        <v>0</v>
      </c>
      <c r="T32" s="43">
        <f>'Autogenerated Template'!L34</f>
        <v>0</v>
      </c>
      <c r="U32" s="43">
        <f>'Autogenerated Template'!M34</f>
        <v>0</v>
      </c>
      <c r="V32" s="43">
        <f>'Autogenerated Template'!N34</f>
        <v>0</v>
      </c>
      <c r="W32" s="43">
        <f>'Autogenerated Template'!O34</f>
        <v>0</v>
      </c>
      <c r="X32" s="43">
        <f>'Autogenerated Template'!P34</f>
        <v>0</v>
      </c>
      <c r="Y32" s="43">
        <f>'Autogenerated Template'!Q34</f>
        <v>0</v>
      </c>
      <c r="Z32" s="43">
        <f>'Autogenerated Template'!R34</f>
        <v>0</v>
      </c>
      <c r="AA32" s="43">
        <f>'Autogenerated Template'!S34</f>
        <v>0</v>
      </c>
      <c r="AB32" s="43">
        <f>'Autogenerated Template'!T34</f>
        <v>0</v>
      </c>
      <c r="AC32" s="43">
        <f>'Autogenerated Template'!U34</f>
        <v>0</v>
      </c>
      <c r="AD32" s="16" t="str">
        <f t="shared" si="10"/>
        <v>Zone B</v>
      </c>
      <c r="AE32" s="16" t="str">
        <f t="shared" si="1"/>
        <v>Category Not Edited</v>
      </c>
      <c r="AF32" s="16">
        <f>JudgeProfile!$W$2</f>
        <v>900</v>
      </c>
      <c r="AG32" s="16">
        <f>JudgeProfile!$V$2</f>
        <v>900</v>
      </c>
      <c r="AH32" s="16" t="str">
        <f>JudgeProfile!$Q$2</f>
        <v>1 - Remains in this court full month</v>
      </c>
      <c r="AI32" s="16" t="str">
        <f>JudgeProfile!$U$2</f>
        <v>Addl: District &amp; Sessions Judge (Both Civil and Criminal Matter)</v>
      </c>
      <c r="AJ32" s="16" t="str">
        <f>JudgeProfile!$Z$2</f>
        <v>Sessions Court</v>
      </c>
    </row>
    <row r="33" spans="1:36" ht="15.75">
      <c r="A33" s="17" t="str">
        <f t="shared" ref="A33:H33" si="12">A32</f>
        <v>PHC0290-73-1</v>
      </c>
      <c r="B33" s="17" t="str">
        <f t="shared" si="12"/>
        <v>Mr Amin Said</v>
      </c>
      <c r="C33" s="17" t="str">
        <f t="shared" si="12"/>
        <v>Addl: District &amp; Sessions Judge</v>
      </c>
      <c r="D33" s="17" t="str">
        <f t="shared" si="12"/>
        <v>ADSJ-1</v>
      </c>
      <c r="E33" s="17" t="str">
        <f t="shared" si="12"/>
        <v>Lower Dir - Timergara</v>
      </c>
      <c r="F33" s="17" t="str">
        <f t="shared" si="12"/>
        <v>Regular</v>
      </c>
      <c r="G33" s="171">
        <f t="shared" si="12"/>
        <v>45078</v>
      </c>
      <c r="H33" s="207">
        <f t="shared" si="12"/>
        <v>2023</v>
      </c>
      <c r="I33" s="17" t="s">
        <v>9</v>
      </c>
      <c r="J33" s="42" t="s">
        <v>66</v>
      </c>
      <c r="K33" s="43" t="s">
        <v>67</v>
      </c>
      <c r="L33" s="17">
        <f>'Autogenerated Template'!D39</f>
        <v>0</v>
      </c>
      <c r="M33" s="17">
        <f>'Autogenerated Template'!E39</f>
        <v>0</v>
      </c>
      <c r="N33" s="17">
        <f>'Autogenerated Template'!F39</f>
        <v>0</v>
      </c>
      <c r="O33" s="17">
        <f>'Autogenerated Template'!G39</f>
        <v>0</v>
      </c>
      <c r="P33" s="17">
        <f>'Autogenerated Template'!H39</f>
        <v>0</v>
      </c>
      <c r="Q33" s="17">
        <f>'Autogenerated Template'!I39</f>
        <v>0</v>
      </c>
      <c r="R33" s="17">
        <f>'Autogenerated Template'!J39</f>
        <v>0</v>
      </c>
      <c r="S33" s="17"/>
      <c r="T33" s="17">
        <f>'Autogenerated Template'!K39</f>
        <v>0</v>
      </c>
      <c r="U33" s="17">
        <f>'Autogenerated Template'!L39</f>
        <v>0</v>
      </c>
      <c r="V33" s="17">
        <f>'Autogenerated Template'!N39</f>
        <v>0</v>
      </c>
      <c r="W33" s="17">
        <f>'Autogenerated Template'!O39</f>
        <v>0</v>
      </c>
      <c r="X33" s="17">
        <f>'Autogenerated Template'!P39</f>
        <v>0</v>
      </c>
      <c r="Y33" s="17">
        <f>'Autogenerated Template'!Q39</f>
        <v>0</v>
      </c>
      <c r="Z33" s="17">
        <f>'Autogenerated Template'!R39</f>
        <v>0</v>
      </c>
      <c r="AA33" s="17">
        <f>'Autogenerated Template'!S39</f>
        <v>0</v>
      </c>
      <c r="AB33" s="17">
        <f>'Autogenerated Template'!T39</f>
        <v>0</v>
      </c>
      <c r="AC33" s="17">
        <f>'Autogenerated Template'!U39</f>
        <v>0</v>
      </c>
      <c r="AD33" s="16" t="str">
        <f t="shared" si="10"/>
        <v>Zone B</v>
      </c>
      <c r="AE33" s="16" t="str">
        <f t="shared" si="1"/>
        <v>Category Not Edited</v>
      </c>
      <c r="AF33" s="16">
        <f>JudgeProfile!$W$2</f>
        <v>900</v>
      </c>
      <c r="AG33" s="16">
        <f>JudgeProfile!$V$2</f>
        <v>900</v>
      </c>
      <c r="AH33" s="16" t="str">
        <f>JudgeProfile!$Q$2</f>
        <v>1 - Remains in this court full month</v>
      </c>
      <c r="AI33" s="16" t="str">
        <f>JudgeProfile!$U$2</f>
        <v>Addl: District &amp; Sessions Judge (Both Civil and Criminal Matter)</v>
      </c>
      <c r="AJ33" s="16" t="str">
        <f>JudgeProfile!$Z$2</f>
        <v>Sessions Court</v>
      </c>
    </row>
    <row r="34" spans="1:36" ht="15.75">
      <c r="A34" s="17" t="str">
        <f t="shared" si="2"/>
        <v>PHC0290-73-1</v>
      </c>
      <c r="B34" s="17" t="str">
        <f t="shared" si="3"/>
        <v>Mr Amin Said</v>
      </c>
      <c r="C34" s="17" t="str">
        <f t="shared" si="4"/>
        <v>Addl: District &amp; Sessions Judge</v>
      </c>
      <c r="D34" s="17" t="str">
        <f t="shared" si="5"/>
        <v>ADSJ-1</v>
      </c>
      <c r="E34" s="17" t="str">
        <f t="shared" si="6"/>
        <v>Lower Dir - Timergara</v>
      </c>
      <c r="F34" s="17" t="str">
        <f t="shared" si="7"/>
        <v>Regular</v>
      </c>
      <c r="G34" s="171">
        <f t="shared" si="8"/>
        <v>45078</v>
      </c>
      <c r="H34" s="207">
        <f t="shared" si="9"/>
        <v>2023</v>
      </c>
      <c r="I34" s="17" t="s">
        <v>9</v>
      </c>
      <c r="J34" s="42" t="s">
        <v>68</v>
      </c>
      <c r="K34" s="43" t="s">
        <v>69</v>
      </c>
      <c r="L34" s="17">
        <f>'Autogenerated Template'!D40</f>
        <v>57</v>
      </c>
      <c r="M34" s="17">
        <f>'Autogenerated Template'!E40</f>
        <v>0</v>
      </c>
      <c r="N34" s="17">
        <f>'Autogenerated Template'!F40</f>
        <v>3</v>
      </c>
      <c r="O34" s="17">
        <f>'Autogenerated Template'!G40</f>
        <v>0</v>
      </c>
      <c r="P34" s="17">
        <f>'Autogenerated Template'!H40</f>
        <v>0</v>
      </c>
      <c r="Q34" s="17">
        <f>'Autogenerated Template'!I40</f>
        <v>60</v>
      </c>
      <c r="R34" s="17">
        <f>'Autogenerated Template'!J40</f>
        <v>1</v>
      </c>
      <c r="S34" s="17"/>
      <c r="T34" s="17">
        <f>'Autogenerated Template'!K40</f>
        <v>2</v>
      </c>
      <c r="U34" s="17">
        <f>'Autogenerated Template'!L40</f>
        <v>1</v>
      </c>
      <c r="V34" s="17">
        <f>'Autogenerated Template'!N40</f>
        <v>4</v>
      </c>
      <c r="W34" s="17">
        <f>'Autogenerated Template'!O40</f>
        <v>0</v>
      </c>
      <c r="X34" s="17">
        <f>'Autogenerated Template'!P40</f>
        <v>4</v>
      </c>
      <c r="Y34" s="17">
        <f>'Autogenerated Template'!Q40</f>
        <v>4</v>
      </c>
      <c r="Z34" s="17">
        <f>'Autogenerated Template'!R40</f>
        <v>0</v>
      </c>
      <c r="AA34" s="17">
        <f>'Autogenerated Template'!S40</f>
        <v>5</v>
      </c>
      <c r="AB34" s="17">
        <f>'Autogenerated Template'!T40</f>
        <v>51</v>
      </c>
      <c r="AC34" s="17">
        <f>'Autogenerated Template'!U40</f>
        <v>56</v>
      </c>
      <c r="AD34" s="16" t="str">
        <f t="shared" si="10"/>
        <v>Zone B</v>
      </c>
      <c r="AE34" s="16" t="str">
        <f t="shared" si="1"/>
        <v>Category Edited</v>
      </c>
      <c r="AF34" s="16">
        <f>JudgeProfile!$W$2</f>
        <v>900</v>
      </c>
      <c r="AG34" s="16">
        <f>JudgeProfile!$V$2</f>
        <v>900</v>
      </c>
      <c r="AH34" s="16" t="str">
        <f>JudgeProfile!$Q$2</f>
        <v>1 - Remains in this court full month</v>
      </c>
      <c r="AI34" s="16" t="str">
        <f>JudgeProfile!$U$2</f>
        <v>Addl: District &amp; Sessions Judge (Both Civil and Criminal Matter)</v>
      </c>
      <c r="AJ34" s="16" t="str">
        <f>JudgeProfile!$Z$2</f>
        <v>Sessions Court</v>
      </c>
    </row>
    <row r="35" spans="1:36" ht="15.75">
      <c r="A35" s="17" t="str">
        <f t="shared" si="2"/>
        <v>PHC0290-73-1</v>
      </c>
      <c r="B35" s="17" t="str">
        <f t="shared" si="3"/>
        <v>Mr Amin Said</v>
      </c>
      <c r="C35" s="17" t="str">
        <f t="shared" si="4"/>
        <v>Addl: District &amp; Sessions Judge</v>
      </c>
      <c r="D35" s="17" t="str">
        <f t="shared" si="5"/>
        <v>ADSJ-1</v>
      </c>
      <c r="E35" s="17" t="str">
        <f t="shared" si="6"/>
        <v>Lower Dir - Timergara</v>
      </c>
      <c r="F35" s="17" t="str">
        <f t="shared" si="7"/>
        <v>Regular</v>
      </c>
      <c r="G35" s="171">
        <f t="shared" si="8"/>
        <v>45078</v>
      </c>
      <c r="H35" s="207">
        <f t="shared" si="9"/>
        <v>2023</v>
      </c>
      <c r="I35" s="17" t="s">
        <v>9</v>
      </c>
      <c r="J35" s="42" t="s">
        <v>70</v>
      </c>
      <c r="K35" s="43" t="s">
        <v>71</v>
      </c>
      <c r="L35" s="17">
        <f>'Autogenerated Template'!D41</f>
        <v>1</v>
      </c>
      <c r="M35" s="17">
        <f>'Autogenerated Template'!E41</f>
        <v>2</v>
      </c>
      <c r="N35" s="17">
        <f>'Autogenerated Template'!F41</f>
        <v>0</v>
      </c>
      <c r="O35" s="17">
        <f>'Autogenerated Template'!G41</f>
        <v>0</v>
      </c>
      <c r="P35" s="17">
        <f>'Autogenerated Template'!H41</f>
        <v>0</v>
      </c>
      <c r="Q35" s="17">
        <f>'Autogenerated Template'!I41</f>
        <v>3</v>
      </c>
      <c r="R35" s="17">
        <f>'Autogenerated Template'!J41</f>
        <v>0</v>
      </c>
      <c r="S35" s="17"/>
      <c r="T35" s="17">
        <f>'Autogenerated Template'!K41</f>
        <v>0</v>
      </c>
      <c r="U35" s="17">
        <f>'Autogenerated Template'!L41</f>
        <v>0</v>
      </c>
      <c r="V35" s="17">
        <f>'Autogenerated Template'!N41</f>
        <v>0</v>
      </c>
      <c r="W35" s="17">
        <f>'Autogenerated Template'!O41</f>
        <v>0</v>
      </c>
      <c r="X35" s="17">
        <f>'Autogenerated Template'!P41</f>
        <v>0</v>
      </c>
      <c r="Y35" s="17">
        <f>'Autogenerated Template'!Q41</f>
        <v>0</v>
      </c>
      <c r="Z35" s="17">
        <f>'Autogenerated Template'!R41</f>
        <v>0</v>
      </c>
      <c r="AA35" s="17">
        <f>'Autogenerated Template'!S41</f>
        <v>0</v>
      </c>
      <c r="AB35" s="17">
        <f>'Autogenerated Template'!T41</f>
        <v>3</v>
      </c>
      <c r="AC35" s="17">
        <f>'Autogenerated Template'!U41</f>
        <v>3</v>
      </c>
      <c r="AD35" s="16" t="str">
        <f t="shared" si="10"/>
        <v>Zone B</v>
      </c>
      <c r="AE35" s="16" t="str">
        <f t="shared" si="1"/>
        <v>Category Edited</v>
      </c>
      <c r="AF35" s="16">
        <f>JudgeProfile!$W$2</f>
        <v>900</v>
      </c>
      <c r="AG35" s="16">
        <f>JudgeProfile!$V$2</f>
        <v>900</v>
      </c>
      <c r="AH35" s="16" t="str">
        <f>JudgeProfile!$Q$2</f>
        <v>1 - Remains in this court full month</v>
      </c>
      <c r="AI35" s="16" t="str">
        <f>JudgeProfile!$U$2</f>
        <v>Addl: District &amp; Sessions Judge (Both Civil and Criminal Matter)</v>
      </c>
      <c r="AJ35" s="16" t="str">
        <f>JudgeProfile!$Z$2</f>
        <v>Sessions Court</v>
      </c>
    </row>
    <row r="36" spans="1:36" ht="15.75">
      <c r="A36" s="17" t="str">
        <f t="shared" si="2"/>
        <v>PHC0290-73-1</v>
      </c>
      <c r="B36" s="17" t="str">
        <f t="shared" si="3"/>
        <v>Mr Amin Said</v>
      </c>
      <c r="C36" s="17" t="str">
        <f t="shared" si="4"/>
        <v>Addl: District &amp; Sessions Judge</v>
      </c>
      <c r="D36" s="17" t="str">
        <f t="shared" si="5"/>
        <v>ADSJ-1</v>
      </c>
      <c r="E36" s="17" t="str">
        <f t="shared" si="6"/>
        <v>Lower Dir - Timergara</v>
      </c>
      <c r="F36" s="17" t="str">
        <f t="shared" si="7"/>
        <v>Regular</v>
      </c>
      <c r="G36" s="171">
        <f t="shared" si="8"/>
        <v>45078</v>
      </c>
      <c r="H36" s="207">
        <f t="shared" si="9"/>
        <v>2023</v>
      </c>
      <c r="I36" s="17" t="s">
        <v>9</v>
      </c>
      <c r="J36" s="42" t="s">
        <v>72</v>
      </c>
      <c r="K36" s="43" t="s">
        <v>73</v>
      </c>
      <c r="L36" s="17">
        <f>'Autogenerated Template'!D42</f>
        <v>0</v>
      </c>
      <c r="M36" s="17">
        <f>'Autogenerated Template'!E42</f>
        <v>0</v>
      </c>
      <c r="N36" s="17">
        <f>'Autogenerated Template'!F42</f>
        <v>0</v>
      </c>
      <c r="O36" s="17">
        <f>'Autogenerated Template'!G42</f>
        <v>0</v>
      </c>
      <c r="P36" s="17">
        <f>'Autogenerated Template'!H42</f>
        <v>0</v>
      </c>
      <c r="Q36" s="17">
        <f>'Autogenerated Template'!I42</f>
        <v>0</v>
      </c>
      <c r="R36" s="17">
        <f>'Autogenerated Template'!J42</f>
        <v>0</v>
      </c>
      <c r="S36" s="17"/>
      <c r="T36" s="17">
        <f>'Autogenerated Template'!K42</f>
        <v>0</v>
      </c>
      <c r="U36" s="17">
        <f>'Autogenerated Template'!L42</f>
        <v>0</v>
      </c>
      <c r="V36" s="17">
        <f>'Autogenerated Template'!N42</f>
        <v>0</v>
      </c>
      <c r="W36" s="17">
        <f>'Autogenerated Template'!O42</f>
        <v>0</v>
      </c>
      <c r="X36" s="17">
        <f>'Autogenerated Template'!P42</f>
        <v>0</v>
      </c>
      <c r="Y36" s="17">
        <f>'Autogenerated Template'!Q42</f>
        <v>0</v>
      </c>
      <c r="Z36" s="17">
        <f>'Autogenerated Template'!R42</f>
        <v>0</v>
      </c>
      <c r="AA36" s="17">
        <f>'Autogenerated Template'!S42</f>
        <v>0</v>
      </c>
      <c r="AB36" s="17">
        <f>'Autogenerated Template'!T42</f>
        <v>0</v>
      </c>
      <c r="AC36" s="17">
        <f>'Autogenerated Template'!U42</f>
        <v>0</v>
      </c>
      <c r="AD36" s="16" t="str">
        <f t="shared" si="10"/>
        <v>Zone B</v>
      </c>
      <c r="AE36" s="16" t="str">
        <f t="shared" si="1"/>
        <v>Category Not Edited</v>
      </c>
      <c r="AF36" s="16">
        <f>JudgeProfile!$W$2</f>
        <v>900</v>
      </c>
      <c r="AG36" s="16">
        <f>JudgeProfile!$V$2</f>
        <v>900</v>
      </c>
      <c r="AH36" s="16" t="str">
        <f>JudgeProfile!$Q$2</f>
        <v>1 - Remains in this court full month</v>
      </c>
      <c r="AI36" s="16" t="str">
        <f>JudgeProfile!$U$2</f>
        <v>Addl: District &amp; Sessions Judge (Both Civil and Criminal Matter)</v>
      </c>
      <c r="AJ36" s="16" t="str">
        <f>JudgeProfile!$Z$2</f>
        <v>Sessions Court</v>
      </c>
    </row>
    <row r="37" spans="1:36" ht="15.75">
      <c r="A37" s="17" t="str">
        <f t="shared" si="2"/>
        <v>PHC0290-73-1</v>
      </c>
      <c r="B37" s="17" t="str">
        <f t="shared" si="3"/>
        <v>Mr Amin Said</v>
      </c>
      <c r="C37" s="17" t="str">
        <f t="shared" si="4"/>
        <v>Addl: District &amp; Sessions Judge</v>
      </c>
      <c r="D37" s="17" t="str">
        <f t="shared" si="5"/>
        <v>ADSJ-1</v>
      </c>
      <c r="E37" s="17" t="str">
        <f t="shared" si="6"/>
        <v>Lower Dir - Timergara</v>
      </c>
      <c r="F37" s="17" t="str">
        <f t="shared" si="7"/>
        <v>Regular</v>
      </c>
      <c r="G37" s="171">
        <f t="shared" si="8"/>
        <v>45078</v>
      </c>
      <c r="H37" s="207">
        <f t="shared" si="9"/>
        <v>2023</v>
      </c>
      <c r="I37" s="17" t="s">
        <v>9</v>
      </c>
      <c r="J37" s="42" t="s">
        <v>74</v>
      </c>
      <c r="K37" s="43" t="s">
        <v>75</v>
      </c>
      <c r="L37" s="17">
        <f>'Autogenerated Template'!D43</f>
        <v>0</v>
      </c>
      <c r="M37" s="17">
        <f>'Autogenerated Template'!E43</f>
        <v>0</v>
      </c>
      <c r="N37" s="17">
        <f>'Autogenerated Template'!F43</f>
        <v>0</v>
      </c>
      <c r="O37" s="17">
        <f>'Autogenerated Template'!G43</f>
        <v>0</v>
      </c>
      <c r="P37" s="17">
        <f>'Autogenerated Template'!H43</f>
        <v>0</v>
      </c>
      <c r="Q37" s="17">
        <f>'Autogenerated Template'!I43</f>
        <v>0</v>
      </c>
      <c r="R37" s="17">
        <f>'Autogenerated Template'!J43</f>
        <v>0</v>
      </c>
      <c r="S37" s="17"/>
      <c r="T37" s="17">
        <f>'Autogenerated Template'!K43</f>
        <v>0</v>
      </c>
      <c r="U37" s="17">
        <f>'Autogenerated Template'!L43</f>
        <v>0</v>
      </c>
      <c r="V37" s="17">
        <f>'Autogenerated Template'!N43</f>
        <v>0</v>
      </c>
      <c r="W37" s="17">
        <f>'Autogenerated Template'!O43</f>
        <v>0</v>
      </c>
      <c r="X37" s="17">
        <f>'Autogenerated Template'!P43</f>
        <v>0</v>
      </c>
      <c r="Y37" s="17">
        <f>'Autogenerated Template'!Q43</f>
        <v>0</v>
      </c>
      <c r="Z37" s="17">
        <f>'Autogenerated Template'!R43</f>
        <v>0</v>
      </c>
      <c r="AA37" s="17">
        <f>'Autogenerated Template'!S43</f>
        <v>0</v>
      </c>
      <c r="AB37" s="17">
        <f>'Autogenerated Template'!T43</f>
        <v>0</v>
      </c>
      <c r="AC37" s="17">
        <f>'Autogenerated Template'!U43</f>
        <v>0</v>
      </c>
      <c r="AD37" s="16" t="str">
        <f t="shared" si="10"/>
        <v>Zone B</v>
      </c>
      <c r="AE37" s="16" t="str">
        <f t="shared" si="1"/>
        <v>Category Not Edited</v>
      </c>
      <c r="AF37" s="16">
        <f>JudgeProfile!$W$2</f>
        <v>900</v>
      </c>
      <c r="AG37" s="16">
        <f>JudgeProfile!$V$2</f>
        <v>900</v>
      </c>
      <c r="AH37" s="16" t="str">
        <f>JudgeProfile!$Q$2</f>
        <v>1 - Remains in this court full month</v>
      </c>
      <c r="AI37" s="16" t="str">
        <f>JudgeProfile!$U$2</f>
        <v>Addl: District &amp; Sessions Judge (Both Civil and Criminal Matter)</v>
      </c>
      <c r="AJ37" s="16" t="str">
        <f>JudgeProfile!$Z$2</f>
        <v>Sessions Court</v>
      </c>
    </row>
    <row r="38" spans="1:36" ht="15.75">
      <c r="A38" s="17" t="str">
        <f t="shared" si="2"/>
        <v>PHC0290-73-1</v>
      </c>
      <c r="B38" s="17" t="str">
        <f t="shared" si="3"/>
        <v>Mr Amin Said</v>
      </c>
      <c r="C38" s="17" t="str">
        <f t="shared" si="4"/>
        <v>Addl: District &amp; Sessions Judge</v>
      </c>
      <c r="D38" s="17" t="str">
        <f t="shared" si="5"/>
        <v>ADSJ-1</v>
      </c>
      <c r="E38" s="17" t="str">
        <f t="shared" si="6"/>
        <v>Lower Dir - Timergara</v>
      </c>
      <c r="F38" s="17" t="str">
        <f t="shared" si="7"/>
        <v>Regular</v>
      </c>
      <c r="G38" s="171">
        <f t="shared" si="8"/>
        <v>45078</v>
      </c>
      <c r="H38" s="207">
        <f t="shared" si="9"/>
        <v>2023</v>
      </c>
      <c r="I38" s="17" t="s">
        <v>9</v>
      </c>
      <c r="J38" s="42" t="s">
        <v>76</v>
      </c>
      <c r="K38" s="43" t="s">
        <v>77</v>
      </c>
      <c r="L38" s="17">
        <f>'Autogenerated Template'!D44</f>
        <v>0</v>
      </c>
      <c r="M38" s="17">
        <f>'Autogenerated Template'!E44</f>
        <v>0</v>
      </c>
      <c r="N38" s="17">
        <f>'Autogenerated Template'!F44</f>
        <v>0</v>
      </c>
      <c r="O38" s="17">
        <f>'Autogenerated Template'!G44</f>
        <v>0</v>
      </c>
      <c r="P38" s="17">
        <f>'Autogenerated Template'!H44</f>
        <v>0</v>
      </c>
      <c r="Q38" s="17">
        <f>'Autogenerated Template'!I44</f>
        <v>0</v>
      </c>
      <c r="R38" s="17">
        <f>'Autogenerated Template'!J44</f>
        <v>0</v>
      </c>
      <c r="S38" s="17"/>
      <c r="T38" s="17">
        <f>'Autogenerated Template'!K44</f>
        <v>0</v>
      </c>
      <c r="U38" s="17">
        <f>'Autogenerated Template'!L44</f>
        <v>0</v>
      </c>
      <c r="V38" s="17">
        <f>'Autogenerated Template'!N44</f>
        <v>0</v>
      </c>
      <c r="W38" s="17">
        <f>'Autogenerated Template'!O44</f>
        <v>0</v>
      </c>
      <c r="X38" s="17">
        <f>'Autogenerated Template'!P44</f>
        <v>0</v>
      </c>
      <c r="Y38" s="17">
        <f>'Autogenerated Template'!Q44</f>
        <v>0</v>
      </c>
      <c r="Z38" s="17">
        <f>'Autogenerated Template'!R44</f>
        <v>0</v>
      </c>
      <c r="AA38" s="17">
        <f>'Autogenerated Template'!S44</f>
        <v>0</v>
      </c>
      <c r="AB38" s="17">
        <f>'Autogenerated Template'!T44</f>
        <v>0</v>
      </c>
      <c r="AC38" s="17">
        <f>'Autogenerated Template'!U44</f>
        <v>0</v>
      </c>
      <c r="AD38" s="16" t="str">
        <f t="shared" si="10"/>
        <v>Zone B</v>
      </c>
      <c r="AE38" s="16" t="str">
        <f t="shared" si="1"/>
        <v>Category Not Edited</v>
      </c>
      <c r="AF38" s="16">
        <f>JudgeProfile!$W$2</f>
        <v>900</v>
      </c>
      <c r="AG38" s="16">
        <f>JudgeProfile!$V$2</f>
        <v>900</v>
      </c>
      <c r="AH38" s="16" t="str">
        <f>JudgeProfile!$Q$2</f>
        <v>1 - Remains in this court full month</v>
      </c>
      <c r="AI38" s="16" t="str">
        <f>JudgeProfile!$U$2</f>
        <v>Addl: District &amp; Sessions Judge (Both Civil and Criminal Matter)</v>
      </c>
      <c r="AJ38" s="16" t="str">
        <f>JudgeProfile!$Z$2</f>
        <v>Sessions Court</v>
      </c>
    </row>
    <row r="39" spans="1:36" ht="15.75">
      <c r="A39" s="17" t="str">
        <f t="shared" si="2"/>
        <v>PHC0290-73-1</v>
      </c>
      <c r="B39" s="17" t="str">
        <f t="shared" si="3"/>
        <v>Mr Amin Said</v>
      </c>
      <c r="C39" s="17" t="str">
        <f t="shared" si="4"/>
        <v>Addl: District &amp; Sessions Judge</v>
      </c>
      <c r="D39" s="17" t="str">
        <f t="shared" si="5"/>
        <v>ADSJ-1</v>
      </c>
      <c r="E39" s="17" t="str">
        <f t="shared" si="6"/>
        <v>Lower Dir - Timergara</v>
      </c>
      <c r="F39" s="17" t="str">
        <f t="shared" si="7"/>
        <v>Regular</v>
      </c>
      <c r="G39" s="171">
        <f t="shared" si="8"/>
        <v>45078</v>
      </c>
      <c r="H39" s="207">
        <f t="shared" si="9"/>
        <v>2023</v>
      </c>
      <c r="I39" s="17" t="s">
        <v>9</v>
      </c>
      <c r="J39" s="42" t="s">
        <v>78</v>
      </c>
      <c r="K39" s="43" t="s">
        <v>79</v>
      </c>
      <c r="L39" s="17">
        <f>'Autogenerated Template'!D45</f>
        <v>0</v>
      </c>
      <c r="M39" s="17">
        <f>'Autogenerated Template'!E45</f>
        <v>0</v>
      </c>
      <c r="N39" s="17">
        <f>'Autogenerated Template'!F45</f>
        <v>0</v>
      </c>
      <c r="O39" s="17">
        <f>'Autogenerated Template'!G45</f>
        <v>0</v>
      </c>
      <c r="P39" s="17">
        <f>'Autogenerated Template'!H45</f>
        <v>0</v>
      </c>
      <c r="Q39" s="17">
        <f>'Autogenerated Template'!I45</f>
        <v>0</v>
      </c>
      <c r="R39" s="17">
        <f>'Autogenerated Template'!J45</f>
        <v>0</v>
      </c>
      <c r="S39" s="17"/>
      <c r="T39" s="17">
        <f>'Autogenerated Template'!K45</f>
        <v>0</v>
      </c>
      <c r="U39" s="17">
        <f>'Autogenerated Template'!L45</f>
        <v>0</v>
      </c>
      <c r="V39" s="17">
        <f>'Autogenerated Template'!N45</f>
        <v>0</v>
      </c>
      <c r="W39" s="17">
        <f>'Autogenerated Template'!O45</f>
        <v>0</v>
      </c>
      <c r="X39" s="17">
        <f>'Autogenerated Template'!P45</f>
        <v>0</v>
      </c>
      <c r="Y39" s="17">
        <f>'Autogenerated Template'!Q45</f>
        <v>0</v>
      </c>
      <c r="Z39" s="17">
        <f>'Autogenerated Template'!R45</f>
        <v>0</v>
      </c>
      <c r="AA39" s="17">
        <f>'Autogenerated Template'!S45</f>
        <v>0</v>
      </c>
      <c r="AB39" s="17">
        <f>'Autogenerated Template'!T45</f>
        <v>0</v>
      </c>
      <c r="AC39" s="17">
        <f>'Autogenerated Template'!U45</f>
        <v>0</v>
      </c>
      <c r="AD39" s="16" t="str">
        <f t="shared" si="10"/>
        <v>Zone B</v>
      </c>
      <c r="AE39" s="16" t="str">
        <f t="shared" si="1"/>
        <v>Category Not Edited</v>
      </c>
      <c r="AF39" s="16">
        <f>JudgeProfile!$W$2</f>
        <v>900</v>
      </c>
      <c r="AG39" s="16">
        <f>JudgeProfile!$V$2</f>
        <v>900</v>
      </c>
      <c r="AH39" s="16" t="str">
        <f>JudgeProfile!$Q$2</f>
        <v>1 - Remains in this court full month</v>
      </c>
      <c r="AI39" s="16" t="str">
        <f>JudgeProfile!$U$2</f>
        <v>Addl: District &amp; Sessions Judge (Both Civil and Criminal Matter)</v>
      </c>
      <c r="AJ39" s="16" t="str">
        <f>JudgeProfile!$Z$2</f>
        <v>Sessions Court</v>
      </c>
    </row>
    <row r="40" spans="1:36" ht="15.75">
      <c r="A40" s="17" t="str">
        <f t="shared" si="2"/>
        <v>PHC0290-73-1</v>
      </c>
      <c r="B40" s="17" t="str">
        <f t="shared" si="3"/>
        <v>Mr Amin Said</v>
      </c>
      <c r="C40" s="17" t="str">
        <f t="shared" si="4"/>
        <v>Addl: District &amp; Sessions Judge</v>
      </c>
      <c r="D40" s="17" t="str">
        <f t="shared" si="5"/>
        <v>ADSJ-1</v>
      </c>
      <c r="E40" s="17" t="str">
        <f t="shared" si="6"/>
        <v>Lower Dir - Timergara</v>
      </c>
      <c r="F40" s="17" t="str">
        <f t="shared" si="7"/>
        <v>Regular</v>
      </c>
      <c r="G40" s="171">
        <f t="shared" si="8"/>
        <v>45078</v>
      </c>
      <c r="H40" s="207">
        <f t="shared" si="9"/>
        <v>2023</v>
      </c>
      <c r="I40" s="17" t="s">
        <v>9</v>
      </c>
      <c r="J40" s="42" t="s">
        <v>80</v>
      </c>
      <c r="K40" s="43" t="s">
        <v>81</v>
      </c>
      <c r="L40" s="17">
        <f>'Autogenerated Template'!D46</f>
        <v>0</v>
      </c>
      <c r="M40" s="17">
        <f>'Autogenerated Template'!E46</f>
        <v>0</v>
      </c>
      <c r="N40" s="17">
        <f>'Autogenerated Template'!F46</f>
        <v>0</v>
      </c>
      <c r="O40" s="17">
        <f>'Autogenerated Template'!G46</f>
        <v>0</v>
      </c>
      <c r="P40" s="17">
        <f>'Autogenerated Template'!H46</f>
        <v>0</v>
      </c>
      <c r="Q40" s="17">
        <f>'Autogenerated Template'!I46</f>
        <v>0</v>
      </c>
      <c r="R40" s="17">
        <f>'Autogenerated Template'!J46</f>
        <v>0</v>
      </c>
      <c r="S40" s="17"/>
      <c r="T40" s="17">
        <f>'Autogenerated Template'!K46</f>
        <v>0</v>
      </c>
      <c r="U40" s="17">
        <f>'Autogenerated Template'!L46</f>
        <v>0</v>
      </c>
      <c r="V40" s="17">
        <f>'Autogenerated Template'!N46</f>
        <v>0</v>
      </c>
      <c r="W40" s="17">
        <f>'Autogenerated Template'!O46</f>
        <v>0</v>
      </c>
      <c r="X40" s="17">
        <f>'Autogenerated Template'!P46</f>
        <v>0</v>
      </c>
      <c r="Y40" s="17">
        <f>'Autogenerated Template'!Q46</f>
        <v>0</v>
      </c>
      <c r="Z40" s="17">
        <f>'Autogenerated Template'!R46</f>
        <v>0</v>
      </c>
      <c r="AA40" s="17">
        <f>'Autogenerated Template'!S46</f>
        <v>0</v>
      </c>
      <c r="AB40" s="17">
        <f>'Autogenerated Template'!T46</f>
        <v>0</v>
      </c>
      <c r="AC40" s="17">
        <f>'Autogenerated Template'!U46</f>
        <v>0</v>
      </c>
      <c r="AD40" s="16" t="str">
        <f t="shared" si="10"/>
        <v>Zone B</v>
      </c>
      <c r="AE40" s="16" t="str">
        <f t="shared" si="1"/>
        <v>Category Not Edited</v>
      </c>
      <c r="AF40" s="16">
        <f>JudgeProfile!$W$2</f>
        <v>900</v>
      </c>
      <c r="AG40" s="16">
        <f>JudgeProfile!$V$2</f>
        <v>900</v>
      </c>
      <c r="AH40" s="16" t="str">
        <f>JudgeProfile!$Q$2</f>
        <v>1 - Remains in this court full month</v>
      </c>
      <c r="AI40" s="16" t="str">
        <f>JudgeProfile!$U$2</f>
        <v>Addl: District &amp; Sessions Judge (Both Civil and Criminal Matter)</v>
      </c>
      <c r="AJ40" s="16" t="str">
        <f>JudgeProfile!$Z$2</f>
        <v>Sessions Court</v>
      </c>
    </row>
    <row r="41" spans="1:36" ht="15.75">
      <c r="A41" s="17" t="str">
        <f t="shared" si="2"/>
        <v>PHC0290-73-1</v>
      </c>
      <c r="B41" s="17" t="str">
        <f t="shared" si="3"/>
        <v>Mr Amin Said</v>
      </c>
      <c r="C41" s="17" t="str">
        <f t="shared" si="4"/>
        <v>Addl: District &amp; Sessions Judge</v>
      </c>
      <c r="D41" s="17" t="str">
        <f t="shared" si="5"/>
        <v>ADSJ-1</v>
      </c>
      <c r="E41" s="17" t="str">
        <f t="shared" si="6"/>
        <v>Lower Dir - Timergara</v>
      </c>
      <c r="F41" s="17" t="str">
        <f t="shared" si="7"/>
        <v>Regular</v>
      </c>
      <c r="G41" s="171">
        <f t="shared" si="8"/>
        <v>45078</v>
      </c>
      <c r="H41" s="207">
        <f t="shared" si="9"/>
        <v>2023</v>
      </c>
      <c r="I41" s="17" t="s">
        <v>9</v>
      </c>
      <c r="J41" s="42" t="s">
        <v>82</v>
      </c>
      <c r="K41" s="43" t="s">
        <v>83</v>
      </c>
      <c r="L41" s="17">
        <f>'Autogenerated Template'!D47</f>
        <v>59</v>
      </c>
      <c r="M41" s="17">
        <f>'Autogenerated Template'!E47</f>
        <v>0</v>
      </c>
      <c r="N41" s="17">
        <f>'Autogenerated Template'!F47</f>
        <v>2</v>
      </c>
      <c r="O41" s="17">
        <f>'Autogenerated Template'!G47</f>
        <v>0</v>
      </c>
      <c r="P41" s="17">
        <f>'Autogenerated Template'!H47</f>
        <v>0</v>
      </c>
      <c r="Q41" s="17">
        <f>'Autogenerated Template'!I47</f>
        <v>61</v>
      </c>
      <c r="R41" s="17">
        <f>'Autogenerated Template'!J47</f>
        <v>1</v>
      </c>
      <c r="S41" s="17"/>
      <c r="T41" s="17">
        <f>'Autogenerated Template'!K47</f>
        <v>0</v>
      </c>
      <c r="U41" s="17">
        <f>'Autogenerated Template'!L47</f>
        <v>0</v>
      </c>
      <c r="V41" s="17">
        <f>'Autogenerated Template'!N47</f>
        <v>1</v>
      </c>
      <c r="W41" s="17">
        <f>'Autogenerated Template'!O47</f>
        <v>1</v>
      </c>
      <c r="X41" s="17">
        <f>'Autogenerated Template'!P47</f>
        <v>0</v>
      </c>
      <c r="Y41" s="17">
        <f>'Autogenerated Template'!Q47</f>
        <v>1</v>
      </c>
      <c r="Z41" s="17">
        <f>'Autogenerated Template'!R47</f>
        <v>0</v>
      </c>
      <c r="AA41" s="17">
        <f>'Autogenerated Template'!S47</f>
        <v>47</v>
      </c>
      <c r="AB41" s="17">
        <f>'Autogenerated Template'!T47</f>
        <v>13</v>
      </c>
      <c r="AC41" s="17">
        <f>'Autogenerated Template'!U47</f>
        <v>60</v>
      </c>
      <c r="AD41" s="16" t="str">
        <f t="shared" si="10"/>
        <v>Zone B</v>
      </c>
      <c r="AE41" s="16" t="str">
        <f t="shared" si="1"/>
        <v>Category Edited</v>
      </c>
      <c r="AF41" s="16">
        <f>JudgeProfile!$W$2</f>
        <v>900</v>
      </c>
      <c r="AG41" s="16">
        <f>JudgeProfile!$V$2</f>
        <v>900</v>
      </c>
      <c r="AH41" s="16" t="str">
        <f>JudgeProfile!$Q$2</f>
        <v>1 - Remains in this court full month</v>
      </c>
      <c r="AI41" s="16" t="str">
        <f>JudgeProfile!$U$2</f>
        <v>Addl: District &amp; Sessions Judge (Both Civil and Criminal Matter)</v>
      </c>
      <c r="AJ41" s="16" t="str">
        <f>JudgeProfile!$Z$2</f>
        <v>Sessions Court</v>
      </c>
    </row>
    <row r="42" spans="1:36" ht="15.75">
      <c r="A42" s="17" t="str">
        <f t="shared" si="2"/>
        <v>PHC0290-73-1</v>
      </c>
      <c r="B42" s="17" t="str">
        <f t="shared" si="3"/>
        <v>Mr Amin Said</v>
      </c>
      <c r="C42" s="17" t="str">
        <f t="shared" si="4"/>
        <v>Addl: District &amp; Sessions Judge</v>
      </c>
      <c r="D42" s="17" t="str">
        <f t="shared" si="5"/>
        <v>ADSJ-1</v>
      </c>
      <c r="E42" s="17" t="str">
        <f t="shared" si="6"/>
        <v>Lower Dir - Timergara</v>
      </c>
      <c r="F42" s="17" t="str">
        <f t="shared" si="7"/>
        <v>Regular</v>
      </c>
      <c r="G42" s="171">
        <f t="shared" si="8"/>
        <v>45078</v>
      </c>
      <c r="H42" s="207">
        <f t="shared" si="9"/>
        <v>2023</v>
      </c>
      <c r="I42" s="17" t="s">
        <v>9</v>
      </c>
      <c r="J42" s="42" t="s">
        <v>84</v>
      </c>
      <c r="K42" s="43" t="s">
        <v>85</v>
      </c>
      <c r="L42" s="17">
        <f>'Autogenerated Template'!D48</f>
        <v>0</v>
      </c>
      <c r="M42" s="17">
        <f>'Autogenerated Template'!E48</f>
        <v>0</v>
      </c>
      <c r="N42" s="17">
        <f>'Autogenerated Template'!F48</f>
        <v>0</v>
      </c>
      <c r="O42" s="17">
        <f>'Autogenerated Template'!G48</f>
        <v>0</v>
      </c>
      <c r="P42" s="17">
        <f>'Autogenerated Template'!H48</f>
        <v>0</v>
      </c>
      <c r="Q42" s="17">
        <f>'Autogenerated Template'!I48</f>
        <v>0</v>
      </c>
      <c r="R42" s="17">
        <f>'Autogenerated Template'!J48</f>
        <v>0</v>
      </c>
      <c r="S42" s="17"/>
      <c r="T42" s="17">
        <f>'Autogenerated Template'!K48</f>
        <v>0</v>
      </c>
      <c r="U42" s="17">
        <f>'Autogenerated Template'!L48</f>
        <v>0</v>
      </c>
      <c r="V42" s="17">
        <f>'Autogenerated Template'!N48</f>
        <v>0</v>
      </c>
      <c r="W42" s="17">
        <f>'Autogenerated Template'!O48</f>
        <v>0</v>
      </c>
      <c r="X42" s="17">
        <f>'Autogenerated Template'!P48</f>
        <v>0</v>
      </c>
      <c r="Y42" s="17">
        <f>'Autogenerated Template'!Q48</f>
        <v>0</v>
      </c>
      <c r="Z42" s="17">
        <f>'Autogenerated Template'!R48</f>
        <v>0</v>
      </c>
      <c r="AA42" s="17">
        <f>'Autogenerated Template'!S48</f>
        <v>0</v>
      </c>
      <c r="AB42" s="17">
        <f>'Autogenerated Template'!T48</f>
        <v>0</v>
      </c>
      <c r="AC42" s="17">
        <f>'Autogenerated Template'!U48</f>
        <v>0</v>
      </c>
      <c r="AD42" s="16" t="str">
        <f t="shared" si="10"/>
        <v>Zone B</v>
      </c>
      <c r="AE42" s="16" t="str">
        <f t="shared" si="1"/>
        <v>Category Not Edited</v>
      </c>
      <c r="AF42" s="16">
        <f>JudgeProfile!$W$2</f>
        <v>900</v>
      </c>
      <c r="AG42" s="16">
        <f>JudgeProfile!$V$2</f>
        <v>900</v>
      </c>
      <c r="AH42" s="16" t="str">
        <f>JudgeProfile!$Q$2</f>
        <v>1 - Remains in this court full month</v>
      </c>
      <c r="AI42" s="16" t="str">
        <f>JudgeProfile!$U$2</f>
        <v>Addl: District &amp; Sessions Judge (Both Civil and Criminal Matter)</v>
      </c>
      <c r="AJ42" s="16" t="str">
        <f>JudgeProfile!$Z$2</f>
        <v>Sessions Court</v>
      </c>
    </row>
    <row r="43" spans="1:36" ht="31.5">
      <c r="A43" s="17" t="str">
        <f t="shared" si="2"/>
        <v>PHC0290-73-1</v>
      </c>
      <c r="B43" s="17" t="str">
        <f t="shared" si="3"/>
        <v>Mr Amin Said</v>
      </c>
      <c r="C43" s="17" t="str">
        <f t="shared" si="4"/>
        <v>Addl: District &amp; Sessions Judge</v>
      </c>
      <c r="D43" s="17" t="str">
        <f t="shared" si="5"/>
        <v>ADSJ-1</v>
      </c>
      <c r="E43" s="17" t="str">
        <f t="shared" si="6"/>
        <v>Lower Dir - Timergara</v>
      </c>
      <c r="F43" s="17" t="str">
        <f t="shared" si="7"/>
        <v>Regular</v>
      </c>
      <c r="G43" s="171">
        <f t="shared" si="8"/>
        <v>45078</v>
      </c>
      <c r="H43" s="207">
        <f t="shared" si="9"/>
        <v>2023</v>
      </c>
      <c r="I43" s="17" t="s">
        <v>9</v>
      </c>
      <c r="J43" s="42" t="s">
        <v>86</v>
      </c>
      <c r="K43" s="43" t="s">
        <v>87</v>
      </c>
      <c r="L43" s="17">
        <f>'Autogenerated Template'!D49</f>
        <v>0</v>
      </c>
      <c r="M43" s="17">
        <f>'Autogenerated Template'!E49</f>
        <v>0</v>
      </c>
      <c r="N43" s="17">
        <f>'Autogenerated Template'!F49</f>
        <v>0</v>
      </c>
      <c r="O43" s="17">
        <f>'Autogenerated Template'!G49</f>
        <v>0</v>
      </c>
      <c r="P43" s="17">
        <f>'Autogenerated Template'!H49</f>
        <v>0</v>
      </c>
      <c r="Q43" s="17">
        <f>'Autogenerated Template'!I49</f>
        <v>0</v>
      </c>
      <c r="R43" s="17">
        <f>'Autogenerated Template'!J49</f>
        <v>0</v>
      </c>
      <c r="S43" s="17"/>
      <c r="T43" s="17">
        <f>'Autogenerated Template'!K49</f>
        <v>0</v>
      </c>
      <c r="U43" s="17">
        <f>'Autogenerated Template'!L49</f>
        <v>0</v>
      </c>
      <c r="V43" s="17">
        <f>'Autogenerated Template'!N49</f>
        <v>0</v>
      </c>
      <c r="W43" s="17">
        <f>'Autogenerated Template'!O49</f>
        <v>0</v>
      </c>
      <c r="X43" s="17">
        <f>'Autogenerated Template'!P49</f>
        <v>0</v>
      </c>
      <c r="Y43" s="17">
        <f>'Autogenerated Template'!Q49</f>
        <v>0</v>
      </c>
      <c r="Z43" s="17">
        <f>'Autogenerated Template'!R49</f>
        <v>0</v>
      </c>
      <c r="AA43" s="17">
        <f>'Autogenerated Template'!S49</f>
        <v>0</v>
      </c>
      <c r="AB43" s="17">
        <f>'Autogenerated Template'!T49</f>
        <v>0</v>
      </c>
      <c r="AC43" s="17">
        <f>'Autogenerated Template'!U49</f>
        <v>0</v>
      </c>
      <c r="AD43" s="16" t="str">
        <f t="shared" si="10"/>
        <v>Zone B</v>
      </c>
      <c r="AE43" s="16" t="str">
        <f t="shared" si="1"/>
        <v>Category Not Edited</v>
      </c>
      <c r="AF43" s="16">
        <f>JudgeProfile!$W$2</f>
        <v>900</v>
      </c>
      <c r="AG43" s="16">
        <f>JudgeProfile!$V$2</f>
        <v>900</v>
      </c>
      <c r="AH43" s="16" t="str">
        <f>JudgeProfile!$Q$2</f>
        <v>1 - Remains in this court full month</v>
      </c>
      <c r="AI43" s="16" t="str">
        <f>JudgeProfile!$U$2</f>
        <v>Addl: District &amp; Sessions Judge (Both Civil and Criminal Matter)</v>
      </c>
      <c r="AJ43" s="16" t="str">
        <f>JudgeProfile!$Z$2</f>
        <v>Sessions Court</v>
      </c>
    </row>
    <row r="44" spans="1:36" ht="15.75">
      <c r="A44" s="17" t="str">
        <f t="shared" si="2"/>
        <v>PHC0290-73-1</v>
      </c>
      <c r="B44" s="17" t="str">
        <f t="shared" si="3"/>
        <v>Mr Amin Said</v>
      </c>
      <c r="C44" s="17" t="str">
        <f t="shared" si="4"/>
        <v>Addl: District &amp; Sessions Judge</v>
      </c>
      <c r="D44" s="17" t="str">
        <f t="shared" si="5"/>
        <v>ADSJ-1</v>
      </c>
      <c r="E44" s="17" t="str">
        <f t="shared" si="6"/>
        <v>Lower Dir - Timergara</v>
      </c>
      <c r="F44" s="17" t="str">
        <f t="shared" si="7"/>
        <v>Regular</v>
      </c>
      <c r="G44" s="171">
        <f t="shared" si="8"/>
        <v>45078</v>
      </c>
      <c r="H44" s="207">
        <f t="shared" si="9"/>
        <v>2023</v>
      </c>
      <c r="I44" s="17" t="s">
        <v>9</v>
      </c>
      <c r="J44" s="42" t="s">
        <v>88</v>
      </c>
      <c r="K44" s="43" t="s">
        <v>89</v>
      </c>
      <c r="L44" s="17">
        <f>'Autogenerated Template'!D50</f>
        <v>0</v>
      </c>
      <c r="M44" s="17">
        <f>'Autogenerated Template'!E50</f>
        <v>0</v>
      </c>
      <c r="N44" s="17">
        <f>'Autogenerated Template'!F50</f>
        <v>0</v>
      </c>
      <c r="O44" s="17">
        <f>'Autogenerated Template'!G50</f>
        <v>0</v>
      </c>
      <c r="P44" s="17">
        <f>'Autogenerated Template'!H50</f>
        <v>0</v>
      </c>
      <c r="Q44" s="17">
        <f>'Autogenerated Template'!I50</f>
        <v>0</v>
      </c>
      <c r="R44" s="17">
        <f>'Autogenerated Template'!J50</f>
        <v>0</v>
      </c>
      <c r="S44" s="17"/>
      <c r="T44" s="17">
        <f>'Autogenerated Template'!K50</f>
        <v>0</v>
      </c>
      <c r="U44" s="17">
        <f>'Autogenerated Template'!L50</f>
        <v>0</v>
      </c>
      <c r="V44" s="17">
        <f>'Autogenerated Template'!N50</f>
        <v>0</v>
      </c>
      <c r="W44" s="17">
        <f>'Autogenerated Template'!O50</f>
        <v>0</v>
      </c>
      <c r="X44" s="17">
        <f>'Autogenerated Template'!P50</f>
        <v>0</v>
      </c>
      <c r="Y44" s="17">
        <f>'Autogenerated Template'!Q50</f>
        <v>0</v>
      </c>
      <c r="Z44" s="17">
        <f>'Autogenerated Template'!R50</f>
        <v>0</v>
      </c>
      <c r="AA44" s="17">
        <f>'Autogenerated Template'!S50</f>
        <v>0</v>
      </c>
      <c r="AB44" s="17">
        <f>'Autogenerated Template'!T50</f>
        <v>0</v>
      </c>
      <c r="AC44" s="17">
        <f>'Autogenerated Template'!U50</f>
        <v>0</v>
      </c>
      <c r="AD44" s="16" t="str">
        <f t="shared" si="10"/>
        <v>Zone B</v>
      </c>
      <c r="AE44" s="16" t="str">
        <f t="shared" si="1"/>
        <v>Category Not Edited</v>
      </c>
      <c r="AF44" s="16">
        <f>JudgeProfile!$W$2</f>
        <v>900</v>
      </c>
      <c r="AG44" s="16">
        <f>JudgeProfile!$V$2</f>
        <v>900</v>
      </c>
      <c r="AH44" s="16" t="str">
        <f>JudgeProfile!$Q$2</f>
        <v>1 - Remains in this court full month</v>
      </c>
      <c r="AI44" s="16" t="str">
        <f>JudgeProfile!$U$2</f>
        <v>Addl: District &amp; Sessions Judge (Both Civil and Criminal Matter)</v>
      </c>
      <c r="AJ44" s="16" t="str">
        <f>JudgeProfile!$Z$2</f>
        <v>Sessions Court</v>
      </c>
    </row>
    <row r="45" spans="1:36" ht="15.75">
      <c r="A45" s="17" t="str">
        <f t="shared" si="2"/>
        <v>PHC0290-73-1</v>
      </c>
      <c r="B45" s="17" t="str">
        <f t="shared" si="3"/>
        <v>Mr Amin Said</v>
      </c>
      <c r="C45" s="17" t="str">
        <f t="shared" si="4"/>
        <v>Addl: District &amp; Sessions Judge</v>
      </c>
      <c r="D45" s="17" t="str">
        <f t="shared" si="5"/>
        <v>ADSJ-1</v>
      </c>
      <c r="E45" s="17" t="str">
        <f t="shared" si="6"/>
        <v>Lower Dir - Timergara</v>
      </c>
      <c r="F45" s="17" t="str">
        <f t="shared" si="7"/>
        <v>Regular</v>
      </c>
      <c r="G45" s="171">
        <f t="shared" si="8"/>
        <v>45078</v>
      </c>
      <c r="H45" s="207">
        <f t="shared" si="9"/>
        <v>2023</v>
      </c>
      <c r="I45" s="17" t="s">
        <v>9</v>
      </c>
      <c r="J45" s="42" t="s">
        <v>90</v>
      </c>
      <c r="K45" s="43" t="s">
        <v>91</v>
      </c>
      <c r="L45" s="17">
        <f>'Autogenerated Template'!D51</f>
        <v>0</v>
      </c>
      <c r="M45" s="17">
        <f>'Autogenerated Template'!E51</f>
        <v>0</v>
      </c>
      <c r="N45" s="17">
        <f>'Autogenerated Template'!F51</f>
        <v>0</v>
      </c>
      <c r="O45" s="17">
        <f>'Autogenerated Template'!G51</f>
        <v>0</v>
      </c>
      <c r="P45" s="17">
        <f>'Autogenerated Template'!H51</f>
        <v>0</v>
      </c>
      <c r="Q45" s="17">
        <f>'Autogenerated Template'!I51</f>
        <v>0</v>
      </c>
      <c r="R45" s="17">
        <f>'Autogenerated Template'!J51</f>
        <v>0</v>
      </c>
      <c r="S45" s="17"/>
      <c r="T45" s="17">
        <f>'Autogenerated Template'!K51</f>
        <v>0</v>
      </c>
      <c r="U45" s="17">
        <f>'Autogenerated Template'!L51</f>
        <v>0</v>
      </c>
      <c r="V45" s="17">
        <f>'Autogenerated Template'!N51</f>
        <v>0</v>
      </c>
      <c r="W45" s="17">
        <f>'Autogenerated Template'!O51</f>
        <v>0</v>
      </c>
      <c r="X45" s="17">
        <f>'Autogenerated Template'!P51</f>
        <v>0</v>
      </c>
      <c r="Y45" s="17">
        <f>'Autogenerated Template'!Q51</f>
        <v>0</v>
      </c>
      <c r="Z45" s="17">
        <f>'Autogenerated Template'!R51</f>
        <v>0</v>
      </c>
      <c r="AA45" s="17">
        <f>'Autogenerated Template'!S51</f>
        <v>0</v>
      </c>
      <c r="AB45" s="17">
        <f>'Autogenerated Template'!T51</f>
        <v>0</v>
      </c>
      <c r="AC45" s="17">
        <f>'Autogenerated Template'!U51</f>
        <v>0</v>
      </c>
      <c r="AD45" s="16" t="str">
        <f t="shared" si="10"/>
        <v>Zone B</v>
      </c>
      <c r="AE45" s="16" t="str">
        <f t="shared" si="1"/>
        <v>Category Not Edited</v>
      </c>
      <c r="AF45" s="16">
        <f>JudgeProfile!$W$2</f>
        <v>900</v>
      </c>
      <c r="AG45" s="16">
        <f>JudgeProfile!$V$2</f>
        <v>900</v>
      </c>
      <c r="AH45" s="16" t="str">
        <f>JudgeProfile!$Q$2</f>
        <v>1 - Remains in this court full month</v>
      </c>
      <c r="AI45" s="16" t="str">
        <f>JudgeProfile!$U$2</f>
        <v>Addl: District &amp; Sessions Judge (Both Civil and Criminal Matter)</v>
      </c>
      <c r="AJ45" s="16" t="str">
        <f>JudgeProfile!$Z$2</f>
        <v>Sessions Court</v>
      </c>
    </row>
    <row r="46" spans="1:36" ht="31.5">
      <c r="A46" s="17" t="str">
        <f t="shared" si="2"/>
        <v>PHC0290-73-1</v>
      </c>
      <c r="B46" s="17" t="str">
        <f t="shared" si="3"/>
        <v>Mr Amin Said</v>
      </c>
      <c r="C46" s="17" t="str">
        <f t="shared" si="4"/>
        <v>Addl: District &amp; Sessions Judge</v>
      </c>
      <c r="D46" s="17" t="str">
        <f t="shared" si="5"/>
        <v>ADSJ-1</v>
      </c>
      <c r="E46" s="17" t="str">
        <f t="shared" si="6"/>
        <v>Lower Dir - Timergara</v>
      </c>
      <c r="F46" s="17" t="str">
        <f t="shared" si="7"/>
        <v>Regular</v>
      </c>
      <c r="G46" s="171">
        <f t="shared" si="8"/>
        <v>45078</v>
      </c>
      <c r="H46" s="207">
        <f t="shared" si="9"/>
        <v>2023</v>
      </c>
      <c r="I46" s="17" t="s">
        <v>9</v>
      </c>
      <c r="J46" s="42" t="s">
        <v>92</v>
      </c>
      <c r="K46" s="43" t="s">
        <v>1763</v>
      </c>
      <c r="L46" s="17">
        <f>'Autogenerated Template'!D52</f>
        <v>0</v>
      </c>
      <c r="M46" s="17">
        <f>'Autogenerated Template'!E52</f>
        <v>0</v>
      </c>
      <c r="N46" s="17">
        <f>'Autogenerated Template'!F52</f>
        <v>0</v>
      </c>
      <c r="O46" s="17">
        <f>'Autogenerated Template'!G52</f>
        <v>0</v>
      </c>
      <c r="P46" s="17">
        <f>'Autogenerated Template'!H52</f>
        <v>0</v>
      </c>
      <c r="Q46" s="17">
        <f>'Autogenerated Template'!I52</f>
        <v>0</v>
      </c>
      <c r="R46" s="17">
        <f>'Autogenerated Template'!J52</f>
        <v>0</v>
      </c>
      <c r="S46" s="17"/>
      <c r="T46" s="17">
        <f>'Autogenerated Template'!K52</f>
        <v>0</v>
      </c>
      <c r="U46" s="17">
        <f>'Autogenerated Template'!L52</f>
        <v>0</v>
      </c>
      <c r="V46" s="17">
        <f>'Autogenerated Template'!N52</f>
        <v>0</v>
      </c>
      <c r="W46" s="17">
        <f>'Autogenerated Template'!O52</f>
        <v>0</v>
      </c>
      <c r="X46" s="17">
        <f>'Autogenerated Template'!P52</f>
        <v>0</v>
      </c>
      <c r="Y46" s="17">
        <f>'Autogenerated Template'!Q52</f>
        <v>0</v>
      </c>
      <c r="Z46" s="17">
        <f>'Autogenerated Template'!R52</f>
        <v>0</v>
      </c>
      <c r="AA46" s="17">
        <f>'Autogenerated Template'!S52</f>
        <v>0</v>
      </c>
      <c r="AB46" s="17">
        <f>'Autogenerated Template'!T52</f>
        <v>0</v>
      </c>
      <c r="AC46" s="17">
        <f>'Autogenerated Template'!U52</f>
        <v>0</v>
      </c>
      <c r="AD46" s="16" t="str">
        <f t="shared" si="10"/>
        <v>Zone B</v>
      </c>
      <c r="AE46" s="16" t="str">
        <f t="shared" si="1"/>
        <v>Category Not Edited</v>
      </c>
      <c r="AF46" s="16">
        <f>JudgeProfile!$W$2</f>
        <v>900</v>
      </c>
      <c r="AG46" s="16">
        <f>JudgeProfile!$V$2</f>
        <v>900</v>
      </c>
      <c r="AH46" s="16" t="str">
        <f>JudgeProfile!$Q$2</f>
        <v>1 - Remains in this court full month</v>
      </c>
      <c r="AI46" s="16" t="str">
        <f>JudgeProfile!$U$2</f>
        <v>Addl: District &amp; Sessions Judge (Both Civil and Criminal Matter)</v>
      </c>
      <c r="AJ46" s="16" t="str">
        <f>JudgeProfile!$Z$2</f>
        <v>Sessions Court</v>
      </c>
    </row>
    <row r="47" spans="1:36" ht="15.75">
      <c r="A47" s="17" t="str">
        <f t="shared" si="2"/>
        <v>PHC0290-73-1</v>
      </c>
      <c r="B47" s="17" t="str">
        <f t="shared" si="3"/>
        <v>Mr Amin Said</v>
      </c>
      <c r="C47" s="17" t="str">
        <f t="shared" si="4"/>
        <v>Addl: District &amp; Sessions Judge</v>
      </c>
      <c r="D47" s="17" t="str">
        <f t="shared" si="5"/>
        <v>ADSJ-1</v>
      </c>
      <c r="E47" s="17" t="str">
        <f t="shared" si="6"/>
        <v>Lower Dir - Timergara</v>
      </c>
      <c r="F47" s="17" t="str">
        <f t="shared" si="7"/>
        <v>Regular</v>
      </c>
      <c r="G47" s="171">
        <f t="shared" si="8"/>
        <v>45078</v>
      </c>
      <c r="H47" s="207">
        <f t="shared" si="9"/>
        <v>2023</v>
      </c>
      <c r="I47" s="17" t="s">
        <v>9</v>
      </c>
      <c r="J47" s="42" t="s">
        <v>93</v>
      </c>
      <c r="K47" s="43" t="s">
        <v>94</v>
      </c>
      <c r="L47" s="17">
        <f>'Autogenerated Template'!D53</f>
        <v>61</v>
      </c>
      <c r="M47" s="17">
        <f>'Autogenerated Template'!E53</f>
        <v>2</v>
      </c>
      <c r="N47" s="17">
        <f>'Autogenerated Template'!F53</f>
        <v>9</v>
      </c>
      <c r="O47" s="17">
        <f>'Autogenerated Template'!G53</f>
        <v>0</v>
      </c>
      <c r="P47" s="17">
        <f>'Autogenerated Template'!H53</f>
        <v>0</v>
      </c>
      <c r="Q47" s="17">
        <f>'Autogenerated Template'!I53</f>
        <v>72</v>
      </c>
      <c r="R47" s="17">
        <f>'Autogenerated Template'!J53</f>
        <v>0</v>
      </c>
      <c r="S47" s="17"/>
      <c r="T47" s="17">
        <f>'Autogenerated Template'!K53</f>
        <v>0</v>
      </c>
      <c r="U47" s="17">
        <f>'Autogenerated Template'!L53</f>
        <v>16</v>
      </c>
      <c r="V47" s="17">
        <f>'Autogenerated Template'!N53</f>
        <v>16</v>
      </c>
      <c r="W47" s="17">
        <f>'Autogenerated Template'!O53</f>
        <v>0</v>
      </c>
      <c r="X47" s="17">
        <f>'Autogenerated Template'!P53</f>
        <v>16</v>
      </c>
      <c r="Y47" s="17">
        <f>'Autogenerated Template'!Q53</f>
        <v>16</v>
      </c>
      <c r="Z47" s="17">
        <f>'Autogenerated Template'!R53</f>
        <v>0</v>
      </c>
      <c r="AA47" s="17">
        <f>'Autogenerated Template'!S53</f>
        <v>5</v>
      </c>
      <c r="AB47" s="17">
        <f>'Autogenerated Template'!T53</f>
        <v>51</v>
      </c>
      <c r="AC47" s="17">
        <f>'Autogenerated Template'!U53</f>
        <v>56</v>
      </c>
      <c r="AD47" s="16" t="str">
        <f t="shared" si="10"/>
        <v>Zone B</v>
      </c>
      <c r="AE47" s="16" t="str">
        <f t="shared" si="1"/>
        <v>Category Edited</v>
      </c>
      <c r="AF47" s="16">
        <f>JudgeProfile!$W$2</f>
        <v>900</v>
      </c>
      <c r="AG47" s="16">
        <f>JudgeProfile!$V$2</f>
        <v>900</v>
      </c>
      <c r="AH47" s="16" t="str">
        <f>JudgeProfile!$Q$2</f>
        <v>1 - Remains in this court full month</v>
      </c>
      <c r="AI47" s="16" t="str">
        <f>JudgeProfile!$U$2</f>
        <v>Addl: District &amp; Sessions Judge (Both Civil and Criminal Matter)</v>
      </c>
      <c r="AJ47" s="16" t="str">
        <f>JudgeProfile!$Z$2</f>
        <v>Sessions Court</v>
      </c>
    </row>
    <row r="48" spans="1:36" ht="15.75">
      <c r="A48" s="17" t="str">
        <f t="shared" si="2"/>
        <v>PHC0290-73-1</v>
      </c>
      <c r="B48" s="17" t="str">
        <f t="shared" si="3"/>
        <v>Mr Amin Said</v>
      </c>
      <c r="C48" s="17" t="str">
        <f t="shared" si="4"/>
        <v>Addl: District &amp; Sessions Judge</v>
      </c>
      <c r="D48" s="17" t="str">
        <f t="shared" si="5"/>
        <v>ADSJ-1</v>
      </c>
      <c r="E48" s="17" t="str">
        <f t="shared" si="6"/>
        <v>Lower Dir - Timergara</v>
      </c>
      <c r="F48" s="17" t="str">
        <f t="shared" si="7"/>
        <v>Regular</v>
      </c>
      <c r="G48" s="171">
        <f t="shared" si="8"/>
        <v>45078</v>
      </c>
      <c r="H48" s="207">
        <f t="shared" si="9"/>
        <v>2023</v>
      </c>
      <c r="I48" s="17" t="s">
        <v>9</v>
      </c>
      <c r="J48" s="42" t="s">
        <v>95</v>
      </c>
      <c r="K48" s="43" t="s">
        <v>31</v>
      </c>
      <c r="L48" s="17">
        <f>'Autogenerated Template'!D54</f>
        <v>0</v>
      </c>
      <c r="M48" s="17">
        <f>'Autogenerated Template'!E54</f>
        <v>0</v>
      </c>
      <c r="N48" s="17">
        <f>'Autogenerated Template'!F54</f>
        <v>0</v>
      </c>
      <c r="O48" s="17">
        <f>'Autogenerated Template'!G54</f>
        <v>0</v>
      </c>
      <c r="P48" s="17">
        <f>'Autogenerated Template'!H54</f>
        <v>0</v>
      </c>
      <c r="Q48" s="17">
        <f>'Autogenerated Template'!I54</f>
        <v>0</v>
      </c>
      <c r="R48" s="17">
        <f>'Autogenerated Template'!J54</f>
        <v>0</v>
      </c>
      <c r="S48" s="17"/>
      <c r="T48" s="17">
        <f>'Autogenerated Template'!K54</f>
        <v>0</v>
      </c>
      <c r="U48" s="17">
        <f>'Autogenerated Template'!L54</f>
        <v>0</v>
      </c>
      <c r="V48" s="17">
        <f>'Autogenerated Template'!N54</f>
        <v>0</v>
      </c>
      <c r="W48" s="17">
        <f>'Autogenerated Template'!O54</f>
        <v>0</v>
      </c>
      <c r="X48" s="17">
        <f>'Autogenerated Template'!P54</f>
        <v>0</v>
      </c>
      <c r="Y48" s="17">
        <f>'Autogenerated Template'!Q54</f>
        <v>0</v>
      </c>
      <c r="Z48" s="17">
        <f>'Autogenerated Template'!R54</f>
        <v>0</v>
      </c>
      <c r="AA48" s="17">
        <f>'Autogenerated Template'!S54</f>
        <v>0</v>
      </c>
      <c r="AB48" s="17">
        <f>'Autogenerated Template'!T54</f>
        <v>0</v>
      </c>
      <c r="AC48" s="17">
        <f>'Autogenerated Template'!U54</f>
        <v>0</v>
      </c>
      <c r="AD48" s="16" t="str">
        <f t="shared" si="10"/>
        <v>Zone B</v>
      </c>
      <c r="AE48" s="16" t="str">
        <f t="shared" si="1"/>
        <v>Category Not Edited</v>
      </c>
      <c r="AF48" s="16">
        <f>JudgeProfile!$W$2</f>
        <v>900</v>
      </c>
      <c r="AG48" s="16">
        <f>JudgeProfile!$V$2</f>
        <v>900</v>
      </c>
      <c r="AH48" s="16" t="str">
        <f>JudgeProfile!$Q$2</f>
        <v>1 - Remains in this court full month</v>
      </c>
      <c r="AI48" s="16" t="str">
        <f>JudgeProfile!$U$2</f>
        <v>Addl: District &amp; Sessions Judge (Both Civil and Criminal Matter)</v>
      </c>
      <c r="AJ48" s="16" t="str">
        <f>JudgeProfile!$Z$2</f>
        <v>Sessions Court</v>
      </c>
    </row>
    <row r="49" spans="1:36" ht="15.75">
      <c r="A49" s="17" t="str">
        <f t="shared" si="2"/>
        <v>PHC0290-73-1</v>
      </c>
      <c r="B49" s="17" t="str">
        <f t="shared" si="3"/>
        <v>Mr Amin Said</v>
      </c>
      <c r="C49" s="17" t="str">
        <f t="shared" si="4"/>
        <v>Addl: District &amp; Sessions Judge</v>
      </c>
      <c r="D49" s="17" t="str">
        <f t="shared" si="5"/>
        <v>ADSJ-1</v>
      </c>
      <c r="E49" s="17" t="str">
        <f t="shared" si="6"/>
        <v>Lower Dir - Timergara</v>
      </c>
      <c r="F49" s="17" t="str">
        <f t="shared" si="7"/>
        <v>Regular</v>
      </c>
      <c r="G49" s="171">
        <f t="shared" si="8"/>
        <v>45078</v>
      </c>
      <c r="H49" s="207">
        <f t="shared" si="9"/>
        <v>2023</v>
      </c>
      <c r="I49" s="17" t="s">
        <v>9</v>
      </c>
      <c r="J49" s="42" t="s">
        <v>96</v>
      </c>
      <c r="K49" s="43" t="s">
        <v>98</v>
      </c>
      <c r="L49" s="17">
        <f>'Autogenerated Template'!D55</f>
        <v>11</v>
      </c>
      <c r="M49" s="17">
        <f>'Autogenerated Template'!E55</f>
        <v>21</v>
      </c>
      <c r="N49" s="17">
        <f>'Autogenerated Template'!F55</f>
        <v>0</v>
      </c>
      <c r="O49" s="17">
        <f>'Autogenerated Template'!G55</f>
        <v>0</v>
      </c>
      <c r="P49" s="17">
        <f>'Autogenerated Template'!H55</f>
        <v>0</v>
      </c>
      <c r="Q49" s="17">
        <f>'Autogenerated Template'!I55</f>
        <v>32</v>
      </c>
      <c r="R49" s="17">
        <f>'Autogenerated Template'!J55</f>
        <v>1</v>
      </c>
      <c r="S49" s="17"/>
      <c r="T49" s="17">
        <f>'Autogenerated Template'!K55</f>
        <v>0</v>
      </c>
      <c r="U49" s="17">
        <f>'Autogenerated Template'!L55</f>
        <v>22</v>
      </c>
      <c r="V49" s="17">
        <f>'Autogenerated Template'!N55</f>
        <v>23</v>
      </c>
      <c r="W49" s="17">
        <f>'Autogenerated Template'!O55</f>
        <v>0</v>
      </c>
      <c r="X49" s="17">
        <f>'Autogenerated Template'!P55</f>
        <v>23</v>
      </c>
      <c r="Y49" s="17">
        <f>'Autogenerated Template'!Q55</f>
        <v>23</v>
      </c>
      <c r="Z49" s="17">
        <f>'Autogenerated Template'!R55</f>
        <v>0</v>
      </c>
      <c r="AA49" s="17">
        <f>'Autogenerated Template'!S55</f>
        <v>0</v>
      </c>
      <c r="AB49" s="17">
        <f>'Autogenerated Template'!T55</f>
        <v>9</v>
      </c>
      <c r="AC49" s="17">
        <f>'Autogenerated Template'!U55</f>
        <v>9</v>
      </c>
      <c r="AD49" s="16" t="str">
        <f t="shared" si="10"/>
        <v>Zone B</v>
      </c>
      <c r="AE49" s="16" t="str">
        <f t="shared" si="1"/>
        <v>Category Edited</v>
      </c>
      <c r="AF49" s="16">
        <f>JudgeProfile!$W$2</f>
        <v>900</v>
      </c>
      <c r="AG49" s="16">
        <f>JudgeProfile!$V$2</f>
        <v>900</v>
      </c>
      <c r="AH49" s="16" t="str">
        <f>JudgeProfile!$Q$2</f>
        <v>1 - Remains in this court full month</v>
      </c>
      <c r="AI49" s="16" t="str">
        <f>JudgeProfile!$U$2</f>
        <v>Addl: District &amp; Sessions Judge (Both Civil and Criminal Matter)</v>
      </c>
      <c r="AJ49" s="16" t="str">
        <f>JudgeProfile!$Z$2</f>
        <v>Sessions Court</v>
      </c>
    </row>
    <row r="50" spans="1:36" ht="15.75">
      <c r="A50" s="17" t="str">
        <f t="shared" si="2"/>
        <v>PHC0290-73-1</v>
      </c>
      <c r="B50" s="17" t="str">
        <f t="shared" si="3"/>
        <v>Mr Amin Said</v>
      </c>
      <c r="C50" s="17" t="str">
        <f t="shared" si="4"/>
        <v>Addl: District &amp; Sessions Judge</v>
      </c>
      <c r="D50" s="17" t="str">
        <f t="shared" si="5"/>
        <v>ADSJ-1</v>
      </c>
      <c r="E50" s="17" t="str">
        <f t="shared" si="6"/>
        <v>Lower Dir - Timergara</v>
      </c>
      <c r="F50" s="17" t="str">
        <f t="shared" si="7"/>
        <v>Regular</v>
      </c>
      <c r="G50" s="171">
        <f t="shared" si="8"/>
        <v>45078</v>
      </c>
      <c r="H50" s="207">
        <f t="shared" si="9"/>
        <v>2023</v>
      </c>
      <c r="I50" s="17" t="s">
        <v>9</v>
      </c>
      <c r="J50" s="42" t="s">
        <v>97</v>
      </c>
      <c r="K50" s="43" t="s">
        <v>1550</v>
      </c>
      <c r="L50" s="17">
        <f>'Autogenerated Template'!D56</f>
        <v>26</v>
      </c>
      <c r="M50" s="17">
        <f>'Autogenerated Template'!E56</f>
        <v>4</v>
      </c>
      <c r="N50" s="17">
        <f>'Autogenerated Template'!F56</f>
        <v>0</v>
      </c>
      <c r="O50" s="17">
        <f>'Autogenerated Template'!G56</f>
        <v>0</v>
      </c>
      <c r="P50" s="17">
        <f>'Autogenerated Template'!H56</f>
        <v>0</v>
      </c>
      <c r="Q50" s="17">
        <f>'Autogenerated Template'!I56</f>
        <v>30</v>
      </c>
      <c r="R50" s="17">
        <f>'Autogenerated Template'!J56</f>
        <v>2</v>
      </c>
      <c r="S50" s="17"/>
      <c r="T50" s="17">
        <f>'Autogenerated Template'!K56</f>
        <v>0</v>
      </c>
      <c r="U50" s="17">
        <f>'Autogenerated Template'!L56</f>
        <v>4</v>
      </c>
      <c r="V50" s="17">
        <f>'Autogenerated Template'!N56</f>
        <v>6</v>
      </c>
      <c r="W50" s="17">
        <f>'Autogenerated Template'!O56</f>
        <v>0</v>
      </c>
      <c r="X50" s="17">
        <f>'Autogenerated Template'!P56</f>
        <v>6</v>
      </c>
      <c r="Y50" s="17">
        <f>'Autogenerated Template'!Q56</f>
        <v>6</v>
      </c>
      <c r="Z50" s="17">
        <f>'Autogenerated Template'!R56</f>
        <v>0</v>
      </c>
      <c r="AA50" s="17">
        <f>'Autogenerated Template'!S56</f>
        <v>0</v>
      </c>
      <c r="AB50" s="17">
        <f>'Autogenerated Template'!T56</f>
        <v>24</v>
      </c>
      <c r="AC50" s="17">
        <f>'Autogenerated Template'!U56</f>
        <v>24</v>
      </c>
      <c r="AD50" s="16" t="str">
        <f t="shared" si="10"/>
        <v>Zone B</v>
      </c>
      <c r="AE50" s="16" t="str">
        <f t="shared" si="1"/>
        <v>Category Edited</v>
      </c>
      <c r="AF50" s="16">
        <f>JudgeProfile!$W$2</f>
        <v>900</v>
      </c>
      <c r="AG50" s="16">
        <f>JudgeProfile!$V$2</f>
        <v>900</v>
      </c>
      <c r="AH50" s="16" t="str">
        <f>JudgeProfile!$Q$2</f>
        <v>1 - Remains in this court full month</v>
      </c>
      <c r="AI50" s="16" t="str">
        <f>JudgeProfile!$U$2</f>
        <v>Addl: District &amp; Sessions Judge (Both Civil and Criminal Matter)</v>
      </c>
      <c r="AJ50" s="16" t="str">
        <f>JudgeProfile!$Z$2</f>
        <v>Sessions Court</v>
      </c>
    </row>
    <row r="51" spans="1:36" ht="15.75">
      <c r="A51" s="17" t="str">
        <f t="shared" si="2"/>
        <v>PHC0290-73-1</v>
      </c>
      <c r="B51" s="17" t="str">
        <f t="shared" si="3"/>
        <v>Mr Amin Said</v>
      </c>
      <c r="C51" s="17" t="str">
        <f t="shared" si="4"/>
        <v>Addl: District &amp; Sessions Judge</v>
      </c>
      <c r="D51" s="17" t="str">
        <f t="shared" si="5"/>
        <v>ADSJ-1</v>
      </c>
      <c r="E51" s="17" t="str">
        <f t="shared" si="6"/>
        <v>Lower Dir - Timergara</v>
      </c>
      <c r="F51" s="17" t="str">
        <f t="shared" si="7"/>
        <v>Regular</v>
      </c>
      <c r="G51" s="171">
        <f t="shared" si="8"/>
        <v>45078</v>
      </c>
      <c r="H51" s="207">
        <f t="shared" si="9"/>
        <v>2023</v>
      </c>
      <c r="I51" s="17" t="s">
        <v>9</v>
      </c>
      <c r="J51" s="42" t="s">
        <v>99</v>
      </c>
      <c r="K51" s="43" t="s">
        <v>100</v>
      </c>
      <c r="L51" s="17">
        <f>'Autogenerated Template'!D57</f>
        <v>2</v>
      </c>
      <c r="M51" s="17">
        <f>'Autogenerated Template'!E57</f>
        <v>0</v>
      </c>
      <c r="N51" s="17">
        <f>'Autogenerated Template'!F57</f>
        <v>0</v>
      </c>
      <c r="O51" s="17">
        <f>'Autogenerated Template'!G57</f>
        <v>0</v>
      </c>
      <c r="P51" s="17">
        <f>'Autogenerated Template'!H57</f>
        <v>0</v>
      </c>
      <c r="Q51" s="17">
        <f>'Autogenerated Template'!I57</f>
        <v>2</v>
      </c>
      <c r="R51" s="17">
        <f>'Autogenerated Template'!J57</f>
        <v>0</v>
      </c>
      <c r="S51" s="17"/>
      <c r="T51" s="17">
        <f>'Autogenerated Template'!K57</f>
        <v>0</v>
      </c>
      <c r="U51" s="17">
        <f>'Autogenerated Template'!L57</f>
        <v>0</v>
      </c>
      <c r="V51" s="17">
        <f>'Autogenerated Template'!N57</f>
        <v>0</v>
      </c>
      <c r="W51" s="17">
        <f>'Autogenerated Template'!O57</f>
        <v>0</v>
      </c>
      <c r="X51" s="17">
        <f>'Autogenerated Template'!P57</f>
        <v>0</v>
      </c>
      <c r="Y51" s="17">
        <f>'Autogenerated Template'!Q57</f>
        <v>0</v>
      </c>
      <c r="Z51" s="17">
        <f>'Autogenerated Template'!R57</f>
        <v>0</v>
      </c>
      <c r="AA51" s="17">
        <f>'Autogenerated Template'!S57</f>
        <v>0</v>
      </c>
      <c r="AB51" s="17">
        <f>'Autogenerated Template'!T57</f>
        <v>2</v>
      </c>
      <c r="AC51" s="17">
        <f>'Autogenerated Template'!U57</f>
        <v>2</v>
      </c>
      <c r="AD51" s="16" t="str">
        <f t="shared" si="10"/>
        <v>Zone B</v>
      </c>
      <c r="AE51" s="16" t="str">
        <f t="shared" si="1"/>
        <v>Category Edited</v>
      </c>
      <c r="AF51" s="16">
        <f>JudgeProfile!$W$2</f>
        <v>900</v>
      </c>
      <c r="AG51" s="16">
        <f>JudgeProfile!$V$2</f>
        <v>900</v>
      </c>
      <c r="AH51" s="16" t="str">
        <f>JudgeProfile!$Q$2</f>
        <v>1 - Remains in this court full month</v>
      </c>
      <c r="AI51" s="16" t="str">
        <f>JudgeProfile!$U$2</f>
        <v>Addl: District &amp; Sessions Judge (Both Civil and Criminal Matter)</v>
      </c>
      <c r="AJ51" s="16" t="str">
        <f>JudgeProfile!$Z$2</f>
        <v>Sessions Court</v>
      </c>
    </row>
    <row r="52" spans="1:36" ht="15.75">
      <c r="A52" s="17" t="str">
        <f t="shared" si="2"/>
        <v>PHC0290-73-1</v>
      </c>
      <c r="B52" s="17" t="str">
        <f t="shared" si="3"/>
        <v>Mr Amin Said</v>
      </c>
      <c r="C52" s="17" t="str">
        <f t="shared" si="4"/>
        <v>Addl: District &amp; Sessions Judge</v>
      </c>
      <c r="D52" s="17" t="str">
        <f t="shared" si="5"/>
        <v>ADSJ-1</v>
      </c>
      <c r="E52" s="17" t="str">
        <f t="shared" si="6"/>
        <v>Lower Dir - Timergara</v>
      </c>
      <c r="F52" s="17" t="str">
        <f t="shared" si="7"/>
        <v>Regular</v>
      </c>
      <c r="G52" s="171">
        <f t="shared" si="8"/>
        <v>45078</v>
      </c>
      <c r="H52" s="207">
        <f t="shared" si="9"/>
        <v>2023</v>
      </c>
      <c r="I52" s="17" t="s">
        <v>9</v>
      </c>
      <c r="J52" s="42" t="s">
        <v>101</v>
      </c>
      <c r="K52" s="43" t="s">
        <v>102</v>
      </c>
      <c r="L52" s="17">
        <f>'Autogenerated Template'!D58</f>
        <v>0</v>
      </c>
      <c r="M52" s="17">
        <f>'Autogenerated Template'!E58</f>
        <v>0</v>
      </c>
      <c r="N52" s="17">
        <f>'Autogenerated Template'!F58</f>
        <v>0</v>
      </c>
      <c r="O52" s="17">
        <f>'Autogenerated Template'!G58</f>
        <v>0</v>
      </c>
      <c r="P52" s="17">
        <f>'Autogenerated Template'!H58</f>
        <v>0</v>
      </c>
      <c r="Q52" s="17">
        <f>'Autogenerated Template'!I58</f>
        <v>0</v>
      </c>
      <c r="R52" s="17">
        <f>'Autogenerated Template'!J58</f>
        <v>0</v>
      </c>
      <c r="S52" s="17"/>
      <c r="T52" s="17">
        <f>'Autogenerated Template'!K58</f>
        <v>0</v>
      </c>
      <c r="U52" s="17">
        <f>'Autogenerated Template'!L58</f>
        <v>0</v>
      </c>
      <c r="V52" s="17">
        <f>'Autogenerated Template'!N58</f>
        <v>0</v>
      </c>
      <c r="W52" s="17">
        <f>'Autogenerated Template'!O58</f>
        <v>0</v>
      </c>
      <c r="X52" s="17">
        <f>'Autogenerated Template'!P58</f>
        <v>0</v>
      </c>
      <c r="Y52" s="17">
        <f>'Autogenerated Template'!Q58</f>
        <v>0</v>
      </c>
      <c r="Z52" s="17">
        <f>'Autogenerated Template'!R58</f>
        <v>0</v>
      </c>
      <c r="AA52" s="17">
        <f>'Autogenerated Template'!S58</f>
        <v>0</v>
      </c>
      <c r="AB52" s="17">
        <f>'Autogenerated Template'!T58</f>
        <v>0</v>
      </c>
      <c r="AC52" s="17">
        <f>'Autogenerated Template'!U58</f>
        <v>0</v>
      </c>
      <c r="AD52" s="16" t="str">
        <f t="shared" si="10"/>
        <v>Zone B</v>
      </c>
      <c r="AE52" s="16" t="str">
        <f t="shared" si="1"/>
        <v>Category Not Edited</v>
      </c>
      <c r="AF52" s="16">
        <f>JudgeProfile!$W$2</f>
        <v>900</v>
      </c>
      <c r="AG52" s="16">
        <f>JudgeProfile!$V$2</f>
        <v>900</v>
      </c>
      <c r="AH52" s="16" t="str">
        <f>JudgeProfile!$Q$2</f>
        <v>1 - Remains in this court full month</v>
      </c>
      <c r="AI52" s="16" t="str">
        <f>JudgeProfile!$U$2</f>
        <v>Addl: District &amp; Sessions Judge (Both Civil and Criminal Matter)</v>
      </c>
      <c r="AJ52" s="16" t="str">
        <f>JudgeProfile!$Z$2</f>
        <v>Sessions Court</v>
      </c>
    </row>
    <row r="53" spans="1:36" ht="15.75">
      <c r="A53" s="17" t="str">
        <f t="shared" si="2"/>
        <v>PHC0290-73-1</v>
      </c>
      <c r="B53" s="17" t="str">
        <f t="shared" si="3"/>
        <v>Mr Amin Said</v>
      </c>
      <c r="C53" s="17" t="str">
        <f t="shared" si="4"/>
        <v>Addl: District &amp; Sessions Judge</v>
      </c>
      <c r="D53" s="17" t="str">
        <f t="shared" si="5"/>
        <v>ADSJ-1</v>
      </c>
      <c r="E53" s="17" t="str">
        <f t="shared" si="6"/>
        <v>Lower Dir - Timergara</v>
      </c>
      <c r="F53" s="17" t="str">
        <f t="shared" si="7"/>
        <v>Regular</v>
      </c>
      <c r="G53" s="171">
        <f t="shared" si="8"/>
        <v>45078</v>
      </c>
      <c r="H53" s="207">
        <f t="shared" si="9"/>
        <v>2023</v>
      </c>
      <c r="I53" s="17" t="s">
        <v>9</v>
      </c>
      <c r="J53" s="42" t="s">
        <v>103</v>
      </c>
      <c r="K53" s="43" t="s">
        <v>104</v>
      </c>
      <c r="L53" s="17">
        <f>'Autogenerated Template'!D59</f>
        <v>1</v>
      </c>
      <c r="M53" s="17">
        <f>'Autogenerated Template'!E59</f>
        <v>0</v>
      </c>
      <c r="N53" s="17">
        <f>'Autogenerated Template'!F59</f>
        <v>0</v>
      </c>
      <c r="O53" s="17">
        <f>'Autogenerated Template'!G59</f>
        <v>0</v>
      </c>
      <c r="P53" s="17">
        <f>'Autogenerated Template'!H59</f>
        <v>0</v>
      </c>
      <c r="Q53" s="17">
        <f>'Autogenerated Template'!I59</f>
        <v>1</v>
      </c>
      <c r="R53" s="17">
        <f>'Autogenerated Template'!J59</f>
        <v>0</v>
      </c>
      <c r="S53" s="17"/>
      <c r="T53" s="17">
        <f>'Autogenerated Template'!K59</f>
        <v>0</v>
      </c>
      <c r="U53" s="17">
        <f>'Autogenerated Template'!L59</f>
        <v>0</v>
      </c>
      <c r="V53" s="17">
        <f>'Autogenerated Template'!N59</f>
        <v>0</v>
      </c>
      <c r="W53" s="17">
        <f>'Autogenerated Template'!O59</f>
        <v>0</v>
      </c>
      <c r="X53" s="17">
        <f>'Autogenerated Template'!P59</f>
        <v>0</v>
      </c>
      <c r="Y53" s="17">
        <f>'Autogenerated Template'!Q59</f>
        <v>0</v>
      </c>
      <c r="Z53" s="17">
        <f>'Autogenerated Template'!R59</f>
        <v>0</v>
      </c>
      <c r="AA53" s="17">
        <f>'Autogenerated Template'!S59</f>
        <v>0</v>
      </c>
      <c r="AB53" s="17">
        <f>'Autogenerated Template'!T59</f>
        <v>1</v>
      </c>
      <c r="AC53" s="17">
        <f>'Autogenerated Template'!U59</f>
        <v>1</v>
      </c>
      <c r="AD53" s="16" t="str">
        <f t="shared" si="10"/>
        <v>Zone B</v>
      </c>
      <c r="AE53" s="16" t="str">
        <f>IF(L53+M53+N53+O53+P53+Q53&gt;0,"Category Edited","Category Not Edited")</f>
        <v>Category Edited</v>
      </c>
      <c r="AF53" s="16">
        <f>JudgeProfile!$W$2</f>
        <v>900</v>
      </c>
      <c r="AG53" s="16">
        <f>JudgeProfile!$V$2</f>
        <v>900</v>
      </c>
      <c r="AH53" s="16" t="str">
        <f>JudgeProfile!$Q$2</f>
        <v>1 - Remains in this court full month</v>
      </c>
      <c r="AI53" s="16" t="str">
        <f>JudgeProfile!$U$2</f>
        <v>Addl: District &amp; Sessions Judge (Both Civil and Criminal Matter)</v>
      </c>
      <c r="AJ53" s="16" t="str">
        <f>JudgeProfile!$Z$2</f>
        <v>Sessions Court</v>
      </c>
    </row>
    <row r="54" spans="1:36" ht="15.75">
      <c r="A54" s="17" t="str">
        <f t="shared" si="2"/>
        <v>PHC0290-73-1</v>
      </c>
      <c r="B54" s="17" t="str">
        <f t="shared" si="3"/>
        <v>Mr Amin Said</v>
      </c>
      <c r="C54" s="17" t="str">
        <f t="shared" si="4"/>
        <v>Addl: District &amp; Sessions Judge</v>
      </c>
      <c r="D54" s="17" t="str">
        <f t="shared" si="5"/>
        <v>ADSJ-1</v>
      </c>
      <c r="E54" s="17" t="str">
        <f t="shared" si="6"/>
        <v>Lower Dir - Timergara</v>
      </c>
      <c r="F54" s="17" t="str">
        <f t="shared" si="7"/>
        <v>Regular</v>
      </c>
      <c r="G54" s="171">
        <f t="shared" si="8"/>
        <v>45078</v>
      </c>
      <c r="H54" s="207">
        <f t="shared" si="9"/>
        <v>2023</v>
      </c>
      <c r="I54" s="17" t="s">
        <v>9</v>
      </c>
      <c r="J54" s="42" t="s">
        <v>105</v>
      </c>
      <c r="K54" s="43" t="s">
        <v>106</v>
      </c>
      <c r="L54" s="17">
        <f>'Autogenerated Template'!D60</f>
        <v>117</v>
      </c>
      <c r="M54" s="17">
        <f>'Autogenerated Template'!E60</f>
        <v>10</v>
      </c>
      <c r="N54" s="17">
        <f>'Autogenerated Template'!F60</f>
        <v>1</v>
      </c>
      <c r="O54" s="17">
        <f>'Autogenerated Template'!G60</f>
        <v>0</v>
      </c>
      <c r="P54" s="17">
        <f>'Autogenerated Template'!H60</f>
        <v>0</v>
      </c>
      <c r="Q54" s="17">
        <f>'Autogenerated Template'!I60</f>
        <v>128</v>
      </c>
      <c r="R54" s="17">
        <f>'Autogenerated Template'!J60</f>
        <v>2</v>
      </c>
      <c r="S54" s="17"/>
      <c r="T54" s="17">
        <f>'Autogenerated Template'!K60</f>
        <v>2</v>
      </c>
      <c r="U54" s="17">
        <f>'Autogenerated Template'!L60</f>
        <v>2</v>
      </c>
      <c r="V54" s="17">
        <f>'Autogenerated Template'!N60</f>
        <v>6</v>
      </c>
      <c r="W54" s="17">
        <f>'Autogenerated Template'!O60</f>
        <v>0</v>
      </c>
      <c r="X54" s="17">
        <f>'Autogenerated Template'!P60</f>
        <v>6</v>
      </c>
      <c r="Y54" s="17">
        <f>'Autogenerated Template'!Q60</f>
        <v>6</v>
      </c>
      <c r="Z54" s="17">
        <f>'Autogenerated Template'!R60</f>
        <v>0</v>
      </c>
      <c r="AA54" s="17">
        <f>'Autogenerated Template'!S60</f>
        <v>0</v>
      </c>
      <c r="AB54" s="17">
        <f>'Autogenerated Template'!T60</f>
        <v>122</v>
      </c>
      <c r="AC54" s="17">
        <f>'Autogenerated Template'!U60</f>
        <v>122</v>
      </c>
      <c r="AD54" s="16" t="str">
        <f t="shared" si="10"/>
        <v>Zone B</v>
      </c>
      <c r="AE54" s="16" t="str">
        <f t="shared" si="1"/>
        <v>Category Edited</v>
      </c>
      <c r="AF54" s="16">
        <f>JudgeProfile!$W$2</f>
        <v>900</v>
      </c>
      <c r="AG54" s="16">
        <f>JudgeProfile!$V$2</f>
        <v>900</v>
      </c>
      <c r="AH54" s="16" t="str">
        <f>JudgeProfile!$Q$2</f>
        <v>1 - Remains in this court full month</v>
      </c>
      <c r="AI54" s="16" t="str">
        <f>JudgeProfile!$U$2</f>
        <v>Addl: District &amp; Sessions Judge (Both Civil and Criminal Matter)</v>
      </c>
      <c r="AJ54" s="16" t="str">
        <f>JudgeProfile!$Z$2</f>
        <v>Sessions Court</v>
      </c>
    </row>
    <row r="55" spans="1:36" ht="15.75">
      <c r="A55" s="17" t="str">
        <f t="shared" si="2"/>
        <v>PHC0290-73-1</v>
      </c>
      <c r="B55" s="17" t="str">
        <f t="shared" si="3"/>
        <v>Mr Amin Said</v>
      </c>
      <c r="C55" s="17" t="str">
        <f t="shared" si="4"/>
        <v>Addl: District &amp; Sessions Judge</v>
      </c>
      <c r="D55" s="17" t="str">
        <f t="shared" si="5"/>
        <v>ADSJ-1</v>
      </c>
      <c r="E55" s="17" t="str">
        <f t="shared" si="6"/>
        <v>Lower Dir - Timergara</v>
      </c>
      <c r="F55" s="17" t="str">
        <f t="shared" si="7"/>
        <v>Regular</v>
      </c>
      <c r="G55" s="171">
        <f t="shared" si="8"/>
        <v>45078</v>
      </c>
      <c r="H55" s="207">
        <f t="shared" si="9"/>
        <v>2023</v>
      </c>
      <c r="I55" s="17" t="s">
        <v>9</v>
      </c>
      <c r="J55" s="42" t="s">
        <v>1748</v>
      </c>
      <c r="K55" s="43" t="s">
        <v>1772</v>
      </c>
      <c r="L55" s="17">
        <f>'Autogenerated Template'!D61</f>
        <v>21</v>
      </c>
      <c r="M55" s="17">
        <f>'Autogenerated Template'!E61</f>
        <v>11</v>
      </c>
      <c r="N55" s="17">
        <f>'Autogenerated Template'!F61</f>
        <v>1</v>
      </c>
      <c r="O55" s="17">
        <f>'Autogenerated Template'!G61</f>
        <v>0</v>
      </c>
      <c r="P55" s="17">
        <f>'Autogenerated Template'!H61</f>
        <v>0</v>
      </c>
      <c r="Q55" s="17">
        <f>'Autogenerated Template'!I61</f>
        <v>33</v>
      </c>
      <c r="R55" s="17">
        <f>'Autogenerated Template'!J61</f>
        <v>3</v>
      </c>
      <c r="S55" s="17"/>
      <c r="T55" s="17">
        <f>'Autogenerated Template'!K61</f>
        <v>0</v>
      </c>
      <c r="U55" s="17">
        <f>'Autogenerated Template'!L61</f>
        <v>1</v>
      </c>
      <c r="V55" s="17">
        <f>'Autogenerated Template'!N61</f>
        <v>4</v>
      </c>
      <c r="W55" s="17">
        <f>'Autogenerated Template'!O61</f>
        <v>0</v>
      </c>
      <c r="X55" s="17">
        <f>'Autogenerated Template'!P61</f>
        <v>4</v>
      </c>
      <c r="Y55" s="17">
        <f>'Autogenerated Template'!Q61</f>
        <v>4</v>
      </c>
      <c r="Z55" s="17">
        <f>'Autogenerated Template'!R61</f>
        <v>0</v>
      </c>
      <c r="AA55" s="17">
        <f>'Autogenerated Template'!S61</f>
        <v>0</v>
      </c>
      <c r="AB55" s="17">
        <f>'Autogenerated Template'!T61</f>
        <v>29</v>
      </c>
      <c r="AC55" s="17">
        <f>'Autogenerated Template'!U61</f>
        <v>29</v>
      </c>
      <c r="AD55" s="16" t="str">
        <f t="shared" si="10"/>
        <v>Zone B</v>
      </c>
      <c r="AE55" s="16" t="str">
        <f t="shared" si="1"/>
        <v>Category Edited</v>
      </c>
      <c r="AF55" s="16">
        <f>JudgeProfile!$W$2</f>
        <v>900</v>
      </c>
      <c r="AG55" s="16">
        <f>JudgeProfile!$V$2</f>
        <v>900</v>
      </c>
      <c r="AH55" s="16" t="str">
        <f>JudgeProfile!$Q$2</f>
        <v>1 - Remains in this court full month</v>
      </c>
      <c r="AI55" s="16" t="str">
        <f>JudgeProfile!$U$2</f>
        <v>Addl: District &amp; Sessions Judge (Both Civil and Criminal Matter)</v>
      </c>
      <c r="AJ55" s="16" t="str">
        <f>JudgeProfile!$Z$2</f>
        <v>Sessions Court</v>
      </c>
    </row>
    <row r="56" spans="1:36" ht="15.75">
      <c r="A56" s="17" t="str">
        <f t="shared" si="2"/>
        <v>PHC0290-73-1</v>
      </c>
      <c r="B56" s="17" t="str">
        <f t="shared" si="3"/>
        <v>Mr Amin Said</v>
      </c>
      <c r="C56" s="17" t="str">
        <f t="shared" si="4"/>
        <v>Addl: District &amp; Sessions Judge</v>
      </c>
      <c r="D56" s="17" t="str">
        <f t="shared" si="5"/>
        <v>ADSJ-1</v>
      </c>
      <c r="E56" s="17" t="str">
        <f t="shared" si="6"/>
        <v>Lower Dir - Timergara</v>
      </c>
      <c r="F56" s="17" t="str">
        <f t="shared" si="7"/>
        <v>Regular</v>
      </c>
      <c r="G56" s="171">
        <f t="shared" si="8"/>
        <v>45078</v>
      </c>
      <c r="H56" s="207">
        <f t="shared" si="9"/>
        <v>2023</v>
      </c>
      <c r="I56" s="17" t="s">
        <v>9</v>
      </c>
      <c r="J56" s="42" t="s">
        <v>1749</v>
      </c>
      <c r="K56" s="43" t="s">
        <v>107</v>
      </c>
      <c r="L56" s="17">
        <f>'Autogenerated Template'!D62</f>
        <v>0</v>
      </c>
      <c r="M56" s="17">
        <f>'Autogenerated Template'!E62</f>
        <v>0</v>
      </c>
      <c r="N56" s="17">
        <f>'Autogenerated Template'!F62</f>
        <v>0</v>
      </c>
      <c r="O56" s="17">
        <f>'Autogenerated Template'!G62</f>
        <v>0</v>
      </c>
      <c r="P56" s="17">
        <f>'Autogenerated Template'!H62</f>
        <v>0</v>
      </c>
      <c r="Q56" s="17">
        <f>'Autogenerated Template'!I62</f>
        <v>0</v>
      </c>
      <c r="R56" s="17">
        <f>'Autogenerated Template'!J62</f>
        <v>0</v>
      </c>
      <c r="S56" s="17"/>
      <c r="T56" s="17">
        <f>'Autogenerated Template'!K62</f>
        <v>0</v>
      </c>
      <c r="U56" s="17">
        <f>'Autogenerated Template'!L62</f>
        <v>0</v>
      </c>
      <c r="V56" s="17">
        <f>'Autogenerated Template'!N62</f>
        <v>0</v>
      </c>
      <c r="W56" s="17">
        <f>'Autogenerated Template'!O62</f>
        <v>0</v>
      </c>
      <c r="X56" s="17">
        <f>'Autogenerated Template'!P62</f>
        <v>0</v>
      </c>
      <c r="Y56" s="17">
        <f>'Autogenerated Template'!Q62</f>
        <v>0</v>
      </c>
      <c r="Z56" s="17">
        <f>'Autogenerated Template'!R62</f>
        <v>0</v>
      </c>
      <c r="AA56" s="17">
        <f>'Autogenerated Template'!S62</f>
        <v>0</v>
      </c>
      <c r="AB56" s="17">
        <f>'Autogenerated Template'!T62</f>
        <v>0</v>
      </c>
      <c r="AC56" s="17">
        <f>'Autogenerated Template'!U62</f>
        <v>0</v>
      </c>
      <c r="AD56" s="16" t="str">
        <f t="shared" si="10"/>
        <v>Zone B</v>
      </c>
      <c r="AE56" s="16" t="str">
        <f t="shared" si="1"/>
        <v>Category Not Edited</v>
      </c>
      <c r="AF56" s="16">
        <f>JudgeProfile!$W$2</f>
        <v>900</v>
      </c>
      <c r="AG56" s="16">
        <f>JudgeProfile!$V$2</f>
        <v>900</v>
      </c>
      <c r="AH56" s="16" t="str">
        <f>JudgeProfile!$Q$2</f>
        <v>1 - Remains in this court full month</v>
      </c>
      <c r="AI56" s="16" t="str">
        <f>JudgeProfile!$U$2</f>
        <v>Addl: District &amp; Sessions Judge (Both Civil and Criminal Matter)</v>
      </c>
      <c r="AJ56" s="16" t="str">
        <f>JudgeProfile!$Z$2</f>
        <v>Sessions Court</v>
      </c>
    </row>
    <row r="57" spans="1:36" ht="15.75">
      <c r="A57" s="17" t="str">
        <f t="shared" si="2"/>
        <v>PHC0290-73-1</v>
      </c>
      <c r="B57" s="17" t="str">
        <f t="shared" si="3"/>
        <v>Mr Amin Said</v>
      </c>
      <c r="C57" s="17" t="str">
        <f t="shared" si="4"/>
        <v>Addl: District &amp; Sessions Judge</v>
      </c>
      <c r="D57" s="17" t="str">
        <f t="shared" si="5"/>
        <v>ADSJ-1</v>
      </c>
      <c r="E57" s="17" t="str">
        <f t="shared" si="6"/>
        <v>Lower Dir - Timergara</v>
      </c>
      <c r="F57" s="17" t="str">
        <f t="shared" si="7"/>
        <v>Regular</v>
      </c>
      <c r="G57" s="171">
        <f t="shared" si="8"/>
        <v>45078</v>
      </c>
      <c r="H57" s="207">
        <f t="shared" si="9"/>
        <v>2023</v>
      </c>
      <c r="I57" s="17" t="s">
        <v>9</v>
      </c>
      <c r="J57" s="42" t="s">
        <v>1750</v>
      </c>
      <c r="K57" s="43" t="s">
        <v>108</v>
      </c>
      <c r="L57" s="17">
        <f>'Autogenerated Template'!D63</f>
        <v>32</v>
      </c>
      <c r="M57" s="17">
        <f>'Autogenerated Template'!E63</f>
        <v>1</v>
      </c>
      <c r="N57" s="17">
        <f>'Autogenerated Template'!F63</f>
        <v>1</v>
      </c>
      <c r="O57" s="17">
        <f>'Autogenerated Template'!G63</f>
        <v>0</v>
      </c>
      <c r="P57" s="17">
        <f>'Autogenerated Template'!H63</f>
        <v>0</v>
      </c>
      <c r="Q57" s="17">
        <f>'Autogenerated Template'!I63</f>
        <v>34</v>
      </c>
      <c r="R57" s="17">
        <f>'Autogenerated Template'!J63</f>
        <v>2</v>
      </c>
      <c r="S57" s="17"/>
      <c r="T57" s="17">
        <f>'Autogenerated Template'!K63</f>
        <v>0</v>
      </c>
      <c r="U57" s="17">
        <f>'Autogenerated Template'!L63</f>
        <v>0</v>
      </c>
      <c r="V57" s="17">
        <f>'Autogenerated Template'!N63</f>
        <v>2</v>
      </c>
      <c r="W57" s="17">
        <f>'Autogenerated Template'!O63</f>
        <v>0</v>
      </c>
      <c r="X57" s="17">
        <f>'Autogenerated Template'!P63</f>
        <v>2</v>
      </c>
      <c r="Y57" s="17">
        <f>'Autogenerated Template'!Q63</f>
        <v>2</v>
      </c>
      <c r="Z57" s="17">
        <f>'Autogenerated Template'!R63</f>
        <v>0</v>
      </c>
      <c r="AA57" s="17">
        <f>'Autogenerated Template'!S63</f>
        <v>0</v>
      </c>
      <c r="AB57" s="17">
        <f>'Autogenerated Template'!T63</f>
        <v>32</v>
      </c>
      <c r="AC57" s="17">
        <f>'Autogenerated Template'!U63</f>
        <v>32</v>
      </c>
      <c r="AD57" s="16" t="str">
        <f t="shared" si="10"/>
        <v>Zone B</v>
      </c>
      <c r="AE57" s="16" t="str">
        <f t="shared" si="1"/>
        <v>Category Edited</v>
      </c>
      <c r="AF57" s="16">
        <f>JudgeProfile!$W$2</f>
        <v>900</v>
      </c>
      <c r="AG57" s="16">
        <f>JudgeProfile!$V$2</f>
        <v>900</v>
      </c>
      <c r="AH57" s="16" t="str">
        <f>JudgeProfile!$Q$2</f>
        <v>1 - Remains in this court full month</v>
      </c>
      <c r="AI57" s="16" t="str">
        <f>JudgeProfile!$U$2</f>
        <v>Addl: District &amp; Sessions Judge (Both Civil and Criminal Matter)</v>
      </c>
      <c r="AJ57" s="16" t="str">
        <f>JudgeProfile!$Z$2</f>
        <v>Sessions Court</v>
      </c>
    </row>
    <row r="58" spans="1:36" ht="15.75">
      <c r="A58" s="17" t="str">
        <f t="shared" si="2"/>
        <v>PHC0290-73-1</v>
      </c>
      <c r="B58" s="17" t="str">
        <f t="shared" si="3"/>
        <v>Mr Amin Said</v>
      </c>
      <c r="C58" s="17" t="str">
        <f t="shared" si="4"/>
        <v>Addl: District &amp; Sessions Judge</v>
      </c>
      <c r="D58" s="17" t="str">
        <f t="shared" si="5"/>
        <v>ADSJ-1</v>
      </c>
      <c r="E58" s="17" t="str">
        <f t="shared" si="6"/>
        <v>Lower Dir - Timergara</v>
      </c>
      <c r="F58" s="17" t="str">
        <f t="shared" si="7"/>
        <v>Regular</v>
      </c>
      <c r="G58" s="171">
        <f t="shared" si="8"/>
        <v>45078</v>
      </c>
      <c r="H58" s="207">
        <f t="shared" si="9"/>
        <v>2023</v>
      </c>
      <c r="I58" s="17" t="s">
        <v>9</v>
      </c>
      <c r="J58" s="42" t="s">
        <v>1751</v>
      </c>
      <c r="K58" s="43" t="s">
        <v>109</v>
      </c>
      <c r="L58" s="17">
        <f>'Autogenerated Template'!D64</f>
        <v>1</v>
      </c>
      <c r="M58" s="17">
        <f>'Autogenerated Template'!E64</f>
        <v>0</v>
      </c>
      <c r="N58" s="17">
        <f>'Autogenerated Template'!F64</f>
        <v>0</v>
      </c>
      <c r="O58" s="17">
        <f>'Autogenerated Template'!G64</f>
        <v>0</v>
      </c>
      <c r="P58" s="17">
        <f>'Autogenerated Template'!H64</f>
        <v>0</v>
      </c>
      <c r="Q58" s="17">
        <f>'Autogenerated Template'!I64</f>
        <v>1</v>
      </c>
      <c r="R58" s="17">
        <f>'Autogenerated Template'!J64</f>
        <v>1</v>
      </c>
      <c r="S58" s="43"/>
      <c r="T58" s="17">
        <f>'Autogenerated Template'!K64</f>
        <v>0</v>
      </c>
      <c r="U58" s="17">
        <f>'Autogenerated Template'!L64</f>
        <v>0</v>
      </c>
      <c r="V58" s="17">
        <f>'Autogenerated Template'!N64</f>
        <v>1</v>
      </c>
      <c r="W58" s="17">
        <f>'Autogenerated Template'!O64</f>
        <v>0</v>
      </c>
      <c r="X58" s="17">
        <f>'Autogenerated Template'!P64</f>
        <v>1</v>
      </c>
      <c r="Y58" s="17">
        <f>'Autogenerated Template'!Q64</f>
        <v>1</v>
      </c>
      <c r="Z58" s="17">
        <f>'Autogenerated Template'!R64</f>
        <v>0</v>
      </c>
      <c r="AA58" s="17">
        <f>'Autogenerated Template'!S64</f>
        <v>0</v>
      </c>
      <c r="AB58" s="17">
        <f>'Autogenerated Template'!T64</f>
        <v>0</v>
      </c>
      <c r="AC58" s="17">
        <f>'Autogenerated Template'!U64</f>
        <v>0</v>
      </c>
      <c r="AD58" s="16" t="str">
        <f t="shared" si="10"/>
        <v>Zone B</v>
      </c>
      <c r="AE58" s="16" t="str">
        <f t="shared" si="1"/>
        <v>Category Edited</v>
      </c>
      <c r="AF58" s="16">
        <f>JudgeProfile!$W$2</f>
        <v>900</v>
      </c>
      <c r="AG58" s="16">
        <f>JudgeProfile!$V$2</f>
        <v>900</v>
      </c>
      <c r="AH58" s="16" t="str">
        <f>JudgeProfile!$Q$2</f>
        <v>1 - Remains in this court full month</v>
      </c>
      <c r="AI58" s="16" t="str">
        <f>JudgeProfile!$U$2</f>
        <v>Addl: District &amp; Sessions Judge (Both Civil and Criminal Matter)</v>
      </c>
      <c r="AJ58" s="16" t="str">
        <f>JudgeProfile!$Z$2</f>
        <v>Sessions Court</v>
      </c>
    </row>
    <row r="59" spans="1:36" ht="15.75">
      <c r="A59" s="17" t="str">
        <f t="shared" si="2"/>
        <v>PHC0290-73-1</v>
      </c>
      <c r="B59" s="17" t="str">
        <f t="shared" si="3"/>
        <v>Mr Amin Said</v>
      </c>
      <c r="C59" s="17" t="str">
        <f t="shared" si="4"/>
        <v>Addl: District &amp; Sessions Judge</v>
      </c>
      <c r="D59" s="17" t="str">
        <f t="shared" si="5"/>
        <v>ADSJ-1</v>
      </c>
      <c r="E59" s="17" t="str">
        <f t="shared" si="6"/>
        <v>Lower Dir - Timergara</v>
      </c>
      <c r="F59" s="17" t="str">
        <f t="shared" si="7"/>
        <v>Regular</v>
      </c>
      <c r="G59" s="171">
        <f t="shared" si="8"/>
        <v>45078</v>
      </c>
      <c r="H59" s="207">
        <f t="shared" si="9"/>
        <v>2023</v>
      </c>
      <c r="I59" s="17" t="s">
        <v>9</v>
      </c>
      <c r="J59" s="42" t="s">
        <v>1873</v>
      </c>
      <c r="K59" s="43" t="s">
        <v>1872</v>
      </c>
      <c r="L59" s="17">
        <f>'Autogenerated Template'!D65</f>
        <v>7</v>
      </c>
      <c r="M59" s="17">
        <f>'Autogenerated Template'!E65</f>
        <v>0</v>
      </c>
      <c r="N59" s="17">
        <f>'Autogenerated Template'!F65</f>
        <v>0</v>
      </c>
      <c r="O59" s="17">
        <f>'Autogenerated Template'!G65</f>
        <v>0</v>
      </c>
      <c r="P59" s="17">
        <f>'Autogenerated Template'!H65</f>
        <v>0</v>
      </c>
      <c r="Q59" s="17">
        <f>'Autogenerated Template'!I65</f>
        <v>7</v>
      </c>
      <c r="R59" s="17">
        <f>'Autogenerated Template'!J65</f>
        <v>1</v>
      </c>
      <c r="S59" s="43"/>
      <c r="T59" s="17">
        <f>'Autogenerated Template'!K65</f>
        <v>0</v>
      </c>
      <c r="U59" s="17">
        <f>'Autogenerated Template'!L65</f>
        <v>0</v>
      </c>
      <c r="V59" s="17">
        <f>'Autogenerated Template'!N65</f>
        <v>1</v>
      </c>
      <c r="W59" s="17">
        <f>'Autogenerated Template'!O65</f>
        <v>0</v>
      </c>
      <c r="X59" s="17">
        <f>'Autogenerated Template'!P65</f>
        <v>1</v>
      </c>
      <c r="Y59" s="17">
        <f>'Autogenerated Template'!Q65</f>
        <v>1</v>
      </c>
      <c r="Z59" s="17">
        <f>'Autogenerated Template'!R65</f>
        <v>0</v>
      </c>
      <c r="AA59" s="17">
        <f>'Autogenerated Template'!S65</f>
        <v>0</v>
      </c>
      <c r="AB59" s="17">
        <f>'Autogenerated Template'!T65</f>
        <v>6</v>
      </c>
      <c r="AC59" s="17">
        <f>'Autogenerated Template'!U65</f>
        <v>6</v>
      </c>
      <c r="AD59" s="16" t="str">
        <f t="shared" si="10"/>
        <v>Zone B</v>
      </c>
      <c r="AE59" s="16" t="str">
        <f t="shared" si="1"/>
        <v>Category Edited</v>
      </c>
      <c r="AF59" s="16">
        <f>JudgeProfile!$W$2</f>
        <v>900</v>
      </c>
      <c r="AG59" s="16">
        <f>JudgeProfile!$V$2</f>
        <v>900</v>
      </c>
      <c r="AH59" s="16" t="str">
        <f>JudgeProfile!$Q$2</f>
        <v>1 - Remains in this court full month</v>
      </c>
      <c r="AI59" s="16" t="str">
        <f>JudgeProfile!$U$2</f>
        <v>Addl: District &amp; Sessions Judge (Both Civil and Criminal Matter)</v>
      </c>
      <c r="AJ59" s="16" t="str">
        <f>JudgeProfile!$Z$2</f>
        <v>Sessions Court</v>
      </c>
    </row>
    <row r="60" spans="1:36" ht="15.75">
      <c r="A60" s="17" t="str">
        <f t="shared" si="2"/>
        <v>PHC0290-73-1</v>
      </c>
      <c r="B60" s="17" t="str">
        <f t="shared" si="3"/>
        <v>Mr Amin Said</v>
      </c>
      <c r="C60" s="17" t="str">
        <f t="shared" si="4"/>
        <v>Addl: District &amp; Sessions Judge</v>
      </c>
      <c r="D60" s="17" t="str">
        <f t="shared" si="5"/>
        <v>ADSJ-1</v>
      </c>
      <c r="E60" s="17" t="str">
        <f t="shared" si="6"/>
        <v>Lower Dir - Timergara</v>
      </c>
      <c r="F60" s="17" t="str">
        <f t="shared" si="7"/>
        <v>Regular</v>
      </c>
      <c r="G60" s="171">
        <f t="shared" si="8"/>
        <v>45078</v>
      </c>
      <c r="H60" s="207">
        <f t="shared" si="9"/>
        <v>2023</v>
      </c>
      <c r="I60" s="17" t="s">
        <v>9</v>
      </c>
      <c r="J60" s="42" t="s">
        <v>1882</v>
      </c>
      <c r="K60" s="43" t="s">
        <v>1884</v>
      </c>
      <c r="L60" s="17">
        <f>'Autogenerated Template'!D66</f>
        <v>0</v>
      </c>
      <c r="M60" s="17">
        <f>'Autogenerated Template'!E66</f>
        <v>0</v>
      </c>
      <c r="N60" s="17">
        <f>'Autogenerated Template'!F66</f>
        <v>0</v>
      </c>
      <c r="O60" s="17">
        <f>'Autogenerated Template'!G66</f>
        <v>0</v>
      </c>
      <c r="P60" s="17">
        <f>'Autogenerated Template'!H66</f>
        <v>0</v>
      </c>
      <c r="Q60" s="17">
        <f>'Autogenerated Template'!I66</f>
        <v>0</v>
      </c>
      <c r="R60" s="17">
        <f>'Autogenerated Template'!J66</f>
        <v>0</v>
      </c>
      <c r="S60" s="43"/>
      <c r="T60" s="17">
        <f>'Autogenerated Template'!K66</f>
        <v>0</v>
      </c>
      <c r="U60" s="17">
        <f>'Autogenerated Template'!L66</f>
        <v>0</v>
      </c>
      <c r="V60" s="17">
        <f>'Autogenerated Template'!N66</f>
        <v>0</v>
      </c>
      <c r="W60" s="17">
        <f>'Autogenerated Template'!O66</f>
        <v>0</v>
      </c>
      <c r="X60" s="17">
        <f>'Autogenerated Template'!P66</f>
        <v>0</v>
      </c>
      <c r="Y60" s="17">
        <f>'Autogenerated Template'!Q66</f>
        <v>0</v>
      </c>
      <c r="Z60" s="17">
        <f>'Autogenerated Template'!R66</f>
        <v>0</v>
      </c>
      <c r="AA60" s="17">
        <f>'Autogenerated Template'!S66</f>
        <v>0</v>
      </c>
      <c r="AB60" s="17">
        <f>'Autogenerated Template'!T66</f>
        <v>0</v>
      </c>
      <c r="AC60" s="17">
        <f>'Autogenerated Template'!U66</f>
        <v>0</v>
      </c>
      <c r="AD60" s="16" t="str">
        <f t="shared" si="10"/>
        <v>Zone B</v>
      </c>
      <c r="AE60" s="16" t="str">
        <f t="shared" si="1"/>
        <v>Category Not Edited</v>
      </c>
      <c r="AF60" s="16">
        <f>JudgeProfile!$W$2</f>
        <v>900</v>
      </c>
      <c r="AG60" s="16">
        <f>JudgeProfile!$V$2</f>
        <v>900</v>
      </c>
      <c r="AH60" s="16" t="str">
        <f>JudgeProfile!$Q$2</f>
        <v>1 - Remains in this court full month</v>
      </c>
      <c r="AI60" s="16" t="str">
        <f>JudgeProfile!$U$2</f>
        <v>Addl: District &amp; Sessions Judge (Both Civil and Criminal Matter)</v>
      </c>
      <c r="AJ60" s="16" t="str">
        <f>JudgeProfile!$Z$2</f>
        <v>Sessions Court</v>
      </c>
    </row>
    <row r="61" spans="1:36" ht="15.75">
      <c r="A61" s="17" t="str">
        <f t="shared" si="2"/>
        <v>PHC0290-73-1</v>
      </c>
      <c r="B61" s="17" t="str">
        <f t="shared" si="3"/>
        <v>Mr Amin Said</v>
      </c>
      <c r="C61" s="17" t="str">
        <f t="shared" si="4"/>
        <v>Addl: District &amp; Sessions Judge</v>
      </c>
      <c r="D61" s="17" t="str">
        <f t="shared" si="5"/>
        <v>ADSJ-1</v>
      </c>
      <c r="E61" s="17" t="str">
        <f t="shared" si="6"/>
        <v>Lower Dir - Timergara</v>
      </c>
      <c r="F61" s="17" t="str">
        <f t="shared" si="7"/>
        <v>Regular</v>
      </c>
      <c r="G61" s="171">
        <f t="shared" si="8"/>
        <v>45078</v>
      </c>
      <c r="H61" s="207">
        <f t="shared" si="9"/>
        <v>2023</v>
      </c>
      <c r="I61" s="17" t="s">
        <v>9</v>
      </c>
      <c r="J61" s="42" t="s">
        <v>2010</v>
      </c>
      <c r="K61" s="43" t="s">
        <v>2011</v>
      </c>
      <c r="L61" s="17">
        <f>'Autogenerated Template'!D67</f>
        <v>0</v>
      </c>
      <c r="M61" s="17">
        <f>'Autogenerated Template'!E67</f>
        <v>0</v>
      </c>
      <c r="N61" s="17">
        <f>'Autogenerated Template'!F67</f>
        <v>0</v>
      </c>
      <c r="O61" s="17">
        <f>'Autogenerated Template'!G67</f>
        <v>0</v>
      </c>
      <c r="P61" s="17">
        <f>'Autogenerated Template'!H67</f>
        <v>0</v>
      </c>
      <c r="Q61" s="17">
        <f>'Autogenerated Template'!I67</f>
        <v>0</v>
      </c>
      <c r="R61" s="17">
        <f>'Autogenerated Template'!J67</f>
        <v>0</v>
      </c>
      <c r="S61" s="43"/>
      <c r="T61" s="17">
        <f>'Autogenerated Template'!K67</f>
        <v>0</v>
      </c>
      <c r="U61" s="17">
        <f>'Autogenerated Template'!L67</f>
        <v>0</v>
      </c>
      <c r="V61" s="17">
        <f>'Autogenerated Template'!N67</f>
        <v>0</v>
      </c>
      <c r="W61" s="17">
        <f>'Autogenerated Template'!O67</f>
        <v>0</v>
      </c>
      <c r="X61" s="17">
        <f>'Autogenerated Template'!P67</f>
        <v>0</v>
      </c>
      <c r="Y61" s="17">
        <f>'Autogenerated Template'!Q67</f>
        <v>0</v>
      </c>
      <c r="Z61" s="17">
        <f>'Autogenerated Template'!R67</f>
        <v>0</v>
      </c>
      <c r="AA61" s="17">
        <f>'Autogenerated Template'!S67</f>
        <v>0</v>
      </c>
      <c r="AB61" s="17">
        <f>'Autogenerated Template'!T67</f>
        <v>0</v>
      </c>
      <c r="AC61" s="17">
        <f>'Autogenerated Template'!U67</f>
        <v>0</v>
      </c>
      <c r="AD61" s="16" t="str">
        <f t="shared" si="10"/>
        <v>Zone B</v>
      </c>
      <c r="AE61" s="16" t="str">
        <f t="shared" ref="AE61" si="13">IF(L61+M61+N61+O61+P61+Q61&gt;0,"Category Edited","Category Not Edited")</f>
        <v>Category Not Edited</v>
      </c>
      <c r="AF61" s="16">
        <f>JudgeProfile!$W$2</f>
        <v>900</v>
      </c>
      <c r="AG61" s="16">
        <f>JudgeProfile!$V$2</f>
        <v>900</v>
      </c>
      <c r="AH61" s="16" t="str">
        <f>JudgeProfile!$Q$2</f>
        <v>1 - Remains in this court full month</v>
      </c>
      <c r="AI61" s="16" t="str">
        <f>JudgeProfile!$U$2</f>
        <v>Addl: District &amp; Sessions Judge (Both Civil and Criminal Matter)</v>
      </c>
      <c r="AJ61" s="16" t="str">
        <f>JudgeProfile!$Z$2</f>
        <v>Sessions Court</v>
      </c>
    </row>
    <row r="62" spans="1:36" ht="15.75">
      <c r="A62" s="17"/>
      <c r="B62" s="17"/>
      <c r="C62" s="17"/>
      <c r="D62" s="17"/>
      <c r="E62" s="17"/>
      <c r="F62" s="17"/>
      <c r="G62" s="171"/>
      <c r="H62" s="112"/>
      <c r="I62" s="17"/>
      <c r="J62" s="42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</row>
    <row r="63" spans="1:36" ht="15.75">
      <c r="A63" s="17"/>
      <c r="B63" s="17"/>
      <c r="C63" s="17"/>
      <c r="D63" s="17"/>
      <c r="E63" s="17"/>
      <c r="F63" s="17"/>
      <c r="G63" s="171"/>
      <c r="H63" s="112"/>
      <c r="I63" s="17"/>
      <c r="J63" s="42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</row>
    <row r="64" spans="1:36" ht="15.75">
      <c r="A64" s="17"/>
      <c r="B64" s="17"/>
      <c r="C64" s="17"/>
      <c r="D64" s="17"/>
      <c r="E64" s="17"/>
      <c r="F64" s="17"/>
      <c r="G64" s="171"/>
      <c r="H64" s="112"/>
      <c r="I64" s="17"/>
      <c r="J64" s="42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</row>
    <row r="65" spans="1:29" ht="15.75">
      <c r="A65" s="17"/>
      <c r="B65" s="17"/>
      <c r="C65" s="17"/>
      <c r="D65" s="17"/>
      <c r="E65" s="17"/>
      <c r="F65" s="17"/>
      <c r="G65" s="171"/>
      <c r="H65" s="112"/>
      <c r="I65" s="17"/>
      <c r="J65" s="42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</row>
    <row r="66" spans="1:29" ht="15.75">
      <c r="A66" s="17"/>
      <c r="B66" s="17"/>
      <c r="C66" s="17"/>
      <c r="D66" s="17"/>
      <c r="E66" s="17"/>
      <c r="F66" s="17"/>
      <c r="G66" s="171"/>
      <c r="H66" s="112"/>
      <c r="I66" s="17"/>
      <c r="J66" s="42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</row>
    <row r="67" spans="1:29" ht="15.75">
      <c r="A67" s="17"/>
      <c r="B67" s="17"/>
      <c r="C67" s="17"/>
      <c r="D67" s="17"/>
      <c r="E67" s="17"/>
      <c r="F67" s="17"/>
      <c r="G67" s="171"/>
      <c r="H67" s="112"/>
      <c r="I67" s="17"/>
      <c r="J67" s="42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</row>
    <row r="68" spans="1:29" ht="15.75">
      <c r="A68" s="17"/>
      <c r="B68" s="17"/>
      <c r="C68" s="17"/>
      <c r="D68" s="17"/>
      <c r="E68" s="17"/>
      <c r="F68" s="17"/>
      <c r="G68" s="171"/>
      <c r="H68" s="112"/>
      <c r="I68" s="17"/>
      <c r="J68" s="42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</row>
    <row r="69" spans="1:29" ht="15.75">
      <c r="A69" s="17"/>
      <c r="B69" s="17"/>
      <c r="C69" s="17"/>
      <c r="D69" s="17"/>
      <c r="E69" s="17"/>
      <c r="F69" s="17"/>
      <c r="G69" s="171"/>
      <c r="H69" s="112"/>
      <c r="I69" s="17"/>
      <c r="J69" s="42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</row>
    <row r="70" spans="1:29" ht="15.75">
      <c r="A70" s="17"/>
      <c r="B70" s="17"/>
      <c r="C70" s="17"/>
      <c r="D70" s="17"/>
      <c r="E70" s="17"/>
      <c r="F70" s="17"/>
      <c r="G70" s="171"/>
      <c r="H70" s="112"/>
      <c r="I70" s="17"/>
      <c r="J70" s="42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</row>
    <row r="71" spans="1:29" ht="15.75">
      <c r="A71" s="17"/>
      <c r="B71" s="17"/>
      <c r="C71" s="17"/>
      <c r="D71" s="17"/>
      <c r="E71" s="17"/>
      <c r="F71" s="17"/>
      <c r="G71" s="171"/>
      <c r="H71" s="112"/>
      <c r="I71" s="17"/>
      <c r="J71" s="42"/>
      <c r="K71" s="48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</row>
    <row r="72" spans="1:29" ht="15.75">
      <c r="A72" s="17"/>
      <c r="B72" s="17"/>
      <c r="C72" s="17"/>
      <c r="D72" s="17"/>
      <c r="E72" s="17"/>
      <c r="F72" s="17"/>
      <c r="G72" s="171"/>
      <c r="H72" s="112"/>
      <c r="I72" s="17"/>
      <c r="J72" s="42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</row>
    <row r="73" spans="1:29" ht="15.75">
      <c r="A73" s="17"/>
      <c r="B73" s="17"/>
      <c r="C73" s="17"/>
      <c r="D73" s="17"/>
      <c r="E73" s="17"/>
      <c r="F73" s="17"/>
      <c r="G73" s="171"/>
      <c r="H73" s="112"/>
      <c r="I73" s="17"/>
      <c r="J73" s="42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</row>
    <row r="74" spans="1:29" ht="15.75">
      <c r="A74" s="17"/>
      <c r="B74" s="17"/>
      <c r="C74" s="17"/>
      <c r="D74" s="17"/>
      <c r="E74" s="17"/>
      <c r="F74" s="17"/>
      <c r="G74" s="171"/>
      <c r="H74" s="112"/>
      <c r="I74" s="17"/>
      <c r="J74" s="42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</row>
    <row r="75" spans="1:29" ht="15.75">
      <c r="A75" s="17"/>
      <c r="B75" s="17"/>
      <c r="C75" s="17"/>
      <c r="D75" s="17"/>
      <c r="E75" s="17"/>
      <c r="F75" s="17"/>
      <c r="G75" s="171"/>
      <c r="H75" s="112"/>
      <c r="I75" s="17"/>
      <c r="J75" s="42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</row>
    <row r="76" spans="1:29" ht="15.75">
      <c r="A76" s="17"/>
      <c r="B76" s="17"/>
      <c r="C76" s="17"/>
      <c r="D76" s="17"/>
      <c r="E76" s="17"/>
      <c r="F76" s="17"/>
      <c r="G76" s="171"/>
      <c r="H76" s="112"/>
      <c r="I76" s="17"/>
      <c r="J76" s="42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</row>
    <row r="77" spans="1:29" ht="15.75">
      <c r="A77" s="17"/>
      <c r="B77" s="17"/>
      <c r="C77" s="17"/>
      <c r="D77" s="17"/>
      <c r="E77" s="17"/>
      <c r="F77" s="17"/>
      <c r="G77" s="171"/>
      <c r="H77" s="112"/>
      <c r="I77" s="17"/>
      <c r="J77" s="42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</row>
    <row r="78" spans="1:29" ht="15.75">
      <c r="A78" s="17"/>
      <c r="B78" s="17"/>
      <c r="C78" s="17"/>
      <c r="D78" s="17"/>
      <c r="E78" s="17"/>
      <c r="F78" s="17"/>
      <c r="G78" s="171"/>
      <c r="H78" s="112"/>
      <c r="I78" s="17"/>
      <c r="J78" s="42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</row>
    <row r="79" spans="1:29" ht="15.75">
      <c r="A79" s="17"/>
      <c r="B79" s="17"/>
      <c r="C79" s="17"/>
      <c r="D79" s="17"/>
      <c r="E79" s="17"/>
      <c r="F79" s="17"/>
      <c r="G79" s="171"/>
      <c r="H79" s="112"/>
      <c r="I79" s="17"/>
      <c r="J79" s="42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</row>
    <row r="80" spans="1:29" ht="15.75">
      <c r="A80" s="17"/>
      <c r="B80" s="17"/>
      <c r="C80" s="17"/>
      <c r="D80" s="17"/>
      <c r="E80" s="17"/>
      <c r="F80" s="17"/>
      <c r="G80" s="171"/>
      <c r="H80" s="112"/>
      <c r="I80" s="17"/>
      <c r="J80" s="42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</row>
    <row r="81" spans="1:29" ht="15.75">
      <c r="A81" s="17"/>
      <c r="B81" s="17"/>
      <c r="C81" s="17"/>
      <c r="D81" s="17"/>
      <c r="E81" s="17"/>
      <c r="F81" s="17"/>
      <c r="G81" s="171"/>
      <c r="H81" s="112"/>
      <c r="I81" s="17"/>
      <c r="J81" s="42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</row>
    <row r="82" spans="1:29" ht="15.75">
      <c r="A82" s="17"/>
      <c r="B82" s="17"/>
      <c r="C82" s="17"/>
      <c r="D82" s="17"/>
      <c r="E82" s="17"/>
      <c r="F82" s="17"/>
      <c r="G82" s="171"/>
      <c r="H82" s="112"/>
      <c r="I82" s="17"/>
      <c r="J82" s="42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</row>
    <row r="83" spans="1:29" ht="15.75">
      <c r="A83" s="17"/>
      <c r="B83" s="17"/>
      <c r="C83" s="17"/>
      <c r="D83" s="17"/>
      <c r="E83" s="17"/>
      <c r="F83" s="17"/>
      <c r="G83" s="171"/>
      <c r="H83" s="112"/>
      <c r="I83" s="17"/>
      <c r="J83" s="42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</row>
    <row r="84" spans="1:29" ht="15.75">
      <c r="A84" s="17"/>
      <c r="B84" s="17"/>
      <c r="C84" s="17"/>
      <c r="D84" s="17"/>
      <c r="E84" s="17"/>
      <c r="F84" s="17"/>
      <c r="G84" s="171"/>
      <c r="H84" s="112"/>
      <c r="I84" s="17"/>
      <c r="J84" s="42"/>
      <c r="K84" s="43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</row>
    <row r="85" spans="1:29" ht="15.75">
      <c r="A85" s="17"/>
      <c r="B85" s="17"/>
      <c r="C85" s="17"/>
      <c r="D85" s="17"/>
      <c r="E85" s="17"/>
      <c r="F85" s="17"/>
      <c r="G85" s="171"/>
      <c r="H85" s="112"/>
      <c r="I85" s="17"/>
      <c r="J85" s="42"/>
      <c r="K85" s="43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</row>
    <row r="86" spans="1:29" ht="15.75">
      <c r="A86" s="17"/>
      <c r="B86" s="17"/>
      <c r="C86" s="17"/>
      <c r="D86" s="17"/>
      <c r="E86" s="17"/>
      <c r="F86" s="17"/>
      <c r="G86" s="171"/>
      <c r="H86" s="112"/>
      <c r="I86" s="17"/>
      <c r="J86" s="42"/>
      <c r="K86" s="43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</row>
    <row r="87" spans="1:29" ht="15.75">
      <c r="A87" s="17"/>
      <c r="B87" s="17"/>
      <c r="C87" s="17"/>
      <c r="D87" s="17"/>
      <c r="E87" s="17"/>
      <c r="F87" s="17"/>
      <c r="G87" s="171"/>
      <c r="H87" s="112"/>
      <c r="I87" s="17"/>
      <c r="J87" s="42"/>
      <c r="K87" s="43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</row>
    <row r="88" spans="1:29" ht="15.75">
      <c r="A88" s="17"/>
      <c r="B88" s="17"/>
      <c r="C88" s="17"/>
      <c r="D88" s="17"/>
      <c r="E88" s="17"/>
      <c r="F88" s="17"/>
      <c r="G88" s="171"/>
      <c r="H88" s="112"/>
      <c r="I88" s="17"/>
      <c r="J88" s="42"/>
      <c r="K88" s="43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</row>
    <row r="89" spans="1:29" ht="15.75">
      <c r="A89" s="17"/>
      <c r="B89" s="17"/>
      <c r="C89" s="17"/>
      <c r="D89" s="17"/>
      <c r="E89" s="17"/>
      <c r="F89" s="17"/>
      <c r="G89" s="171"/>
      <c r="H89" s="112"/>
      <c r="I89" s="17"/>
      <c r="J89" s="42"/>
      <c r="K89" s="43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</row>
    <row r="90" spans="1:29" ht="15.75">
      <c r="A90" s="17"/>
      <c r="B90" s="17"/>
      <c r="C90" s="17"/>
      <c r="D90" s="17"/>
      <c r="E90" s="17"/>
      <c r="F90" s="17"/>
      <c r="G90" s="171"/>
      <c r="H90" s="112"/>
      <c r="I90" s="17"/>
      <c r="J90" s="42"/>
      <c r="K90" s="43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</row>
    <row r="91" spans="1:29" ht="15.75">
      <c r="A91" s="17"/>
      <c r="B91" s="17"/>
      <c r="C91" s="17"/>
      <c r="D91" s="17"/>
      <c r="E91" s="17"/>
      <c r="F91" s="17"/>
      <c r="G91" s="171"/>
      <c r="H91" s="112"/>
      <c r="I91" s="17"/>
      <c r="J91" s="42"/>
      <c r="K91" s="43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</row>
    <row r="92" spans="1:29" ht="15.75">
      <c r="A92" s="17"/>
      <c r="B92" s="17"/>
      <c r="C92" s="17"/>
      <c r="D92" s="17"/>
      <c r="E92" s="17"/>
      <c r="F92" s="17"/>
      <c r="G92" s="171"/>
      <c r="H92" s="112"/>
      <c r="I92" s="17"/>
      <c r="J92" s="42"/>
      <c r="K92" s="43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</row>
    <row r="93" spans="1:29" ht="15.75">
      <c r="A93" s="17"/>
      <c r="B93" s="17"/>
      <c r="C93" s="17"/>
      <c r="D93" s="17"/>
      <c r="E93" s="17"/>
      <c r="F93" s="17"/>
      <c r="G93" s="171"/>
      <c r="H93" s="112"/>
      <c r="I93" s="17"/>
      <c r="J93" s="42"/>
      <c r="K93" s="43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</row>
    <row r="94" spans="1:29" ht="15.75">
      <c r="A94" s="17"/>
      <c r="B94" s="17"/>
      <c r="C94" s="17"/>
      <c r="D94" s="17"/>
      <c r="E94" s="17"/>
      <c r="F94" s="17"/>
      <c r="G94" s="171"/>
      <c r="H94" s="112"/>
      <c r="I94" s="17"/>
      <c r="J94" s="42"/>
      <c r="K94" s="43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</row>
    <row r="95" spans="1:29" ht="15.75">
      <c r="A95" s="17"/>
      <c r="B95" s="17"/>
      <c r="C95" s="17"/>
      <c r="D95" s="17"/>
      <c r="E95" s="17"/>
      <c r="F95" s="17"/>
      <c r="G95" s="171"/>
      <c r="H95" s="112"/>
      <c r="I95" s="17"/>
      <c r="J95" s="42"/>
      <c r="K95" s="43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</row>
    <row r="96" spans="1:29" ht="15.75">
      <c r="A96" s="17"/>
      <c r="B96" s="17"/>
      <c r="C96" s="17"/>
      <c r="D96" s="17"/>
      <c r="E96" s="17"/>
      <c r="F96" s="17"/>
      <c r="G96" s="171"/>
      <c r="H96" s="112"/>
      <c r="I96" s="17"/>
      <c r="J96" s="42"/>
      <c r="K96" s="43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</row>
    <row r="97" spans="1:29" ht="15.75">
      <c r="A97" s="17"/>
      <c r="B97" s="17"/>
      <c r="C97" s="17"/>
      <c r="D97" s="17"/>
      <c r="E97" s="17"/>
      <c r="F97" s="17"/>
      <c r="G97" s="171"/>
      <c r="H97" s="112"/>
      <c r="I97" s="17"/>
      <c r="J97" s="42"/>
      <c r="K97" s="43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</row>
    <row r="98" spans="1:29" ht="15.75">
      <c r="A98" s="17"/>
      <c r="B98" s="17"/>
      <c r="C98" s="17"/>
      <c r="D98" s="17"/>
      <c r="E98" s="17"/>
      <c r="F98" s="17"/>
      <c r="G98" s="171"/>
      <c r="H98" s="112"/>
      <c r="I98" s="17"/>
      <c r="J98" s="42"/>
      <c r="K98" s="43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</row>
    <row r="99" spans="1:29" ht="15.75">
      <c r="A99" s="17"/>
      <c r="B99" s="17"/>
      <c r="C99" s="17"/>
      <c r="D99" s="17"/>
      <c r="E99" s="17"/>
      <c r="F99" s="17"/>
      <c r="G99" s="171"/>
      <c r="H99" s="112"/>
      <c r="I99" s="17"/>
      <c r="J99" s="42"/>
      <c r="K99" s="43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</row>
    <row r="100" spans="1:29" ht="15.75">
      <c r="A100" s="17"/>
      <c r="B100" s="17"/>
      <c r="C100" s="17"/>
      <c r="D100" s="17"/>
      <c r="E100" s="17"/>
      <c r="F100" s="17"/>
      <c r="G100" s="171"/>
      <c r="H100" s="112"/>
      <c r="I100" s="17"/>
      <c r="J100" s="42"/>
      <c r="K100" s="43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</row>
    <row r="101" spans="1:29" ht="15.75">
      <c r="A101" s="17"/>
      <c r="B101" s="17"/>
      <c r="C101" s="17"/>
      <c r="D101" s="17"/>
      <c r="E101" s="17"/>
      <c r="F101" s="17"/>
      <c r="G101" s="171"/>
      <c r="H101" s="112"/>
      <c r="I101" s="17"/>
      <c r="J101" s="42"/>
      <c r="K101" s="43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</row>
    <row r="102" spans="1:29" ht="15.75">
      <c r="A102" s="17"/>
      <c r="B102" s="17"/>
      <c r="C102" s="17"/>
      <c r="D102" s="17"/>
      <c r="E102" s="17"/>
      <c r="F102" s="17"/>
      <c r="G102" s="171"/>
      <c r="H102" s="112"/>
      <c r="I102" s="17"/>
      <c r="J102" s="42"/>
      <c r="K102" s="43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</row>
    <row r="103" spans="1:29" ht="15.75">
      <c r="A103" s="17"/>
      <c r="B103" s="17"/>
      <c r="C103" s="17"/>
      <c r="D103" s="17"/>
      <c r="E103" s="17"/>
      <c r="F103" s="17"/>
      <c r="G103" s="171"/>
      <c r="H103" s="112"/>
      <c r="I103" s="17"/>
      <c r="J103" s="42"/>
      <c r="K103" s="43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</row>
    <row r="104" spans="1:29" ht="15.75">
      <c r="A104" s="17"/>
      <c r="B104" s="17"/>
      <c r="C104" s="17"/>
      <c r="D104" s="17"/>
      <c r="E104" s="17"/>
      <c r="F104" s="17"/>
      <c r="G104" s="171"/>
      <c r="H104" s="112"/>
      <c r="I104" s="17"/>
      <c r="J104" s="42"/>
      <c r="K104" s="43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</row>
    <row r="105" spans="1:29" ht="15.75">
      <c r="A105" s="17"/>
      <c r="B105" s="17"/>
      <c r="C105" s="17"/>
      <c r="D105" s="17"/>
      <c r="E105" s="17"/>
      <c r="F105" s="17"/>
      <c r="G105" s="171"/>
      <c r="H105" s="112"/>
      <c r="I105" s="17"/>
      <c r="J105" s="42"/>
      <c r="K105" s="43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</row>
    <row r="106" spans="1:29" ht="15.75">
      <c r="A106" s="17"/>
      <c r="B106" s="17"/>
      <c r="C106" s="17"/>
      <c r="D106" s="17"/>
      <c r="E106" s="17"/>
      <c r="F106" s="17"/>
      <c r="G106" s="171"/>
      <c r="H106" s="112"/>
      <c r="I106" s="17"/>
      <c r="J106" s="42"/>
      <c r="K106" s="43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</row>
    <row r="107" spans="1:29" ht="15.75">
      <c r="A107" s="17"/>
      <c r="B107" s="17"/>
      <c r="C107" s="17"/>
      <c r="D107" s="17"/>
      <c r="E107" s="17"/>
      <c r="F107" s="17"/>
      <c r="G107" s="171"/>
      <c r="H107" s="112"/>
      <c r="I107" s="17"/>
      <c r="J107" s="42"/>
      <c r="K107" s="43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</row>
    <row r="108" spans="1:29" ht="15.75">
      <c r="A108" s="17"/>
      <c r="B108" s="17"/>
      <c r="C108" s="17"/>
      <c r="D108" s="17"/>
      <c r="E108" s="17"/>
      <c r="F108" s="17"/>
      <c r="G108" s="171"/>
      <c r="H108" s="112"/>
      <c r="I108" s="17"/>
      <c r="J108" s="42"/>
      <c r="K108" s="43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</row>
    <row r="109" spans="1:29" ht="15.75">
      <c r="A109" s="17"/>
      <c r="B109" s="17"/>
      <c r="C109" s="17"/>
      <c r="D109" s="17"/>
      <c r="E109" s="17"/>
      <c r="F109" s="17"/>
      <c r="G109" s="171"/>
      <c r="H109" s="112"/>
      <c r="I109" s="17"/>
      <c r="J109" s="42"/>
      <c r="K109" s="43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</row>
  </sheetData>
  <sheetProtection algorithmName="SHA-512" hashValue="XavRZ9cySTvtT2/pYzM/XqLeF3mArxALiRcJEI3Q/qHf9hy2E7GldHr0J7VscAymbt9k+1Aj8Ope+q9P7WE8+A==" saltValue="eyy21lWg8KBA4nVirGxKnw==" spinCount="100000" sheet="1" objects="1" scenarios="1"/>
  <conditionalFormatting sqref="L32:AC32 L5:AC30">
    <cfRule type="duplicateValues" dxfId="16" priority="17"/>
  </conditionalFormatting>
  <conditionalFormatting sqref="K76 K72">
    <cfRule type="cellIs" dxfId="15" priority="14" stopIfTrue="1" operator="lessThan">
      <formula>0</formula>
    </cfRule>
  </conditionalFormatting>
  <conditionalFormatting sqref="K58:AC59 K62:AC83 L59:R60 L60:AC60 T58:AC60">
    <cfRule type="duplicateValues" dxfId="14" priority="15"/>
  </conditionalFormatting>
  <conditionalFormatting sqref="K23 K19">
    <cfRule type="cellIs" dxfId="13" priority="11" stopIfTrue="1" operator="lessThan">
      <formula>0</formula>
    </cfRule>
  </conditionalFormatting>
  <conditionalFormatting sqref="K5:K11 K13:K25 K27:K30">
    <cfRule type="duplicateValues" dxfId="12" priority="12"/>
  </conditionalFormatting>
  <conditionalFormatting sqref="L32:AC32">
    <cfRule type="duplicateValues" dxfId="11" priority="18"/>
  </conditionalFormatting>
  <conditionalFormatting sqref="L31:AC31">
    <cfRule type="duplicateValues" dxfId="10" priority="7"/>
  </conditionalFormatting>
  <conditionalFormatting sqref="K31">
    <cfRule type="duplicateValues" dxfId="9" priority="6"/>
  </conditionalFormatting>
  <conditionalFormatting sqref="L31:AC31">
    <cfRule type="duplicateValues" dxfId="8" priority="8"/>
  </conditionalFormatting>
  <conditionalFormatting sqref="K32">
    <cfRule type="duplicateValues" dxfId="7" priority="5"/>
  </conditionalFormatting>
  <conditionalFormatting sqref="K12">
    <cfRule type="duplicateValues" dxfId="6" priority="4"/>
  </conditionalFormatting>
  <conditionalFormatting sqref="K26">
    <cfRule type="duplicateValues" dxfId="5" priority="2"/>
  </conditionalFormatting>
  <conditionalFormatting sqref="L61:AC61">
    <cfRule type="duplicateValues" dxfId="4" priority="1"/>
  </conditionalFormatting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3"/>
  <sheetViews>
    <sheetView workbookViewId="0">
      <selection activeCell="J30" sqref="J30"/>
    </sheetView>
  </sheetViews>
  <sheetFormatPr defaultRowHeight="15"/>
  <sheetData>
    <row r="1" spans="1:2">
      <c r="A1" t="s">
        <v>1634</v>
      </c>
    </row>
    <row r="2" spans="1:2">
      <c r="A2">
        <v>1</v>
      </c>
      <c r="B2" t="s">
        <v>1622</v>
      </c>
    </row>
    <row r="3" spans="1:2">
      <c r="A3">
        <v>2</v>
      </c>
      <c r="B3" t="s">
        <v>1623</v>
      </c>
    </row>
    <row r="4" spans="1:2">
      <c r="A4" s="16">
        <v>3</v>
      </c>
      <c r="B4" s="16" t="s">
        <v>1624</v>
      </c>
    </row>
    <row r="5" spans="1:2">
      <c r="A5" s="16">
        <v>4</v>
      </c>
      <c r="B5" s="16" t="s">
        <v>1625</v>
      </c>
    </row>
    <row r="6" spans="1:2">
      <c r="A6" s="16">
        <v>5</v>
      </c>
      <c r="B6" s="16" t="s">
        <v>1626</v>
      </c>
    </row>
    <row r="7" spans="1:2">
      <c r="A7" s="16">
        <v>6</v>
      </c>
      <c r="B7" s="16" t="s">
        <v>1627</v>
      </c>
    </row>
    <row r="8" spans="1:2">
      <c r="A8" s="16">
        <v>7</v>
      </c>
      <c r="B8" s="16" t="s">
        <v>1628</v>
      </c>
    </row>
    <row r="9" spans="1:2">
      <c r="A9" s="16">
        <v>8</v>
      </c>
      <c r="B9" s="16" t="s">
        <v>1629</v>
      </c>
    </row>
    <row r="10" spans="1:2">
      <c r="A10" s="16">
        <v>9</v>
      </c>
      <c r="B10" s="16" t="s">
        <v>1630</v>
      </c>
    </row>
    <row r="11" spans="1:2">
      <c r="A11" s="16">
        <v>10</v>
      </c>
      <c r="B11" s="16" t="s">
        <v>1631</v>
      </c>
    </row>
    <row r="12" spans="1:2">
      <c r="A12" s="16">
        <v>11</v>
      </c>
      <c r="B12" s="16" t="s">
        <v>1632</v>
      </c>
    </row>
    <row r="13" spans="1:2">
      <c r="A13" s="16">
        <v>12</v>
      </c>
      <c r="B13" s="16" t="s">
        <v>1633</v>
      </c>
    </row>
  </sheetData>
  <sheetProtection algorithmName="SHA-512" hashValue="qJogIJPTGvq5DOpGmiKj74lPjhRx2+l/dAZ4/qBLfj64fvd3iuWHaaw9Z8I0N8iIqLn6IKOo1/6tW2MQqZ0MUA==" saltValue="MM1XsYVElVfPz0QpuOqwHg==" spinCount="100000" sheet="1" objects="1" scenarios="1"/>
  <customSheetViews>
    <customSheetView guid="{77330FEB-8B75-43E5-931E-B4C5A6173E6D}">
      <selection activeCell="J30" sqref="J3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38"/>
  <sheetViews>
    <sheetView view="pageBreakPreview" zoomScale="60" zoomScaleNormal="70" workbookViewId="0">
      <selection activeCell="F14" sqref="F14"/>
    </sheetView>
  </sheetViews>
  <sheetFormatPr defaultRowHeight="15"/>
  <cols>
    <col min="1" max="1" width="11.85546875" customWidth="1"/>
    <col min="2" max="2" width="10" customWidth="1"/>
    <col min="3" max="3" width="81" customWidth="1"/>
    <col min="4" max="4" width="33.42578125" bestFit="1" customWidth="1"/>
    <col min="5" max="5" width="11.42578125" customWidth="1"/>
    <col min="7" max="7" width="10.7109375" customWidth="1"/>
    <col min="8" max="8" width="14.42578125" customWidth="1"/>
    <col min="9" max="9" width="11.85546875" customWidth="1"/>
    <col min="10" max="10" width="9.85546875" customWidth="1"/>
    <col min="11" max="11" width="14.140625" customWidth="1"/>
    <col min="12" max="12" width="14.28515625" customWidth="1"/>
    <col min="13" max="13" width="10.85546875" customWidth="1"/>
    <col min="14" max="14" width="3.140625" hidden="1" customWidth="1"/>
    <col min="15" max="15" width="19.140625" style="16" customWidth="1"/>
    <col min="16" max="19" width="10.7109375" style="16" customWidth="1"/>
    <col min="20" max="20" width="14.28515625" style="16" customWidth="1"/>
    <col min="21" max="23" width="10.7109375" style="16" customWidth="1"/>
    <col min="24" max="24" width="10.5703125" customWidth="1"/>
    <col min="25" max="25" width="12.5703125" customWidth="1"/>
    <col min="26" max="26" width="11.42578125" customWidth="1"/>
    <col min="27" max="27" width="23.42578125" customWidth="1"/>
    <col min="28" max="29" width="23.28515625" customWidth="1"/>
    <col min="30" max="30" width="22.7109375" customWidth="1"/>
  </cols>
  <sheetData>
    <row r="1" spans="1:30" ht="20.25">
      <c r="A1" s="450" t="s">
        <v>1503</v>
      </c>
      <c r="B1" s="451"/>
      <c r="C1" s="451"/>
      <c r="D1" s="451"/>
      <c r="E1" s="452"/>
      <c r="F1" s="456" t="str">
        <f>JudgeProfile!C2</f>
        <v>Mr Amin Said</v>
      </c>
      <c r="G1" s="457"/>
      <c r="H1" s="457"/>
      <c r="I1" s="457"/>
      <c r="J1" s="457"/>
      <c r="K1" s="457"/>
      <c r="L1" s="457"/>
      <c r="M1" s="458"/>
      <c r="N1" s="67" t="s">
        <v>390</v>
      </c>
      <c r="O1" s="115" t="str">
        <f>JudgeProfile!B2</f>
        <v>PHC0290-73-1</v>
      </c>
      <c r="P1" s="68" t="s">
        <v>1506</v>
      </c>
      <c r="Q1" s="115" t="str">
        <f>VLOOKUP(MONTH(JudgeProfile!H2),TblMonths,2,FALSE)</f>
        <v>June</v>
      </c>
      <c r="R1" s="68" t="s">
        <v>1507</v>
      </c>
      <c r="S1" s="116">
        <f>YEAR(JudgeProfile!H2)</f>
        <v>2023</v>
      </c>
      <c r="T1" s="70"/>
      <c r="U1" s="70"/>
      <c r="V1" s="70"/>
      <c r="W1" s="70"/>
      <c r="X1" s="70"/>
      <c r="Y1" s="70"/>
      <c r="Z1" s="69"/>
    </row>
    <row r="2" spans="1:30" ht="20.25">
      <c r="A2" s="453" t="s">
        <v>1617</v>
      </c>
      <c r="B2" s="454"/>
      <c r="C2" s="454"/>
      <c r="D2" s="454"/>
      <c r="E2" s="455"/>
      <c r="F2" s="459" t="str">
        <f>JudgeProfile!U2</f>
        <v>Addl: District &amp; Sessions Judge (Both Civil and Criminal Matter)</v>
      </c>
      <c r="G2" s="460"/>
      <c r="H2" s="460"/>
      <c r="I2" s="460"/>
      <c r="J2" s="460"/>
      <c r="K2" s="460"/>
      <c r="L2" s="460"/>
      <c r="M2" s="461"/>
      <c r="N2" s="82" t="s">
        <v>1505</v>
      </c>
      <c r="O2" s="57" t="str">
        <f>JudgeProfile!G2</f>
        <v>Regular</v>
      </c>
      <c r="P2" s="474"/>
      <c r="Q2" s="474"/>
      <c r="R2" s="72"/>
      <c r="S2" s="83"/>
      <c r="T2" s="401"/>
      <c r="U2" s="401"/>
      <c r="V2" s="401"/>
      <c r="W2" s="401"/>
      <c r="X2" s="401"/>
      <c r="Y2" s="401"/>
      <c r="Z2" s="83"/>
    </row>
    <row r="3" spans="1:30" ht="121.15" customHeight="1">
      <c r="A3" s="56" t="s">
        <v>1582</v>
      </c>
      <c r="B3" s="56" t="s">
        <v>1513</v>
      </c>
      <c r="C3" s="56" t="s">
        <v>1514</v>
      </c>
      <c r="D3" s="56" t="s">
        <v>1583</v>
      </c>
      <c r="E3" s="56" t="s">
        <v>1516</v>
      </c>
      <c r="F3" s="56" t="s">
        <v>1517</v>
      </c>
      <c r="G3" s="56" t="s">
        <v>1518</v>
      </c>
      <c r="H3" s="56" t="s">
        <v>1584</v>
      </c>
      <c r="I3" s="56" t="s">
        <v>1585</v>
      </c>
      <c r="J3" s="56" t="s">
        <v>1586</v>
      </c>
      <c r="K3" s="56" t="s">
        <v>1587</v>
      </c>
      <c r="L3" s="56" t="s">
        <v>1588</v>
      </c>
      <c r="M3" s="56" t="s">
        <v>1589</v>
      </c>
      <c r="N3" s="56" t="s">
        <v>1590</v>
      </c>
      <c r="O3" s="56" t="s">
        <v>1597</v>
      </c>
      <c r="P3" s="56" t="s">
        <v>1528</v>
      </c>
      <c r="Q3" s="56" t="s">
        <v>1598</v>
      </c>
      <c r="R3" s="56" t="s">
        <v>1618</v>
      </c>
      <c r="S3" s="56" t="s">
        <v>1619</v>
      </c>
      <c r="T3" s="56" t="s">
        <v>1909</v>
      </c>
      <c r="U3" s="56" t="s">
        <v>1910</v>
      </c>
      <c r="V3" s="56" t="s">
        <v>1911</v>
      </c>
      <c r="W3" s="56" t="s">
        <v>1912</v>
      </c>
      <c r="X3" s="56" t="s">
        <v>1932</v>
      </c>
      <c r="Y3" s="56" t="s">
        <v>1591</v>
      </c>
      <c r="Z3" s="56" t="s">
        <v>1592</v>
      </c>
      <c r="AA3" s="201" t="s">
        <v>2015</v>
      </c>
      <c r="AB3" s="202" t="s">
        <v>1934</v>
      </c>
      <c r="AC3" s="202" t="s">
        <v>1935</v>
      </c>
      <c r="AD3" s="202" t="s">
        <v>1936</v>
      </c>
    </row>
    <row r="4" spans="1:30" ht="18.75">
      <c r="A4" s="57" t="s">
        <v>13</v>
      </c>
      <c r="B4" s="58">
        <f>'Autogenerated Template'!D35</f>
        <v>187</v>
      </c>
      <c r="C4" s="58">
        <f>'Autogenerated Template'!E35</f>
        <v>42</v>
      </c>
      <c r="D4" s="58">
        <f>'Autogenerated Template'!F35</f>
        <v>0</v>
      </c>
      <c r="E4" s="58">
        <f>'Autogenerated Template'!G35</f>
        <v>0</v>
      </c>
      <c r="F4" s="58">
        <f>'Autogenerated Template'!H35</f>
        <v>1</v>
      </c>
      <c r="G4" s="58">
        <f>'Autogenerated Template'!I35</f>
        <v>228</v>
      </c>
      <c r="H4" s="58">
        <f>'Autogenerated Template'!N35</f>
        <v>31</v>
      </c>
      <c r="I4" s="58">
        <f>'Autogenerated Template'!N35-('Autogenerated Template'!K35+'Autogenerated Template'!N25)</f>
        <v>30</v>
      </c>
      <c r="J4" s="60">
        <f>IF(AND((C4+E4)=0,H4=0),0%,IF(AND((C4+E4)=0,H4&gt;0),100%,(H4/(C4+E4))))</f>
        <v>0.73809523809523814</v>
      </c>
      <c r="K4" s="60">
        <f>IF(AND((C4+D4)&gt;J4,H4&gt;0),J4-100%,0%)</f>
        <v>-0.26190476190476186</v>
      </c>
      <c r="L4" s="92"/>
      <c r="M4" s="61">
        <f>'Autogenerated Template'!O35</f>
        <v>0</v>
      </c>
      <c r="N4" s="91"/>
      <c r="O4" s="58">
        <f>VLOOKUP(F2,TblContestedTarget,3,FALSE)</f>
        <v>6</v>
      </c>
      <c r="P4" s="58">
        <f>'Autogenerated Template'!J35</f>
        <v>26</v>
      </c>
      <c r="Q4" s="58">
        <f>P4-O4</f>
        <v>20</v>
      </c>
      <c r="R4" s="91"/>
      <c r="S4" s="58">
        <f>'Autogenerated Template'!AF35</f>
        <v>1</v>
      </c>
      <c r="T4" s="58"/>
      <c r="U4" s="91">
        <f>VLOOKUP(F2,TblContestedTarget,5,FALSE)</f>
        <v>2</v>
      </c>
      <c r="V4" s="100">
        <f>SUM('Autogenerated Template'!AD8:AD11)</f>
        <v>1</v>
      </c>
      <c r="W4" s="59">
        <f>V4-U4</f>
        <v>-1</v>
      </c>
      <c r="X4" s="58">
        <f>'Autogenerated Template'!S35</f>
        <v>3</v>
      </c>
      <c r="Y4" s="59">
        <f>'Autogenerated Template'!T35</f>
        <v>194</v>
      </c>
      <c r="Z4" s="58">
        <f>'Autogenerated Template'!U35</f>
        <v>197</v>
      </c>
      <c r="AA4" s="199"/>
      <c r="AB4" s="199"/>
      <c r="AC4" s="199">
        <f>'Autogenerated Template'!AD26</f>
        <v>3</v>
      </c>
      <c r="AD4" s="199">
        <f>AC4</f>
        <v>3</v>
      </c>
    </row>
    <row r="5" spans="1:30" ht="18.75">
      <c r="A5" s="57" t="s">
        <v>9</v>
      </c>
      <c r="B5" s="58">
        <f>'Autogenerated Template'!D68</f>
        <v>396</v>
      </c>
      <c r="C5" s="58">
        <f>'Autogenerated Template'!E68</f>
        <v>51</v>
      </c>
      <c r="D5" s="58">
        <f>'Autogenerated Template'!F68</f>
        <v>17</v>
      </c>
      <c r="E5" s="58">
        <f>'Autogenerated Template'!G68</f>
        <v>0</v>
      </c>
      <c r="F5" s="58">
        <f>'Autogenerated Template'!H68</f>
        <v>0</v>
      </c>
      <c r="G5" s="58">
        <f>'Autogenerated Template'!I68</f>
        <v>464</v>
      </c>
      <c r="H5" s="58">
        <f>'Autogenerated Template'!N68</f>
        <v>64</v>
      </c>
      <c r="I5" s="58">
        <f>H5</f>
        <v>64</v>
      </c>
      <c r="J5" s="60">
        <f>IF(AND((C5+E5)=0,H5=0),0%,IF(AND((C5+E5)=0,H5&gt;0),100%,(H5/(C5+E5))))</f>
        <v>1.2549019607843137</v>
      </c>
      <c r="K5" s="60">
        <f t="shared" ref="K5:K6" si="0">IF(AND((C5+D5)&gt;J5,H5&gt;0),J5-100%,0%)</f>
        <v>0.25490196078431371</v>
      </c>
      <c r="L5" s="92"/>
      <c r="M5" s="61">
        <f>'Autogenerated Template'!O68</f>
        <v>1</v>
      </c>
      <c r="N5" s="91"/>
      <c r="O5" s="58">
        <f>VLOOKUP(F2,TblContestedTarget,2,FALSE)</f>
        <v>6</v>
      </c>
      <c r="P5" s="58">
        <f>'Autogenerated Template'!J68</f>
        <v>14</v>
      </c>
      <c r="Q5" s="58">
        <f>P5-O5</f>
        <v>8</v>
      </c>
      <c r="R5" s="91"/>
      <c r="S5" s="58">
        <f>'Autogenerated Template'!AF68</f>
        <v>5</v>
      </c>
      <c r="T5" s="58"/>
      <c r="U5" s="91"/>
      <c r="V5" s="91"/>
      <c r="W5" s="91"/>
      <c r="X5" s="58">
        <f>'Autogenerated Template'!S68</f>
        <v>57</v>
      </c>
      <c r="Y5" s="59">
        <f>'Autogenerated Template'!T68</f>
        <v>343</v>
      </c>
      <c r="Z5" s="58">
        <f>'Autogenerated Template'!U68</f>
        <v>400</v>
      </c>
      <c r="AA5" s="199">
        <f>'Autogenerated Template'!AB23</f>
        <v>0</v>
      </c>
      <c r="AB5" s="199">
        <f>'Autogenerated Template'!AB24</f>
        <v>5</v>
      </c>
      <c r="AC5" s="199">
        <f>'Autogenerated Template'!AB25</f>
        <v>52</v>
      </c>
      <c r="AD5" s="199">
        <f>AC5</f>
        <v>52</v>
      </c>
    </row>
    <row r="6" spans="1:30" ht="18.75">
      <c r="A6" s="59" t="s">
        <v>1593</v>
      </c>
      <c r="B6" s="59">
        <f t="shared" ref="B6:I6" si="1">SUM(B4:B5)</f>
        <v>583</v>
      </c>
      <c r="C6" s="59">
        <f t="shared" si="1"/>
        <v>93</v>
      </c>
      <c r="D6" s="59">
        <f t="shared" si="1"/>
        <v>17</v>
      </c>
      <c r="E6" s="59">
        <f t="shared" si="1"/>
        <v>0</v>
      </c>
      <c r="F6" s="59">
        <f t="shared" si="1"/>
        <v>1</v>
      </c>
      <c r="G6" s="59">
        <f t="shared" si="1"/>
        <v>692</v>
      </c>
      <c r="H6" s="59">
        <f t="shared" si="1"/>
        <v>95</v>
      </c>
      <c r="I6" s="59">
        <f t="shared" si="1"/>
        <v>94</v>
      </c>
      <c r="J6" s="60">
        <f>IF(AND((C6+E6)=0,H6=0),0%,IF(AND((C6+E6)=0,H6&gt;0),100%,(H6/(C6+E6))))</f>
        <v>1.021505376344086</v>
      </c>
      <c r="K6" s="60">
        <f t="shared" si="0"/>
        <v>2.1505376344086002E-2</v>
      </c>
      <c r="L6" s="253">
        <f>'Autogenerated Template'!AB5</f>
        <v>1.1366666666666667</v>
      </c>
      <c r="M6" s="59">
        <f>SUM(M4:M5)</f>
        <v>1</v>
      </c>
      <c r="N6" s="62">
        <f>M6-L6</f>
        <v>-0.13666666666666671</v>
      </c>
      <c r="O6" s="59">
        <f>SUM(O4:O5)</f>
        <v>12</v>
      </c>
      <c r="P6" s="59">
        <f>SUM(P4:P5)</f>
        <v>40</v>
      </c>
      <c r="Q6" s="59">
        <f>SUM(Q4:Q5)</f>
        <v>28</v>
      </c>
      <c r="R6" s="59">
        <f>VLOOKUP(F2,TblContestedTarget,4,FALSE)</f>
        <v>6</v>
      </c>
      <c r="S6" s="59">
        <f>SUM(S4:S5)</f>
        <v>6</v>
      </c>
      <c r="T6" s="59">
        <f>S6-R6</f>
        <v>0</v>
      </c>
      <c r="U6" s="59">
        <f>U4</f>
        <v>2</v>
      </c>
      <c r="V6" s="59">
        <f>V4</f>
        <v>1</v>
      </c>
      <c r="W6" s="59">
        <f>W4</f>
        <v>-1</v>
      </c>
      <c r="X6" s="59">
        <f>SUM(X4:X5)</f>
        <v>60</v>
      </c>
      <c r="Y6" s="59">
        <f>SUM(Y4:Y5)</f>
        <v>537</v>
      </c>
      <c r="Z6" s="59">
        <f>SUM(Z4:Z5)</f>
        <v>597</v>
      </c>
      <c r="AA6" s="200">
        <f>SUM(AA4:AA5)</f>
        <v>0</v>
      </c>
      <c r="AB6" s="200">
        <f t="shared" ref="AB6:AD6" si="2">SUM(AB4:AB5)</f>
        <v>5</v>
      </c>
      <c r="AC6" s="200">
        <f t="shared" si="2"/>
        <v>55</v>
      </c>
      <c r="AD6" s="200">
        <f t="shared" si="2"/>
        <v>55</v>
      </c>
    </row>
    <row r="7" spans="1:30">
      <c r="J7" s="90"/>
    </row>
    <row r="8" spans="1:30" ht="21">
      <c r="C8" s="469" t="s">
        <v>1901</v>
      </c>
      <c r="D8" s="469"/>
    </row>
    <row r="9" spans="1:30">
      <c r="C9" s="120" t="s">
        <v>1916</v>
      </c>
      <c r="D9" s="170">
        <f>C6+E6</f>
        <v>93</v>
      </c>
    </row>
    <row r="10" spans="1:30">
      <c r="C10" s="122" t="s">
        <v>1652</v>
      </c>
      <c r="D10" s="185">
        <f>L6</f>
        <v>1.1366666666666667</v>
      </c>
    </row>
    <row r="11" spans="1:30">
      <c r="C11" s="120" t="s">
        <v>1656</v>
      </c>
      <c r="D11" s="125">
        <f>D9</f>
        <v>93</v>
      </c>
    </row>
    <row r="12" spans="1:30">
      <c r="C12" s="120" t="s">
        <v>1589</v>
      </c>
      <c r="D12" s="168">
        <f>M6</f>
        <v>1</v>
      </c>
    </row>
    <row r="13" spans="1:30" ht="18.75">
      <c r="C13" s="123" t="s">
        <v>1653</v>
      </c>
      <c r="D13" s="124">
        <f>IF(D10=0,0,D12/D10)</f>
        <v>0.87976539589442815</v>
      </c>
    </row>
    <row r="14" spans="1:30" ht="18.75">
      <c r="C14" s="123" t="s">
        <v>1886</v>
      </c>
      <c r="D14" s="169">
        <f>D12-D10</f>
        <v>-0.13666666666666671</v>
      </c>
    </row>
    <row r="15" spans="1:30" s="16" customFormat="1">
      <c r="C15" s="120" t="s">
        <v>1885</v>
      </c>
      <c r="D15" s="168">
        <f>H6</f>
        <v>95</v>
      </c>
      <c r="E15" s="180"/>
      <c r="F15" s="181"/>
      <c r="G15" s="181"/>
      <c r="H15" s="181"/>
      <c r="I15" s="181"/>
      <c r="J15" s="181"/>
      <c r="K15" s="181"/>
      <c r="L15" s="181"/>
      <c r="M15" s="181"/>
      <c r="N15" s="15"/>
      <c r="O15" s="15"/>
    </row>
    <row r="16" spans="1:30" ht="18.75">
      <c r="C16" s="123" t="s">
        <v>1917</v>
      </c>
      <c r="D16" s="124">
        <f>IFERROR(H6/D9,0)</f>
        <v>1.021505376344086</v>
      </c>
      <c r="E16" s="470"/>
      <c r="F16" s="471"/>
      <c r="G16" s="471"/>
      <c r="H16" s="471"/>
      <c r="I16" s="471"/>
      <c r="J16" s="471"/>
      <c r="K16" s="471"/>
      <c r="L16" s="471"/>
      <c r="M16" s="471"/>
      <c r="N16" s="471"/>
      <c r="O16" s="471"/>
    </row>
    <row r="17" spans="3:15" ht="18.75">
      <c r="C17" s="182" t="s">
        <v>1899</v>
      </c>
      <c r="D17" s="183">
        <f>IFERROR(D16-100%,0)</f>
        <v>2.1505376344086002E-2</v>
      </c>
      <c r="E17" s="470"/>
      <c r="F17" s="471"/>
      <c r="G17" s="471"/>
      <c r="H17" s="471"/>
      <c r="I17" s="471"/>
      <c r="J17" s="471"/>
      <c r="K17" s="471"/>
      <c r="L17" s="471"/>
      <c r="M17" s="471"/>
      <c r="N17" s="471"/>
      <c r="O17" s="471"/>
    </row>
    <row r="19" spans="3:15" ht="21">
      <c r="C19" s="469" t="s">
        <v>1918</v>
      </c>
      <c r="D19" s="469"/>
      <c r="E19" s="469"/>
      <c r="F19" s="469"/>
      <c r="G19" s="469"/>
      <c r="H19" s="469"/>
      <c r="I19" s="469"/>
      <c r="J19" s="469"/>
    </row>
    <row r="20" spans="3:15">
      <c r="C20" s="17" t="s">
        <v>1919</v>
      </c>
      <c r="D20" s="170">
        <f>O6</f>
        <v>12</v>
      </c>
      <c r="E20" s="465" t="s">
        <v>1922</v>
      </c>
      <c r="F20" s="465"/>
      <c r="G20" s="465"/>
      <c r="H20" s="465"/>
      <c r="I20" s="465"/>
      <c r="J20" s="99">
        <f>R6</f>
        <v>6</v>
      </c>
    </row>
    <row r="21" spans="3:15">
      <c r="C21" s="17" t="s">
        <v>1920</v>
      </c>
      <c r="D21" s="170">
        <f>P6</f>
        <v>40</v>
      </c>
      <c r="E21" s="466" t="s">
        <v>1923</v>
      </c>
      <c r="F21" s="467"/>
      <c r="G21" s="467"/>
      <c r="H21" s="467"/>
      <c r="I21" s="468"/>
      <c r="J21" s="99">
        <f>S6</f>
        <v>6</v>
      </c>
    </row>
    <row r="22" spans="3:15">
      <c r="C22" s="122" t="s">
        <v>1921</v>
      </c>
      <c r="D22" s="170">
        <f>Q6</f>
        <v>28</v>
      </c>
      <c r="E22" s="462" t="s">
        <v>1924</v>
      </c>
      <c r="F22" s="463"/>
      <c r="G22" s="463"/>
      <c r="H22" s="463"/>
      <c r="I22" s="464"/>
      <c r="J22" s="99">
        <f>T6</f>
        <v>0</v>
      </c>
    </row>
    <row r="23" spans="3:15" s="16" customFormat="1">
      <c r="C23" s="203"/>
      <c r="D23" s="204"/>
      <c r="E23" s="205"/>
      <c r="F23" s="205"/>
      <c r="G23" s="205"/>
      <c r="H23" s="205"/>
      <c r="I23" s="205"/>
      <c r="J23" s="206"/>
    </row>
    <row r="24" spans="3:15" ht="21">
      <c r="C24" s="473" t="s">
        <v>1939</v>
      </c>
      <c r="D24" s="473"/>
    </row>
    <row r="25" spans="3:15">
      <c r="C25" s="122" t="s">
        <v>2016</v>
      </c>
      <c r="D25" s="93">
        <f>AA5</f>
        <v>0</v>
      </c>
    </row>
    <row r="26" spans="3:15">
      <c r="C26" s="122" t="s">
        <v>1934</v>
      </c>
      <c r="D26" s="93">
        <f>AB5</f>
        <v>5</v>
      </c>
    </row>
    <row r="27" spans="3:15">
      <c r="C27" s="122" t="s">
        <v>1937</v>
      </c>
      <c r="D27" s="93">
        <f>AC5</f>
        <v>52</v>
      </c>
    </row>
    <row r="28" spans="3:15">
      <c r="C28" s="122" t="s">
        <v>1938</v>
      </c>
      <c r="D28" s="93">
        <f>AC4</f>
        <v>3</v>
      </c>
    </row>
    <row r="29" spans="3:15">
      <c r="C29" s="122" t="s">
        <v>1936</v>
      </c>
      <c r="D29" s="93">
        <f>D28+D27</f>
        <v>55</v>
      </c>
    </row>
    <row r="32" spans="3:15" ht="23.25">
      <c r="C32" s="472" t="s">
        <v>1988</v>
      </c>
      <c r="D32" s="472"/>
      <c r="E32" s="472"/>
      <c r="F32" s="472"/>
    </row>
    <row r="33" spans="3:4" ht="15.75">
      <c r="C33" s="242" t="s">
        <v>1959</v>
      </c>
      <c r="D33" t="str">
        <f>DataToRead!DT6</f>
        <v>Target Achieved</v>
      </c>
    </row>
    <row r="34" spans="3:4" ht="15.75">
      <c r="C34" s="242" t="s">
        <v>1960</v>
      </c>
      <c r="D34" s="16" t="str">
        <f>DataToRead!DU6</f>
        <v>Target Not Achieved</v>
      </c>
    </row>
    <row r="35" spans="3:4" ht="15.75">
      <c r="C35" s="242" t="s">
        <v>1961</v>
      </c>
      <c r="D35" s="16" t="str">
        <f>DataToRead!DV6</f>
        <v>Target Achieved</v>
      </c>
    </row>
    <row r="36" spans="3:4" ht="15.75">
      <c r="C36" s="242" t="s">
        <v>1962</v>
      </c>
      <c r="D36" t="str">
        <f>DataToRead!DW6</f>
        <v>Target Achieved</v>
      </c>
    </row>
    <row r="37" spans="3:4" ht="15.75">
      <c r="C37" s="242" t="s">
        <v>1963</v>
      </c>
      <c r="D37" t="str">
        <f>DataToRead!DX6</f>
        <v>Target Not Achieved</v>
      </c>
    </row>
    <row r="38" spans="3:4" ht="31.5">
      <c r="C38" s="243" t="s">
        <v>1964</v>
      </c>
      <c r="D38" t="str">
        <f>DataToRead!DY6</f>
        <v>Acieved Partially</v>
      </c>
    </row>
  </sheetData>
  <sheetProtection algorithmName="SHA-512" hashValue="Tu13XiaeP4eB7IrjJ8/4v0lfi0gbaxvJ7eJAzHMk64FU4i1TvwaxS9ZywjaVTOmNy+UB5GpN0spR5ANhVEaGHA==" saltValue="oADblTI47xvN0Vn+8xYP/g==" spinCount="100000" sheet="1" objects="1" scenarios="1"/>
  <customSheetViews>
    <customSheetView guid="{77330FEB-8B75-43E5-931E-B4C5A6173E6D}" topLeftCell="J1">
      <selection activeCell="U4" sqref="U4"/>
      <pageMargins left="0.7" right="0.7" top="0.75" bottom="0.75" header="0.3" footer="0.3"/>
    </customSheetView>
  </customSheetViews>
  <mergeCells count="15">
    <mergeCell ref="C32:F32"/>
    <mergeCell ref="C24:D24"/>
    <mergeCell ref="C8:D8"/>
    <mergeCell ref="P2:Q2"/>
    <mergeCell ref="T2:Y2"/>
    <mergeCell ref="A1:E1"/>
    <mergeCell ref="A2:E2"/>
    <mergeCell ref="F1:M1"/>
    <mergeCell ref="F2:M2"/>
    <mergeCell ref="E22:I22"/>
    <mergeCell ref="E20:I20"/>
    <mergeCell ref="E21:I21"/>
    <mergeCell ref="C19:J19"/>
    <mergeCell ref="E17:O17"/>
    <mergeCell ref="E16:O16"/>
  </mergeCells>
  <conditionalFormatting sqref="Y4:Y5 B6:I6 L6:AD6">
    <cfRule type="cellIs" dxfId="3" priority="3" stopIfTrue="1" operator="notEqual">
      <formula>+#REF!+#REF!</formula>
    </cfRule>
    <cfRule type="cellIs" dxfId="2" priority="4" stopIfTrue="1" operator="notEqual">
      <formula>#REF!+#REF!</formula>
    </cfRule>
  </conditionalFormatting>
  <conditionalFormatting sqref="W4">
    <cfRule type="cellIs" dxfId="1" priority="1" stopIfTrue="1" operator="notEqual">
      <formula>+#REF!+#REF!</formula>
    </cfRule>
    <cfRule type="cellIs" dxfId="0" priority="2" stopIfTrue="1" operator="notEqual">
      <formula>#REF!+#REF!</formula>
    </cfRule>
  </conditionalFormatting>
  <printOptions horizontalCentered="1"/>
  <pageMargins left="1.2" right="0.7" top="0.75" bottom="0.75" header="0.3" footer="0.3"/>
  <pageSetup paperSize="41" scale="58" orientation="landscape" horizontalDpi="1200" verticalDpi="1200" r:id="rId1"/>
  <colBreaks count="1" manualBreakCount="1">
    <brk id="12" max="37" man="1"/>
  </colBreaks>
  <ignoredErrors>
    <ignoredError sqref="R6" 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ES7"/>
  <sheetViews>
    <sheetView topLeftCell="DR4" zoomScale="70" zoomScaleNormal="70" workbookViewId="0">
      <selection activeCell="EG6" sqref="EG6"/>
    </sheetView>
  </sheetViews>
  <sheetFormatPr defaultRowHeight="15"/>
  <cols>
    <col min="7" max="7" width="20" customWidth="1"/>
    <col min="35" max="37" width="8.85546875" style="69"/>
    <col min="38" max="38" width="8.85546875" style="228"/>
    <col min="80" max="82" width="8.85546875" style="16"/>
    <col min="101" max="101" width="23.7109375" customWidth="1"/>
    <col min="123" max="123" width="8.85546875" style="16"/>
    <col min="124" max="128" width="21.5703125" customWidth="1"/>
    <col min="129" max="129" width="36.28515625" customWidth="1"/>
  </cols>
  <sheetData>
    <row r="3" spans="1:149">
      <c r="CE3" s="477" t="s">
        <v>13</v>
      </c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80" t="s">
        <v>9</v>
      </c>
      <c r="CX3" s="480"/>
      <c r="CY3" s="480"/>
      <c r="CZ3" s="480"/>
      <c r="DA3" s="480"/>
      <c r="DB3" s="480"/>
      <c r="DC3" s="480"/>
      <c r="DD3" s="480"/>
      <c r="DE3" s="480"/>
      <c r="DF3" s="480"/>
      <c r="DG3" s="480"/>
      <c r="DH3" s="480"/>
      <c r="DI3" s="480"/>
      <c r="DJ3" s="480"/>
      <c r="DK3" s="480"/>
      <c r="DL3" s="480"/>
      <c r="DM3" s="480"/>
    </row>
    <row r="4" spans="1:149" s="16" customFormat="1" ht="86.45" customHeight="1">
      <c r="U4" s="16" t="s">
        <v>13</v>
      </c>
      <c r="AI4" s="69"/>
      <c r="AJ4" s="69"/>
      <c r="AK4" s="69"/>
      <c r="AL4" s="228"/>
      <c r="AR4" s="16" t="s">
        <v>9</v>
      </c>
      <c r="BL4" s="475" t="s">
        <v>1898</v>
      </c>
      <c r="BM4" s="475"/>
      <c r="BN4" s="475"/>
      <c r="BO4" s="475"/>
      <c r="BP4" s="475"/>
      <c r="BQ4" s="475"/>
      <c r="BR4" s="475"/>
      <c r="BS4" s="475"/>
      <c r="BW4" s="475" t="s">
        <v>1658</v>
      </c>
      <c r="BX4" s="475"/>
      <c r="BY4" s="475"/>
      <c r="CE4" s="297"/>
      <c r="CF4" s="298"/>
      <c r="CG4" s="298"/>
      <c r="CH4" s="298"/>
      <c r="CI4" s="298"/>
      <c r="CJ4" s="298"/>
      <c r="CK4" s="478" t="s">
        <v>1659</v>
      </c>
      <c r="CL4" s="478"/>
      <c r="CM4" s="478"/>
      <c r="CN4" s="478"/>
      <c r="CO4" s="478"/>
      <c r="CP4" s="476" t="s">
        <v>1660</v>
      </c>
      <c r="CQ4" s="476"/>
      <c r="CR4" s="476"/>
      <c r="CS4" s="298"/>
      <c r="CT4" s="476" t="s">
        <v>1525</v>
      </c>
      <c r="CU4" s="476"/>
      <c r="CV4" s="476"/>
      <c r="CW4" s="299"/>
      <c r="CX4" s="300"/>
      <c r="CY4" s="300"/>
      <c r="CZ4" s="300"/>
      <c r="DA4" s="300"/>
      <c r="DB4" s="300"/>
      <c r="DC4" s="481" t="s">
        <v>1659</v>
      </c>
      <c r="DD4" s="481"/>
      <c r="DE4" s="481"/>
      <c r="DF4" s="481"/>
      <c r="DG4" s="482" t="s">
        <v>1660</v>
      </c>
      <c r="DH4" s="482"/>
      <c r="DI4" s="482"/>
      <c r="DJ4" s="300"/>
      <c r="DK4" s="482" t="s">
        <v>1525</v>
      </c>
      <c r="DL4" s="482"/>
      <c r="DM4" s="482"/>
      <c r="DN4" s="479" t="s">
        <v>1944</v>
      </c>
      <c r="DO4" s="479"/>
      <c r="DP4" s="479"/>
      <c r="DQ4" s="479"/>
      <c r="DR4" s="479"/>
      <c r="DS4" s="211"/>
      <c r="DX4" s="16">
        <f>IF('Autogenerated Template'!AE10&lt;=AL6,'Autogenerated Template'!AE10,AL6)</f>
        <v>2</v>
      </c>
    </row>
    <row r="5" spans="1:149" ht="299.25">
      <c r="A5" s="110" t="s">
        <v>1484</v>
      </c>
      <c r="B5" s="110" t="s">
        <v>1485</v>
      </c>
      <c r="C5" s="110" t="s">
        <v>1486</v>
      </c>
      <c r="D5" s="110" t="s">
        <v>1487</v>
      </c>
      <c r="E5" s="110" t="s">
        <v>1488</v>
      </c>
      <c r="F5" s="110" t="s">
        <v>1489</v>
      </c>
      <c r="G5" s="111" t="s">
        <v>1490</v>
      </c>
      <c r="H5" s="110" t="s">
        <v>1491</v>
      </c>
      <c r="I5" s="110" t="s">
        <v>1581</v>
      </c>
      <c r="J5" s="110" t="s">
        <v>1492</v>
      </c>
      <c r="K5" s="110" t="s">
        <v>1493</v>
      </c>
      <c r="L5" s="110" t="s">
        <v>1494</v>
      </c>
      <c r="M5" s="110" t="s">
        <v>1495</v>
      </c>
      <c r="N5" s="110" t="s">
        <v>1496</v>
      </c>
      <c r="O5" s="110" t="s">
        <v>1497</v>
      </c>
      <c r="P5" s="110" t="s">
        <v>1498</v>
      </c>
      <c r="Q5" s="110" t="s">
        <v>1499</v>
      </c>
      <c r="R5" s="110" t="s">
        <v>1500</v>
      </c>
      <c r="S5" s="110" t="s">
        <v>1501</v>
      </c>
      <c r="T5" s="110" t="s">
        <v>1621</v>
      </c>
      <c r="U5" s="56" t="s">
        <v>1696</v>
      </c>
      <c r="V5" s="56" t="s">
        <v>1697</v>
      </c>
      <c r="W5" s="56" t="s">
        <v>1698</v>
      </c>
      <c r="X5" s="56" t="s">
        <v>1699</v>
      </c>
      <c r="Y5" s="56" t="s">
        <v>1700</v>
      </c>
      <c r="Z5" s="56" t="s">
        <v>1701</v>
      </c>
      <c r="AA5" s="56" t="s">
        <v>1702</v>
      </c>
      <c r="AB5" s="56" t="s">
        <v>1703</v>
      </c>
      <c r="AC5" s="56" t="s">
        <v>1704</v>
      </c>
      <c r="AD5" s="56" t="s">
        <v>1705</v>
      </c>
      <c r="AE5" s="56" t="s">
        <v>1706</v>
      </c>
      <c r="AF5" s="56" t="s">
        <v>1707</v>
      </c>
      <c r="AG5" s="56" t="s">
        <v>1708</v>
      </c>
      <c r="AH5" s="56" t="s">
        <v>1709</v>
      </c>
      <c r="AI5" s="56" t="s">
        <v>1710</v>
      </c>
      <c r="AJ5" s="56" t="s">
        <v>1711</v>
      </c>
      <c r="AK5" s="56" t="s">
        <v>1712</v>
      </c>
      <c r="AL5" s="229" t="s">
        <v>1913</v>
      </c>
      <c r="AM5" s="56" t="s">
        <v>1914</v>
      </c>
      <c r="AN5" s="56" t="s">
        <v>1915</v>
      </c>
      <c r="AO5" s="56" t="s">
        <v>2004</v>
      </c>
      <c r="AP5" s="56" t="s">
        <v>1713</v>
      </c>
      <c r="AQ5" s="56" t="s">
        <v>1714</v>
      </c>
      <c r="AR5" s="133" t="s">
        <v>1715</v>
      </c>
      <c r="AS5" s="133" t="s">
        <v>1716</v>
      </c>
      <c r="AT5" s="133" t="s">
        <v>1717</v>
      </c>
      <c r="AU5" s="133" t="s">
        <v>1718</v>
      </c>
      <c r="AV5" s="133" t="s">
        <v>1719</v>
      </c>
      <c r="AW5" s="133" t="s">
        <v>1720</v>
      </c>
      <c r="AX5" s="133" t="s">
        <v>1721</v>
      </c>
      <c r="AY5" s="133" t="s">
        <v>1722</v>
      </c>
      <c r="AZ5" s="133" t="s">
        <v>1723</v>
      </c>
      <c r="BA5" s="133" t="s">
        <v>1724</v>
      </c>
      <c r="BB5" s="133" t="s">
        <v>1725</v>
      </c>
      <c r="BC5" s="133" t="s">
        <v>1726</v>
      </c>
      <c r="BD5" s="133" t="s">
        <v>1727</v>
      </c>
      <c r="BE5" s="133" t="s">
        <v>1728</v>
      </c>
      <c r="BF5" s="133" t="s">
        <v>1729</v>
      </c>
      <c r="BG5" s="133" t="s">
        <v>1730</v>
      </c>
      <c r="BH5" s="133" t="s">
        <v>1731</v>
      </c>
      <c r="BI5" s="133" t="s">
        <v>2005</v>
      </c>
      <c r="BJ5" s="133" t="s">
        <v>1732</v>
      </c>
      <c r="BK5" s="133" t="s">
        <v>1733</v>
      </c>
      <c r="BL5" s="134" t="s">
        <v>1651</v>
      </c>
      <c r="BM5" s="135" t="s">
        <v>1652</v>
      </c>
      <c r="BN5" s="134" t="s">
        <v>1656</v>
      </c>
      <c r="BO5" s="134" t="s">
        <v>1589</v>
      </c>
      <c r="BP5" s="136" t="s">
        <v>1653</v>
      </c>
      <c r="BQ5" s="134" t="s">
        <v>1654</v>
      </c>
      <c r="BR5" s="262" t="s">
        <v>2002</v>
      </c>
      <c r="BS5" s="136" t="s">
        <v>1655</v>
      </c>
      <c r="BT5" s="137" t="s">
        <v>1533</v>
      </c>
      <c r="BU5" s="137" t="s">
        <v>1534</v>
      </c>
      <c r="BV5" s="137" t="s">
        <v>1535</v>
      </c>
      <c r="BW5" s="293" t="s">
        <v>1537</v>
      </c>
      <c r="BX5" s="293" t="s">
        <v>1538</v>
      </c>
      <c r="BY5" s="44" t="s">
        <v>1540</v>
      </c>
      <c r="BZ5" s="295" t="s">
        <v>1541</v>
      </c>
      <c r="CA5" s="295" t="s">
        <v>1542</v>
      </c>
      <c r="CB5" s="231" t="s">
        <v>1981</v>
      </c>
      <c r="CC5" s="295" t="s">
        <v>1990</v>
      </c>
      <c r="CD5" s="295" t="s">
        <v>1909</v>
      </c>
      <c r="CE5" s="138" t="s">
        <v>1661</v>
      </c>
      <c r="CF5" s="138" t="s">
        <v>1663</v>
      </c>
      <c r="CG5" s="138" t="s">
        <v>1664</v>
      </c>
      <c r="CH5" s="138" t="s">
        <v>1665</v>
      </c>
      <c r="CI5" s="138" t="s">
        <v>1666</v>
      </c>
      <c r="CJ5" s="138" t="s">
        <v>1667</v>
      </c>
      <c r="CK5" s="138" t="s">
        <v>1668</v>
      </c>
      <c r="CL5" s="138" t="s">
        <v>1669</v>
      </c>
      <c r="CM5" s="138" t="s">
        <v>1670</v>
      </c>
      <c r="CN5" s="138" t="s">
        <v>1671</v>
      </c>
      <c r="CO5" s="138" t="s">
        <v>1672</v>
      </c>
      <c r="CP5" s="138" t="s">
        <v>1673</v>
      </c>
      <c r="CQ5" s="138" t="s">
        <v>1674</v>
      </c>
      <c r="CR5" s="138" t="s">
        <v>1675</v>
      </c>
      <c r="CS5" s="138" t="s">
        <v>1676</v>
      </c>
      <c r="CT5" s="138" t="s">
        <v>1677</v>
      </c>
      <c r="CU5" s="138" t="s">
        <v>1678</v>
      </c>
      <c r="CV5" s="138" t="s">
        <v>1679</v>
      </c>
      <c r="CW5" s="139" t="s">
        <v>1662</v>
      </c>
      <c r="CX5" s="139" t="s">
        <v>1680</v>
      </c>
      <c r="CY5" s="139" t="s">
        <v>1681</v>
      </c>
      <c r="CZ5" s="139" t="s">
        <v>1682</v>
      </c>
      <c r="DA5" s="139" t="s">
        <v>1683</v>
      </c>
      <c r="DB5" s="139" t="s">
        <v>1684</v>
      </c>
      <c r="DC5" s="139" t="s">
        <v>1685</v>
      </c>
      <c r="DD5" s="139" t="s">
        <v>1686</v>
      </c>
      <c r="DE5" s="139" t="s">
        <v>1687</v>
      </c>
      <c r="DF5" s="139" t="s">
        <v>1688</v>
      </c>
      <c r="DG5" s="139" t="s">
        <v>1689</v>
      </c>
      <c r="DH5" s="139" t="s">
        <v>1690</v>
      </c>
      <c r="DI5" s="139" t="s">
        <v>1691</v>
      </c>
      <c r="DJ5" s="139" t="s">
        <v>1692</v>
      </c>
      <c r="DK5" s="139" t="s">
        <v>1693</v>
      </c>
      <c r="DL5" s="139" t="s">
        <v>1694</v>
      </c>
      <c r="DM5" s="139" t="s">
        <v>1695</v>
      </c>
      <c r="DN5" s="201" t="s">
        <v>2017</v>
      </c>
      <c r="DO5" s="202" t="s">
        <v>1940</v>
      </c>
      <c r="DP5" s="202" t="s">
        <v>1941</v>
      </c>
      <c r="DQ5" s="202" t="s">
        <v>1942</v>
      </c>
      <c r="DR5" s="202" t="s">
        <v>1943</v>
      </c>
      <c r="DS5" s="301" t="s">
        <v>1958</v>
      </c>
      <c r="DT5" s="301" t="s">
        <v>1959</v>
      </c>
      <c r="DU5" s="301" t="s">
        <v>1960</v>
      </c>
      <c r="DV5" s="301" t="s">
        <v>1961</v>
      </c>
      <c r="DW5" s="301" t="s">
        <v>1962</v>
      </c>
      <c r="DX5" s="202" t="s">
        <v>1963</v>
      </c>
      <c r="DY5" s="202" t="s">
        <v>1964</v>
      </c>
      <c r="DZ5" s="301" t="s">
        <v>1992</v>
      </c>
      <c r="EA5" s="301" t="s">
        <v>1865</v>
      </c>
      <c r="EB5" s="249" t="s">
        <v>1993</v>
      </c>
      <c r="EC5" s="249" t="s">
        <v>1994</v>
      </c>
      <c r="ED5" s="254" t="s">
        <v>2022</v>
      </c>
      <c r="EE5" s="254" t="s">
        <v>2023</v>
      </c>
      <c r="EF5" s="254" t="s">
        <v>2024</v>
      </c>
      <c r="EG5" s="254" t="s">
        <v>2025</v>
      </c>
      <c r="EH5" s="254" t="s">
        <v>2026</v>
      </c>
      <c r="EI5" s="254" t="s">
        <v>2027</v>
      </c>
      <c r="EJ5" s="254" t="s">
        <v>2028</v>
      </c>
      <c r="EK5" s="254" t="s">
        <v>2029</v>
      </c>
      <c r="EL5" s="254" t="s">
        <v>1891</v>
      </c>
      <c r="EM5" s="254" t="s">
        <v>2030</v>
      </c>
      <c r="EN5" s="254" t="s">
        <v>2031</v>
      </c>
      <c r="EO5" s="254" t="s">
        <v>2032</v>
      </c>
      <c r="EP5" s="254" t="s">
        <v>2033</v>
      </c>
      <c r="EQ5" s="254" t="s">
        <v>2034</v>
      </c>
      <c r="ER5" s="254" t="s">
        <v>2035</v>
      </c>
      <c r="ES5" s="254" t="s">
        <v>2036</v>
      </c>
    </row>
    <row r="6" spans="1:149" ht="17.45" customHeight="1">
      <c r="A6" s="17" t="str">
        <f>JudgeProfile!B2</f>
        <v>PHC0290-73-1</v>
      </c>
      <c r="B6" s="17" t="str">
        <f>JudgeProfile!C2</f>
        <v>Mr Amin Said</v>
      </c>
      <c r="C6" s="17" t="str">
        <f>JudgeProfile!D2</f>
        <v>Addl: District &amp; Sessions Judge</v>
      </c>
      <c r="D6" s="17" t="str">
        <f>JudgeProfile!E2</f>
        <v>ADSJ-1</v>
      </c>
      <c r="E6" s="17" t="str">
        <f>JudgeProfile!F2</f>
        <v>Lower Dir - Timergara</v>
      </c>
      <c r="F6" s="17" t="str">
        <f>JudgeProfile!G2</f>
        <v>Regular</v>
      </c>
      <c r="G6" s="246">
        <f>JudgeProfile!H2</f>
        <v>45078</v>
      </c>
      <c r="H6" s="17">
        <f>JudgeProfile!I2</f>
        <v>2023</v>
      </c>
      <c r="I6" s="17">
        <f>JudgeProfile!J2</f>
        <v>30</v>
      </c>
      <c r="J6" s="17">
        <f>JudgeProfile!K2</f>
        <v>4</v>
      </c>
      <c r="K6" s="17">
        <f>JudgeProfile!L2</f>
        <v>1</v>
      </c>
      <c r="L6" s="17">
        <f>JudgeProfile!M2</f>
        <v>4</v>
      </c>
      <c r="M6" s="17">
        <f>JudgeProfile!N2</f>
        <v>0</v>
      </c>
      <c r="N6" s="17">
        <f>JudgeProfile!O2</f>
        <v>2</v>
      </c>
      <c r="O6" s="17">
        <f>JudgeProfile!P2</f>
        <v>19</v>
      </c>
      <c r="P6" s="17" t="str">
        <f>JudgeProfile!Q2</f>
        <v>1 - Remains in this court full month</v>
      </c>
      <c r="Q6" s="17">
        <f>JudgeProfile!R2</f>
        <v>3.41</v>
      </c>
      <c r="R6" s="17">
        <f>JudgeProfile!S2</f>
        <v>0</v>
      </c>
      <c r="S6" s="17">
        <f>JudgeProfile!T2</f>
        <v>0</v>
      </c>
      <c r="T6" s="17" t="str">
        <f>JudgeProfile!U2</f>
        <v>Addl: District &amp; Sessions Judge (Both Civil and Criminal Matter)</v>
      </c>
      <c r="U6" s="17" t="str">
        <f>'Summary Sheet'!A4</f>
        <v>Criminal</v>
      </c>
      <c r="V6" s="17">
        <f>'Summary Sheet'!B4</f>
        <v>187</v>
      </c>
      <c r="W6" s="17">
        <f>'Summary Sheet'!C4</f>
        <v>42</v>
      </c>
      <c r="X6" s="17">
        <f>'Summary Sheet'!D4</f>
        <v>0</v>
      </c>
      <c r="Y6" s="17">
        <f>'Summary Sheet'!E4</f>
        <v>0</v>
      </c>
      <c r="Z6" s="17">
        <f>'Summary Sheet'!F4</f>
        <v>1</v>
      </c>
      <c r="AA6" s="17">
        <f>'Summary Sheet'!G4</f>
        <v>228</v>
      </c>
      <c r="AB6" s="17">
        <f>'Summary Sheet'!H4</f>
        <v>31</v>
      </c>
      <c r="AC6" s="17">
        <f>'Summary Sheet'!I4</f>
        <v>30</v>
      </c>
      <c r="AD6" s="17">
        <f>'Summary Sheet'!J4</f>
        <v>0.73809523809523814</v>
      </c>
      <c r="AE6" s="17">
        <f>'Summary Sheet'!K4</f>
        <v>-0.26190476190476186</v>
      </c>
      <c r="AF6" s="17">
        <f>'Summary Sheet'!L4</f>
        <v>0</v>
      </c>
      <c r="AG6" s="17">
        <f>'Summary Sheet'!M4</f>
        <v>0</v>
      </c>
      <c r="AH6" s="17">
        <f>'Summary Sheet'!N4</f>
        <v>0</v>
      </c>
      <c r="AI6" s="86">
        <f>'Summary Sheet'!O4</f>
        <v>6</v>
      </c>
      <c r="AJ6" s="86">
        <f>'Summary Sheet'!P4</f>
        <v>26</v>
      </c>
      <c r="AK6" s="86">
        <f>'Summary Sheet'!Q4</f>
        <v>20</v>
      </c>
      <c r="AL6" s="230">
        <f>'Summary Sheet'!U4</f>
        <v>2</v>
      </c>
      <c r="AM6" s="17">
        <f>'Summary Sheet'!V4</f>
        <v>1</v>
      </c>
      <c r="AN6" s="17">
        <f>'Summary Sheet'!W4</f>
        <v>-1</v>
      </c>
      <c r="AO6" s="17">
        <f>'Summary Sheet'!X4</f>
        <v>3</v>
      </c>
      <c r="AP6" s="17">
        <f>'Summary Sheet'!Y4</f>
        <v>194</v>
      </c>
      <c r="AQ6" s="17">
        <f>'Summary Sheet'!Z4</f>
        <v>197</v>
      </c>
      <c r="AR6" s="17" t="str">
        <f>'Summary Sheet'!A5</f>
        <v>Civil</v>
      </c>
      <c r="AS6" s="17">
        <f>'Summary Sheet'!B5</f>
        <v>396</v>
      </c>
      <c r="AT6" s="17">
        <f>'Summary Sheet'!C5</f>
        <v>51</v>
      </c>
      <c r="AU6" s="17">
        <f>'Summary Sheet'!D5</f>
        <v>17</v>
      </c>
      <c r="AV6" s="17">
        <f>'Summary Sheet'!E5</f>
        <v>0</v>
      </c>
      <c r="AW6" s="17">
        <f>'Summary Sheet'!F5</f>
        <v>0</v>
      </c>
      <c r="AX6" s="17">
        <f>'Summary Sheet'!G5</f>
        <v>464</v>
      </c>
      <c r="AY6" s="17">
        <f>'Summary Sheet'!H5</f>
        <v>64</v>
      </c>
      <c r="AZ6" s="17">
        <f>'Summary Sheet'!I5</f>
        <v>64</v>
      </c>
      <c r="BA6" s="245">
        <f>'Summary Sheet'!J5</f>
        <v>1.2549019607843137</v>
      </c>
      <c r="BB6" s="245">
        <f>'Summary Sheet'!K5</f>
        <v>0.25490196078431371</v>
      </c>
      <c r="BC6" s="17">
        <f>'Summary Sheet'!L5</f>
        <v>0</v>
      </c>
      <c r="BD6" s="17">
        <f>'Summary Sheet'!M5</f>
        <v>1</v>
      </c>
      <c r="BE6" s="17">
        <f>'Summary Sheet'!N5</f>
        <v>0</v>
      </c>
      <c r="BF6" s="17">
        <f>'Summary Sheet'!O5</f>
        <v>6</v>
      </c>
      <c r="BG6" s="17">
        <f>'Summary Sheet'!P5</f>
        <v>14</v>
      </c>
      <c r="BH6" s="17">
        <f>'Summary Sheet'!Q5</f>
        <v>8</v>
      </c>
      <c r="BI6" s="17">
        <f>'Summary Sheet'!X5</f>
        <v>57</v>
      </c>
      <c r="BJ6" s="17">
        <f>'Summary Sheet'!Y5</f>
        <v>343</v>
      </c>
      <c r="BK6" s="17">
        <f>'Summary Sheet'!Z5</f>
        <v>400</v>
      </c>
      <c r="BL6" s="17">
        <f>'Summary Sheet'!D9</f>
        <v>93</v>
      </c>
      <c r="BM6" s="142">
        <f>'Summary Sheet'!D10</f>
        <v>1.1366666666666667</v>
      </c>
      <c r="BN6" s="142">
        <f>'Summary Sheet'!D11</f>
        <v>93</v>
      </c>
      <c r="BO6" s="17">
        <f>'Summary Sheet'!D12</f>
        <v>1</v>
      </c>
      <c r="BP6" s="143">
        <f>IFERROR('Summary Sheet'!D13,0%)</f>
        <v>0.87976539589442815</v>
      </c>
      <c r="BQ6" s="142">
        <f>'Summary Sheet'!D14</f>
        <v>-0.13666666666666671</v>
      </c>
      <c r="BR6" s="142">
        <f>'Summary Sheet'!D15</f>
        <v>95</v>
      </c>
      <c r="BS6" s="143">
        <f>IFERROR('Summary Sheet'!D16,0%)</f>
        <v>1.021505376344086</v>
      </c>
      <c r="BT6" s="140">
        <f>'Autogenerated Template'!AB5</f>
        <v>1.1366666666666667</v>
      </c>
      <c r="BU6" s="296">
        <f>'Autogenerated Template'!AB6</f>
        <v>1</v>
      </c>
      <c r="BV6" s="296">
        <f>'Autogenerated Template'!AB7</f>
        <v>94</v>
      </c>
      <c r="BW6" s="294">
        <f>'Autogenerated Template'!AD8</f>
        <v>1</v>
      </c>
      <c r="BX6" s="294">
        <f>'Autogenerated Template'!AD10</f>
        <v>0</v>
      </c>
      <c r="BY6" s="294">
        <f>'Autogenerated Template'!AD12</f>
        <v>5</v>
      </c>
      <c r="BZ6" s="295">
        <f>'Autogenerated Template'!AD14</f>
        <v>34</v>
      </c>
      <c r="CA6" s="295">
        <f>'Autogenerated Template'!AD15</f>
        <v>40</v>
      </c>
      <c r="CB6" s="295">
        <f>'Summary Sheet'!R6</f>
        <v>6</v>
      </c>
      <c r="CC6" s="295">
        <f>'Summary Sheet'!J21</f>
        <v>6</v>
      </c>
      <c r="CD6" s="295">
        <f>CC6-CB6</f>
        <v>0</v>
      </c>
      <c r="CE6" s="144">
        <f>'Autogenerated Template'!D35</f>
        <v>187</v>
      </c>
      <c r="CF6" s="144">
        <f>'Autogenerated Template'!E35</f>
        <v>42</v>
      </c>
      <c r="CG6" s="144">
        <f>'Autogenerated Template'!F35</f>
        <v>0</v>
      </c>
      <c r="CH6" s="144">
        <f>'Autogenerated Template'!G35</f>
        <v>0</v>
      </c>
      <c r="CI6" s="144">
        <f>'Autogenerated Template'!H35</f>
        <v>1</v>
      </c>
      <c r="CJ6" s="144">
        <f>'Autogenerated Template'!I35</f>
        <v>228</v>
      </c>
      <c r="CK6" s="144">
        <f>'Autogenerated Template'!J35</f>
        <v>26</v>
      </c>
      <c r="CL6" s="144">
        <f>'Autogenerated Template'!K35</f>
        <v>1</v>
      </c>
      <c r="CM6" s="144">
        <f>'Autogenerated Template'!L35</f>
        <v>2</v>
      </c>
      <c r="CN6" s="144">
        <f>'Autogenerated Template'!M35</f>
        <v>2</v>
      </c>
      <c r="CO6" s="144">
        <f>'Autogenerated Template'!N35</f>
        <v>31</v>
      </c>
      <c r="CP6" s="144">
        <f>'Autogenerated Template'!O35</f>
        <v>0</v>
      </c>
      <c r="CQ6" s="144">
        <f>'Autogenerated Template'!P35</f>
        <v>31</v>
      </c>
      <c r="CR6" s="144">
        <f>'Autogenerated Template'!Q35</f>
        <v>31</v>
      </c>
      <c r="CS6" s="144">
        <f>'Autogenerated Template'!R35</f>
        <v>0</v>
      </c>
      <c r="CT6" s="144">
        <f>'Autogenerated Template'!S35</f>
        <v>3</v>
      </c>
      <c r="CU6" s="144">
        <f>'Autogenerated Template'!T35</f>
        <v>194</v>
      </c>
      <c r="CV6" s="144">
        <f>'Autogenerated Template'!U35</f>
        <v>197</v>
      </c>
      <c r="CW6" s="17">
        <f>'Autogenerated Template'!D68</f>
        <v>396</v>
      </c>
      <c r="CX6" s="17">
        <f>'Autogenerated Template'!E68</f>
        <v>51</v>
      </c>
      <c r="CY6" s="17">
        <f>'Autogenerated Template'!F68</f>
        <v>17</v>
      </c>
      <c r="CZ6" s="17">
        <f>'Autogenerated Template'!G68</f>
        <v>0</v>
      </c>
      <c r="DA6" s="17">
        <f>'Autogenerated Template'!H68</f>
        <v>0</v>
      </c>
      <c r="DB6" s="17">
        <f>'Autogenerated Template'!I68</f>
        <v>464</v>
      </c>
      <c r="DC6" s="17">
        <f>'Autogenerated Template'!J68</f>
        <v>14</v>
      </c>
      <c r="DD6" s="17">
        <f>'Autogenerated Template'!K68</f>
        <v>4</v>
      </c>
      <c r="DE6" s="17">
        <f>'Autogenerated Template'!L68</f>
        <v>46</v>
      </c>
      <c r="DF6" s="17">
        <f>'Autogenerated Template'!N68</f>
        <v>64</v>
      </c>
      <c r="DG6" s="17">
        <f>'Autogenerated Template'!O68</f>
        <v>1</v>
      </c>
      <c r="DH6" s="17">
        <f>'Autogenerated Template'!P68</f>
        <v>63</v>
      </c>
      <c r="DI6" s="17">
        <f>'Autogenerated Template'!Q68</f>
        <v>64</v>
      </c>
      <c r="DJ6" s="17">
        <f>'Autogenerated Template'!R68</f>
        <v>0</v>
      </c>
      <c r="DK6" s="17">
        <f>'Autogenerated Template'!S68</f>
        <v>57</v>
      </c>
      <c r="DL6" s="17">
        <f>'Autogenerated Template'!T68</f>
        <v>343</v>
      </c>
      <c r="DM6" s="17">
        <f>'Autogenerated Template'!U68</f>
        <v>400</v>
      </c>
      <c r="DN6" s="17">
        <f>'Summary Sheet'!AA5</f>
        <v>0</v>
      </c>
      <c r="DO6" s="17">
        <f>'Summary Sheet'!AB5</f>
        <v>5</v>
      </c>
      <c r="DP6" s="17">
        <f>'Summary Sheet'!AC5</f>
        <v>52</v>
      </c>
      <c r="DQ6" s="17">
        <f>'Summary Sheet'!AD5</f>
        <v>52</v>
      </c>
      <c r="DR6" s="17">
        <f>'Summary Sheet'!AD4</f>
        <v>3</v>
      </c>
      <c r="DS6" s="17" t="str">
        <f>JudgeProfile!X2</f>
        <v>Zone B</v>
      </c>
      <c r="DT6" s="17" t="str">
        <f>IF('Summary Sheet'!D9 = 0,"Target Not Applicable",IF(BS6&lt;100%,"Target Not Achieved","Target Achieved"))</f>
        <v>Target Achieved</v>
      </c>
      <c r="DU6" s="17" t="str">
        <f>IF('Summary Sheet'!D10=0, "Target Not Applicable",IF(BP6&lt;100%,"Target Not Achieved","Target Achieved"))</f>
        <v>Target Not Achieved</v>
      </c>
      <c r="DV6" s="17" t="str">
        <f>IF(CA6&lt;(BF6+AI6),"Target Not Achieved","Target Achieved")</f>
        <v>Target Achieved</v>
      </c>
      <c r="DW6" s="17" t="str">
        <f>IF(CC6&lt;(CB6),"Target Not Achieved","Target Achieved")</f>
        <v>Target Achieved</v>
      </c>
      <c r="DX6" s="17" t="str">
        <f>IF(DX4=0,"Target Not Applicable",IF(AM6&lt;DX4,"Target Not Achieved","Target Achieved"))</f>
        <v>Target Not Achieved</v>
      </c>
      <c r="DY6" s="17" t="str">
        <f>IF(COUNTIFS(DT6:DX6,"Target Achieved")=(5-COUNTIFS(DT6:DX6,"Target Not Applicable")), "Target Achieved in all Indicator",IF(COUNTIFS(DT6:DX6,"Target Achieved")=0, "Target Not Achieved in any Indicator","Acieved Partially"))</f>
        <v>Acieved Partially</v>
      </c>
      <c r="DZ6" s="17">
        <f>JudgeProfile!W2</f>
        <v>900</v>
      </c>
      <c r="EA6" s="17">
        <f>JudgeProfile!V2</f>
        <v>900</v>
      </c>
      <c r="EB6" s="17" t="str">
        <f>JudgeProfile!Z2</f>
        <v>Sessions Court</v>
      </c>
      <c r="EC6" s="17" t="str">
        <f>JudgeProfile!Y2</f>
        <v>PQSP -Version 3.1 (20.12.2021)</v>
      </c>
      <c r="ED6" s="94">
        <f>V6+AS6</f>
        <v>583</v>
      </c>
      <c r="EE6" s="94">
        <f>W6+AT6</f>
        <v>93</v>
      </c>
      <c r="EF6" s="94">
        <f t="shared" ref="EF6:EK6" si="0">X6+AU6</f>
        <v>17</v>
      </c>
      <c r="EG6" s="94">
        <f t="shared" si="0"/>
        <v>0</v>
      </c>
      <c r="EH6" s="94">
        <f t="shared" si="0"/>
        <v>1</v>
      </c>
      <c r="EI6" s="94">
        <f t="shared" si="0"/>
        <v>692</v>
      </c>
      <c r="EJ6" s="94">
        <f t="shared" si="0"/>
        <v>95</v>
      </c>
      <c r="EK6" s="94">
        <f t="shared" si="0"/>
        <v>94</v>
      </c>
      <c r="EL6" s="94">
        <f>AQ6+BK6</f>
        <v>597</v>
      </c>
      <c r="EM6" s="94">
        <f>'Autogenerated Template'!AF70</f>
        <v>6</v>
      </c>
      <c r="EN6" s="94">
        <f>'Autogenerated Template'!AG70</f>
        <v>34</v>
      </c>
      <c r="EO6" s="86">
        <f>'Autogenerated Template'!AF35</f>
        <v>1</v>
      </c>
      <c r="EP6" s="86">
        <f>'Autogenerated Template'!AG35</f>
        <v>25</v>
      </c>
      <c r="EQ6" s="86">
        <f>'Autogenerated Template'!AF68</f>
        <v>5</v>
      </c>
      <c r="ER6" s="86">
        <f>'Autogenerated Template'!AG68</f>
        <v>9</v>
      </c>
      <c r="ES6" s="86">
        <f>EE6+EG6</f>
        <v>93</v>
      </c>
    </row>
    <row r="7" spans="1:149" ht="14.45" customHeight="1">
      <c r="BT7" s="141"/>
      <c r="BU7" s="141"/>
      <c r="BV7" s="141"/>
    </row>
  </sheetData>
  <sheetProtection algorithmName="SHA-512" hashValue="iaMvxuMN8xflw9JtF6V6Q9+I+hSjG3Wk7MOQRQXylCABzIJaMim/ZDvaktJvX4t83nNAbREdMFoTFb4RcFhAjQ==" saltValue="5QzXDN7mFrJfSRMDucF36w==" spinCount="100000" sheet="1" objects="1" scenarios="1"/>
  <mergeCells count="11">
    <mergeCell ref="DN4:DR4"/>
    <mergeCell ref="CW3:DM3"/>
    <mergeCell ref="DC4:DF4"/>
    <mergeCell ref="DG4:DI4"/>
    <mergeCell ref="DK4:DM4"/>
    <mergeCell ref="BL4:BS4"/>
    <mergeCell ref="CT4:CV4"/>
    <mergeCell ref="CE3:CV3"/>
    <mergeCell ref="CP4:CR4"/>
    <mergeCell ref="CK4:CO4"/>
    <mergeCell ref="BW4:BY4"/>
  </mergeCells>
  <pageMargins left="0.7" right="0.7" top="0.75" bottom="0.75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"/>
  <sheetViews>
    <sheetView workbookViewId="0">
      <selection activeCell="A2" sqref="A2"/>
    </sheetView>
  </sheetViews>
  <sheetFormatPr defaultRowHeight="15"/>
  <sheetData>
    <row r="1" spans="1:11" ht="45">
      <c r="A1" s="110" t="s">
        <v>1484</v>
      </c>
      <c r="B1" s="110" t="s">
        <v>1485</v>
      </c>
      <c r="C1" s="110" t="s">
        <v>1486</v>
      </c>
      <c r="D1" s="110" t="s">
        <v>1487</v>
      </c>
      <c r="E1" s="110" t="s">
        <v>1488</v>
      </c>
      <c r="F1" s="110" t="s">
        <v>1489</v>
      </c>
      <c r="G1" s="111" t="s">
        <v>1490</v>
      </c>
      <c r="H1" s="154" t="s">
        <v>6</v>
      </c>
      <c r="I1" s="154" t="s">
        <v>7</v>
      </c>
      <c r="J1" s="154" t="s">
        <v>14</v>
      </c>
      <c r="K1" s="155" t="s">
        <v>1642</v>
      </c>
    </row>
  </sheetData>
  <sheetProtection algorithmName="SHA-512" hashValue="r3u9XnVkICT5nwLe7qxkb89Pbd0JetP4iAJq1BAkcP/LwoAao6MRUAzp76Gsj4SUHMtQUb2kJIJEYP2Q5i0WNw==" saltValue="3dNdMgoBkxk5VMvjCwl+7g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G157"/>
  <sheetViews>
    <sheetView workbookViewId="0">
      <selection activeCell="A7" sqref="A7:XFD7"/>
    </sheetView>
  </sheetViews>
  <sheetFormatPr defaultRowHeight="15"/>
  <cols>
    <col min="2" max="2" width="18.85546875" bestFit="1" customWidth="1"/>
    <col min="3" max="3" width="39.42578125" bestFit="1" customWidth="1"/>
    <col min="7" max="7" width="17.140625" customWidth="1"/>
    <col min="8" max="8" width="16.42578125" bestFit="1" customWidth="1"/>
    <col min="9" max="9" width="10.42578125" bestFit="1" customWidth="1"/>
    <col min="10" max="10" width="12.42578125" customWidth="1"/>
    <col min="11" max="11" width="20.85546875" style="368" customWidth="1"/>
    <col min="13" max="13" width="25.5703125" bestFit="1" customWidth="1"/>
    <col min="18" max="18" width="10.5703125" bestFit="1" customWidth="1"/>
    <col min="25" max="25" width="8.85546875" style="371"/>
    <col min="41" max="41" width="10.85546875" style="368" bestFit="1" customWidth="1"/>
    <col min="45" max="45" width="9.140625" style="322"/>
    <col min="53" max="53" width="32.42578125" bestFit="1" customWidth="1"/>
    <col min="54" max="54" width="28.42578125" bestFit="1" customWidth="1"/>
    <col min="55" max="55" width="19.7109375" bestFit="1" customWidth="1"/>
  </cols>
  <sheetData>
    <row r="1" spans="1:59" s="164" customFormat="1" ht="76.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367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370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369" t="s">
        <v>1996</v>
      </c>
      <c r="AP1" s="209" t="s">
        <v>1946</v>
      </c>
      <c r="AQ1" s="209" t="s">
        <v>1947</v>
      </c>
      <c r="AR1" s="209" t="s">
        <v>1948</v>
      </c>
      <c r="AS1" s="317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  <c r="BD1" s="164" t="s">
        <v>2038</v>
      </c>
      <c r="BE1" s="164" t="s">
        <v>2039</v>
      </c>
      <c r="BF1" s="164" t="s">
        <v>2040</v>
      </c>
      <c r="BG1" s="164" t="s">
        <v>2041</v>
      </c>
    </row>
    <row r="2" spans="1:59">
      <c r="A2">
        <v>19</v>
      </c>
      <c r="B2" t="s">
        <v>2249</v>
      </c>
      <c r="C2" t="s">
        <v>2250</v>
      </c>
      <c r="D2" t="s">
        <v>8</v>
      </c>
      <c r="E2" t="s">
        <v>9</v>
      </c>
      <c r="F2" t="s">
        <v>1753</v>
      </c>
      <c r="G2" s="257">
        <v>44607</v>
      </c>
      <c r="H2" s="257"/>
      <c r="I2" s="257"/>
      <c r="K2" s="368" t="s">
        <v>3978</v>
      </c>
      <c r="L2" t="s">
        <v>2193</v>
      </c>
      <c r="M2" s="257" t="s">
        <v>114</v>
      </c>
      <c r="P2" t="s">
        <v>1554</v>
      </c>
      <c r="Q2" t="s">
        <v>2198</v>
      </c>
      <c r="R2" s="257">
        <v>44992.548634259256</v>
      </c>
      <c r="S2">
        <v>2022</v>
      </c>
      <c r="T2" t="s">
        <v>2194</v>
      </c>
      <c r="U2" t="s">
        <v>678</v>
      </c>
      <c r="V2" t="s">
        <v>679</v>
      </c>
      <c r="W2" t="s">
        <v>145</v>
      </c>
      <c r="X2" t="s">
        <v>309</v>
      </c>
      <c r="Y2" s="371">
        <v>45078</v>
      </c>
      <c r="Z2" t="s">
        <v>1875</v>
      </c>
      <c r="AA2" s="257"/>
      <c r="AB2" t="s">
        <v>139</v>
      </c>
      <c r="AC2" t="s">
        <v>1875</v>
      </c>
      <c r="AD2" t="s">
        <v>3800</v>
      </c>
      <c r="AE2" s="257" t="s">
        <v>3800</v>
      </c>
      <c r="AF2" s="257"/>
      <c r="AG2" s="257"/>
      <c r="AH2" s="257"/>
      <c r="AJ2" t="s">
        <v>2191</v>
      </c>
      <c r="AK2" s="257"/>
      <c r="AL2" s="257" t="s">
        <v>2190</v>
      </c>
      <c r="AM2" t="s">
        <v>1975</v>
      </c>
      <c r="AN2" t="b">
        <v>0</v>
      </c>
      <c r="AP2" s="257"/>
      <c r="AQ2" s="257"/>
      <c r="AR2" s="257"/>
      <c r="AT2" s="257"/>
      <c r="AU2" s="257"/>
      <c r="AV2" s="257"/>
      <c r="AY2" s="257"/>
      <c r="AZ2" s="257"/>
      <c r="BA2" t="s">
        <v>373</v>
      </c>
      <c r="BB2" t="s">
        <v>139</v>
      </c>
      <c r="BC2" t="s">
        <v>2192</v>
      </c>
      <c r="BF2" s="257"/>
      <c r="BG2" s="257"/>
    </row>
    <row r="3" spans="1:59">
      <c r="A3">
        <v>43</v>
      </c>
      <c r="B3" t="s">
        <v>3170</v>
      </c>
      <c r="C3" t="s">
        <v>3171</v>
      </c>
      <c r="D3" t="s">
        <v>8</v>
      </c>
      <c r="E3" t="s">
        <v>9</v>
      </c>
      <c r="F3" t="s">
        <v>1753</v>
      </c>
      <c r="G3" s="257">
        <v>44911</v>
      </c>
      <c r="H3" s="257"/>
      <c r="I3" s="257"/>
      <c r="K3" s="368" t="s">
        <v>3979</v>
      </c>
      <c r="L3" t="s">
        <v>2193</v>
      </c>
      <c r="M3" s="257" t="s">
        <v>115</v>
      </c>
      <c r="P3" t="s">
        <v>1554</v>
      </c>
      <c r="Q3" t="s">
        <v>2198</v>
      </c>
      <c r="R3" s="257">
        <v>44992.546307870369</v>
      </c>
      <c r="S3">
        <v>2022</v>
      </c>
      <c r="T3" t="s">
        <v>2194</v>
      </c>
      <c r="U3" t="s">
        <v>678</v>
      </c>
      <c r="V3" t="s">
        <v>679</v>
      </c>
      <c r="W3" t="s">
        <v>145</v>
      </c>
      <c r="X3" t="s">
        <v>309</v>
      </c>
      <c r="Y3" s="371">
        <v>45078</v>
      </c>
      <c r="Z3" t="s">
        <v>1875</v>
      </c>
      <c r="AA3" s="257"/>
      <c r="AB3" t="s">
        <v>139</v>
      </c>
      <c r="AC3" t="s">
        <v>1875</v>
      </c>
      <c r="AD3" t="s">
        <v>1805</v>
      </c>
      <c r="AE3" s="257" t="s">
        <v>1805</v>
      </c>
      <c r="AF3" s="257"/>
      <c r="AG3" s="257"/>
      <c r="AH3" s="257"/>
      <c r="AJ3" t="s">
        <v>2191</v>
      </c>
      <c r="AK3" s="257"/>
      <c r="AL3" s="257" t="s">
        <v>2190</v>
      </c>
      <c r="AM3" t="s">
        <v>1975</v>
      </c>
      <c r="AN3" t="b">
        <v>0</v>
      </c>
      <c r="AP3" s="257"/>
      <c r="AQ3" s="257"/>
      <c r="AR3" s="257"/>
      <c r="AT3" s="257"/>
      <c r="AU3" s="257"/>
      <c r="AV3" s="257"/>
      <c r="AY3" s="257"/>
      <c r="AZ3" s="257"/>
      <c r="BA3" t="s">
        <v>373</v>
      </c>
      <c r="BB3" t="s">
        <v>139</v>
      </c>
      <c r="BC3" t="s">
        <v>2192</v>
      </c>
      <c r="BF3" s="257"/>
      <c r="BG3" s="257"/>
    </row>
    <row r="4" spans="1:59">
      <c r="A4">
        <v>52</v>
      </c>
      <c r="B4" t="s">
        <v>2258</v>
      </c>
      <c r="C4" t="s">
        <v>3658</v>
      </c>
      <c r="D4" t="s">
        <v>8</v>
      </c>
      <c r="E4" t="s">
        <v>9</v>
      </c>
      <c r="F4" t="s">
        <v>1753</v>
      </c>
      <c r="G4" s="257">
        <v>45017</v>
      </c>
      <c r="H4" s="257"/>
      <c r="I4" s="257"/>
      <c r="K4" s="368" t="s">
        <v>3980</v>
      </c>
      <c r="L4" t="s">
        <v>2193</v>
      </c>
      <c r="M4" s="257" t="s">
        <v>116</v>
      </c>
      <c r="P4" t="s">
        <v>1554</v>
      </c>
      <c r="Q4" t="s">
        <v>2198</v>
      </c>
      <c r="R4" s="257">
        <v>44992.528854166667</v>
      </c>
      <c r="S4">
        <v>2023</v>
      </c>
      <c r="T4" t="s">
        <v>2194</v>
      </c>
      <c r="U4" t="s">
        <v>678</v>
      </c>
      <c r="V4" t="s">
        <v>679</v>
      </c>
      <c r="W4" t="s">
        <v>145</v>
      </c>
      <c r="X4" t="s">
        <v>309</v>
      </c>
      <c r="Y4" s="371">
        <v>45078</v>
      </c>
      <c r="Z4" t="s">
        <v>1875</v>
      </c>
      <c r="AA4" s="257"/>
      <c r="AB4" t="s">
        <v>139</v>
      </c>
      <c r="AC4" t="s">
        <v>1875</v>
      </c>
      <c r="AD4" t="s">
        <v>1805</v>
      </c>
      <c r="AE4" s="257" t="s">
        <v>1805</v>
      </c>
      <c r="AF4" s="257"/>
      <c r="AG4" s="257"/>
      <c r="AH4" s="257"/>
      <c r="AJ4" t="s">
        <v>2191</v>
      </c>
      <c r="AK4" s="257"/>
      <c r="AL4" s="257" t="s">
        <v>2190</v>
      </c>
      <c r="AM4" t="s">
        <v>1975</v>
      </c>
      <c r="AN4" t="b">
        <v>0</v>
      </c>
      <c r="AP4" s="257"/>
      <c r="AQ4" s="257"/>
      <c r="AR4" s="257"/>
      <c r="AT4" s="257"/>
      <c r="AU4" s="257"/>
      <c r="AV4" s="257"/>
      <c r="AY4" s="257"/>
      <c r="AZ4" s="257"/>
      <c r="BA4" t="s">
        <v>373</v>
      </c>
      <c r="BB4" t="s">
        <v>139</v>
      </c>
      <c r="BC4" t="s">
        <v>2192</v>
      </c>
      <c r="BF4" s="257"/>
      <c r="BG4" s="257"/>
    </row>
    <row r="5" spans="1:59">
      <c r="A5">
        <v>53</v>
      </c>
      <c r="B5" t="s">
        <v>2199</v>
      </c>
      <c r="C5" t="s">
        <v>3962</v>
      </c>
      <c r="D5" t="s">
        <v>8</v>
      </c>
      <c r="E5" t="s">
        <v>9</v>
      </c>
      <c r="F5" t="s">
        <v>1753</v>
      </c>
      <c r="G5" s="257">
        <v>45017</v>
      </c>
      <c r="H5" s="257"/>
      <c r="I5" s="257"/>
      <c r="K5" s="368" t="s">
        <v>3980</v>
      </c>
      <c r="L5" t="s">
        <v>2193</v>
      </c>
      <c r="M5" s="257" t="s">
        <v>116</v>
      </c>
      <c r="P5" t="s">
        <v>1554</v>
      </c>
      <c r="Q5" t="s">
        <v>2198</v>
      </c>
      <c r="R5" s="257">
        <v>44992.529583333337</v>
      </c>
      <c r="S5">
        <v>2023</v>
      </c>
      <c r="T5" t="s">
        <v>2194</v>
      </c>
      <c r="U5" t="s">
        <v>678</v>
      </c>
      <c r="V5" t="s">
        <v>679</v>
      </c>
      <c r="W5" t="s">
        <v>145</v>
      </c>
      <c r="X5" t="s">
        <v>309</v>
      </c>
      <c r="Y5" s="371">
        <v>45078</v>
      </c>
      <c r="Z5" t="s">
        <v>1875</v>
      </c>
      <c r="AA5" s="257"/>
      <c r="AB5" t="s">
        <v>139</v>
      </c>
      <c r="AC5" t="s">
        <v>1875</v>
      </c>
      <c r="AD5" t="s">
        <v>1805</v>
      </c>
      <c r="AE5" s="257" t="s">
        <v>1805</v>
      </c>
      <c r="AF5" s="257"/>
      <c r="AG5" s="257"/>
      <c r="AH5" s="257"/>
      <c r="AJ5" t="s">
        <v>2191</v>
      </c>
      <c r="AK5" s="257"/>
      <c r="AL5" s="257" t="s">
        <v>2190</v>
      </c>
      <c r="AM5" t="s">
        <v>1975</v>
      </c>
      <c r="AN5" t="b">
        <v>0</v>
      </c>
      <c r="AP5" s="257"/>
      <c r="AQ5" s="257"/>
      <c r="AR5" s="257"/>
      <c r="AT5" s="257"/>
      <c r="AU5" s="257"/>
      <c r="AV5" s="257"/>
      <c r="AY5" s="257"/>
      <c r="AZ5" s="257"/>
      <c r="BA5" t="s">
        <v>373</v>
      </c>
      <c r="BB5" t="s">
        <v>139</v>
      </c>
      <c r="BC5" t="s">
        <v>2192</v>
      </c>
      <c r="BF5" s="257"/>
      <c r="BG5" s="257"/>
    </row>
    <row r="6" spans="1:59">
      <c r="A6">
        <v>64</v>
      </c>
      <c r="B6" t="s">
        <v>2278</v>
      </c>
      <c r="C6" t="s">
        <v>2279</v>
      </c>
      <c r="D6" t="s">
        <v>8</v>
      </c>
      <c r="E6" t="s">
        <v>9</v>
      </c>
      <c r="F6" t="s">
        <v>1759</v>
      </c>
      <c r="G6" s="257">
        <v>43182</v>
      </c>
      <c r="H6" s="257">
        <v>44008</v>
      </c>
      <c r="I6" s="257"/>
      <c r="K6" s="368" t="s">
        <v>3981</v>
      </c>
      <c r="L6" t="s">
        <v>2193</v>
      </c>
      <c r="M6" s="257" t="s">
        <v>113</v>
      </c>
      <c r="P6" t="s">
        <v>1554</v>
      </c>
      <c r="Q6" t="s">
        <v>2198</v>
      </c>
      <c r="R6" s="257">
        <v>44992.613217592596</v>
      </c>
      <c r="S6">
        <v>2018</v>
      </c>
      <c r="T6" t="s">
        <v>2194</v>
      </c>
      <c r="U6" t="s">
        <v>678</v>
      </c>
      <c r="V6" t="s">
        <v>679</v>
      </c>
      <c r="W6" t="s">
        <v>145</v>
      </c>
      <c r="X6" t="s">
        <v>309</v>
      </c>
      <c r="Y6" s="371">
        <v>45078</v>
      </c>
      <c r="Z6" t="s">
        <v>1875</v>
      </c>
      <c r="AA6" s="257"/>
      <c r="AB6" t="s">
        <v>139</v>
      </c>
      <c r="AC6" t="s">
        <v>1875</v>
      </c>
      <c r="AD6" t="s">
        <v>3800</v>
      </c>
      <c r="AE6" s="257" t="s">
        <v>3800</v>
      </c>
      <c r="AF6" s="257"/>
      <c r="AG6" s="257"/>
      <c r="AH6" s="257"/>
      <c r="AJ6" t="s">
        <v>2191</v>
      </c>
      <c r="AK6" s="257"/>
      <c r="AL6" s="257" t="s">
        <v>2190</v>
      </c>
      <c r="AM6" t="s">
        <v>1975</v>
      </c>
      <c r="AN6" t="b">
        <v>0</v>
      </c>
      <c r="AP6" s="257"/>
      <c r="AQ6" s="257"/>
      <c r="AR6" s="257"/>
      <c r="AT6" s="257"/>
      <c r="AU6" s="257"/>
      <c r="AV6" s="257"/>
      <c r="AY6" s="257"/>
      <c r="AZ6" s="257"/>
      <c r="BA6" t="s">
        <v>373</v>
      </c>
      <c r="BB6" t="s">
        <v>139</v>
      </c>
      <c r="BC6" t="s">
        <v>2192</v>
      </c>
      <c r="BF6" s="257"/>
      <c r="BG6" s="257"/>
    </row>
    <row r="7" spans="1:59">
      <c r="A7">
        <v>133</v>
      </c>
      <c r="B7" t="s">
        <v>3522</v>
      </c>
      <c r="C7" t="s">
        <v>3523</v>
      </c>
      <c r="D7" t="s">
        <v>8</v>
      </c>
      <c r="E7" t="s">
        <v>9</v>
      </c>
      <c r="F7" t="s">
        <v>1765</v>
      </c>
      <c r="G7" s="257">
        <v>44161</v>
      </c>
      <c r="H7" s="257"/>
      <c r="I7" s="257">
        <v>45006</v>
      </c>
      <c r="J7" t="s">
        <v>2904</v>
      </c>
      <c r="K7" s="368" t="s">
        <v>3982</v>
      </c>
      <c r="L7" t="s">
        <v>2193</v>
      </c>
      <c r="M7" s="257" t="s">
        <v>115</v>
      </c>
      <c r="P7" t="s">
        <v>1554</v>
      </c>
      <c r="Q7" t="s">
        <v>2198</v>
      </c>
      <c r="R7" s="257">
        <v>44992.63863425926</v>
      </c>
      <c r="S7">
        <v>2020</v>
      </c>
      <c r="T7" t="s">
        <v>2194</v>
      </c>
      <c r="U7" t="s">
        <v>678</v>
      </c>
      <c r="V7" t="s">
        <v>679</v>
      </c>
      <c r="W7" t="s">
        <v>145</v>
      </c>
      <c r="X7" t="s">
        <v>309</v>
      </c>
      <c r="Y7" s="371">
        <v>45078</v>
      </c>
      <c r="Z7" t="s">
        <v>1875</v>
      </c>
      <c r="AA7" s="257"/>
      <c r="AB7" t="s">
        <v>139</v>
      </c>
      <c r="AC7" t="s">
        <v>1875</v>
      </c>
      <c r="AD7" t="s">
        <v>1805</v>
      </c>
      <c r="AE7" s="257" t="s">
        <v>1805</v>
      </c>
      <c r="AF7" s="257"/>
      <c r="AG7" s="257"/>
      <c r="AH7" s="257"/>
      <c r="AJ7" t="s">
        <v>2191</v>
      </c>
      <c r="AK7" s="257"/>
      <c r="AL7" s="257" t="s">
        <v>2190</v>
      </c>
      <c r="AM7" t="s">
        <v>1975</v>
      </c>
      <c r="AN7" t="b">
        <v>0</v>
      </c>
      <c r="AP7" s="257"/>
      <c r="AQ7" s="257"/>
      <c r="AR7" s="257"/>
      <c r="AT7" s="257"/>
      <c r="AU7" s="257"/>
      <c r="AV7" s="257"/>
      <c r="AY7" s="257"/>
      <c r="AZ7" s="257"/>
      <c r="BA7" t="s">
        <v>373</v>
      </c>
      <c r="BB7" t="s">
        <v>139</v>
      </c>
      <c r="BC7" t="s">
        <v>2192</v>
      </c>
      <c r="BF7" s="257"/>
      <c r="BG7" s="257"/>
    </row>
    <row r="8" spans="1:59">
      <c r="A8">
        <v>134</v>
      </c>
      <c r="B8" t="s">
        <v>3509</v>
      </c>
      <c r="C8" t="s">
        <v>3510</v>
      </c>
      <c r="D8" t="s">
        <v>8</v>
      </c>
      <c r="E8" t="s">
        <v>9</v>
      </c>
      <c r="F8" t="s">
        <v>1765</v>
      </c>
      <c r="G8" s="257">
        <v>44162</v>
      </c>
      <c r="H8" s="257"/>
      <c r="I8" s="257">
        <v>45007</v>
      </c>
      <c r="J8" t="s">
        <v>2904</v>
      </c>
      <c r="K8" s="368" t="s">
        <v>3982</v>
      </c>
      <c r="L8" t="s">
        <v>2193</v>
      </c>
      <c r="M8" s="257" t="s">
        <v>115</v>
      </c>
      <c r="P8" t="s">
        <v>1554</v>
      </c>
      <c r="Q8" t="s">
        <v>2198</v>
      </c>
      <c r="R8" s="257">
        <v>44992.623263888891</v>
      </c>
      <c r="S8">
        <v>2020</v>
      </c>
      <c r="T8" t="s">
        <v>2194</v>
      </c>
      <c r="U8" t="s">
        <v>678</v>
      </c>
      <c r="V8" t="s">
        <v>679</v>
      </c>
      <c r="W8" t="s">
        <v>145</v>
      </c>
      <c r="X8" t="s">
        <v>309</v>
      </c>
      <c r="Y8" s="371">
        <v>45078</v>
      </c>
      <c r="Z8" t="s">
        <v>1875</v>
      </c>
      <c r="AA8" s="257"/>
      <c r="AB8" t="s">
        <v>139</v>
      </c>
      <c r="AC8" t="s">
        <v>1875</v>
      </c>
      <c r="AD8" t="s">
        <v>1805</v>
      </c>
      <c r="AE8" s="257" t="s">
        <v>1805</v>
      </c>
      <c r="AF8" s="257"/>
      <c r="AG8" s="257"/>
      <c r="AH8" s="257"/>
      <c r="AJ8" t="s">
        <v>2191</v>
      </c>
      <c r="AK8" s="257"/>
      <c r="AL8" s="257" t="s">
        <v>2190</v>
      </c>
      <c r="AM8" t="s">
        <v>1975</v>
      </c>
      <c r="AN8" t="b">
        <v>0</v>
      </c>
      <c r="AP8" s="257"/>
      <c r="AQ8" s="257"/>
      <c r="AR8" s="257"/>
      <c r="AT8" s="257"/>
      <c r="AU8" s="257"/>
      <c r="AY8" s="257"/>
      <c r="AZ8" s="257"/>
      <c r="BA8" t="s">
        <v>373</v>
      </c>
      <c r="BB8" t="s">
        <v>139</v>
      </c>
      <c r="BC8" t="s">
        <v>2192</v>
      </c>
      <c r="BF8" s="257"/>
      <c r="BG8" s="257"/>
    </row>
    <row r="9" spans="1:59">
      <c r="A9">
        <v>136</v>
      </c>
      <c r="B9" t="s">
        <v>3520</v>
      </c>
      <c r="C9" t="s">
        <v>3521</v>
      </c>
      <c r="D9" t="s">
        <v>8</v>
      </c>
      <c r="E9" t="s">
        <v>9</v>
      </c>
      <c r="F9" t="s">
        <v>1765</v>
      </c>
      <c r="G9" s="257">
        <v>44198</v>
      </c>
      <c r="H9" s="257"/>
      <c r="I9" s="257">
        <v>45006</v>
      </c>
      <c r="J9" t="s">
        <v>2904</v>
      </c>
      <c r="K9" s="368" t="s">
        <v>3982</v>
      </c>
      <c r="L9" t="s">
        <v>2193</v>
      </c>
      <c r="M9" s="257" t="s">
        <v>115</v>
      </c>
      <c r="P9" t="s">
        <v>1554</v>
      </c>
      <c r="Q9" t="s">
        <v>2198</v>
      </c>
      <c r="R9" s="257">
        <v>44992.633194444446</v>
      </c>
      <c r="S9">
        <v>2021</v>
      </c>
      <c r="T9" t="s">
        <v>2194</v>
      </c>
      <c r="U9" t="s">
        <v>678</v>
      </c>
      <c r="V9" t="s">
        <v>679</v>
      </c>
      <c r="W9" t="s">
        <v>145</v>
      </c>
      <c r="X9" t="s">
        <v>309</v>
      </c>
      <c r="Y9" s="371">
        <v>45078</v>
      </c>
      <c r="Z9" t="s">
        <v>1875</v>
      </c>
      <c r="AA9" s="257"/>
      <c r="AB9" t="s">
        <v>139</v>
      </c>
      <c r="AC9" t="s">
        <v>1875</v>
      </c>
      <c r="AD9" t="s">
        <v>1805</v>
      </c>
      <c r="AE9" s="257" t="s">
        <v>1805</v>
      </c>
      <c r="AF9" s="257"/>
      <c r="AG9" s="257"/>
      <c r="AH9" s="257"/>
      <c r="AJ9" t="s">
        <v>2191</v>
      </c>
      <c r="AK9" s="257"/>
      <c r="AL9" s="257" t="s">
        <v>2190</v>
      </c>
      <c r="AM9" t="s">
        <v>1975</v>
      </c>
      <c r="AN9" t="b">
        <v>0</v>
      </c>
      <c r="AP9" s="257"/>
      <c r="AQ9" s="257"/>
      <c r="AR9" s="257"/>
      <c r="AT9" s="257"/>
      <c r="AU9" s="257"/>
      <c r="AY9" s="257"/>
      <c r="AZ9" s="257"/>
      <c r="BA9" t="s">
        <v>373</v>
      </c>
      <c r="BB9" t="s">
        <v>139</v>
      </c>
      <c r="BC9" t="s">
        <v>2192</v>
      </c>
      <c r="BF9" s="257"/>
      <c r="BG9" s="257"/>
    </row>
    <row r="10" spans="1:59">
      <c r="A10">
        <v>150</v>
      </c>
      <c r="B10" t="s">
        <v>3550</v>
      </c>
      <c r="C10" t="s">
        <v>3551</v>
      </c>
      <c r="D10" t="s">
        <v>8</v>
      </c>
      <c r="E10" t="s">
        <v>9</v>
      </c>
      <c r="F10" t="s">
        <v>1765</v>
      </c>
      <c r="G10" s="257">
        <v>44995</v>
      </c>
      <c r="H10" s="257"/>
      <c r="I10" s="257"/>
      <c r="K10" s="368" t="s">
        <v>3982</v>
      </c>
      <c r="L10" t="s">
        <v>2193</v>
      </c>
      <c r="M10" s="257" t="s">
        <v>115</v>
      </c>
      <c r="P10" t="s">
        <v>1554</v>
      </c>
      <c r="Q10" t="s">
        <v>2198</v>
      </c>
      <c r="R10" s="257">
        <v>44992.621689814812</v>
      </c>
      <c r="S10">
        <v>2023</v>
      </c>
      <c r="T10" t="s">
        <v>2194</v>
      </c>
      <c r="U10" t="s">
        <v>678</v>
      </c>
      <c r="V10" t="s">
        <v>679</v>
      </c>
      <c r="W10" t="s">
        <v>145</v>
      </c>
      <c r="X10" t="s">
        <v>309</v>
      </c>
      <c r="Y10" s="371">
        <v>45078</v>
      </c>
      <c r="Z10" t="s">
        <v>1875</v>
      </c>
      <c r="AA10" s="257"/>
      <c r="AB10" t="s">
        <v>139</v>
      </c>
      <c r="AC10" t="s">
        <v>1875</v>
      </c>
      <c r="AD10" t="s">
        <v>1805</v>
      </c>
      <c r="AE10" s="257" t="s">
        <v>1805</v>
      </c>
      <c r="AF10" s="257"/>
      <c r="AG10" s="257"/>
      <c r="AH10" s="257"/>
      <c r="AJ10" t="s">
        <v>2191</v>
      </c>
      <c r="AK10" s="257"/>
      <c r="AL10" s="257" t="s">
        <v>2190</v>
      </c>
      <c r="AM10" t="s">
        <v>1975</v>
      </c>
      <c r="AN10" t="b">
        <v>0</v>
      </c>
      <c r="AP10" s="257"/>
      <c r="AQ10" s="257"/>
      <c r="AR10" s="257"/>
      <c r="AT10" s="257"/>
      <c r="AU10" s="257"/>
      <c r="AY10" s="257"/>
      <c r="AZ10" s="257"/>
      <c r="BA10" t="s">
        <v>373</v>
      </c>
      <c r="BB10" t="s">
        <v>139</v>
      </c>
      <c r="BC10" t="s">
        <v>2192</v>
      </c>
      <c r="BF10" s="257"/>
      <c r="BG10" s="257"/>
    </row>
    <row r="11" spans="1:59">
      <c r="A11">
        <v>151</v>
      </c>
      <c r="B11" t="s">
        <v>3552</v>
      </c>
      <c r="C11" t="s">
        <v>3553</v>
      </c>
      <c r="D11" t="s">
        <v>8</v>
      </c>
      <c r="E11" t="s">
        <v>9</v>
      </c>
      <c r="F11" t="s">
        <v>1765</v>
      </c>
      <c r="G11" s="257">
        <v>44995</v>
      </c>
      <c r="H11" s="257"/>
      <c r="I11" s="257"/>
      <c r="K11" s="368" t="s">
        <v>3982</v>
      </c>
      <c r="L11" t="s">
        <v>2193</v>
      </c>
      <c r="M11" s="257" t="s">
        <v>115</v>
      </c>
      <c r="P11" t="s">
        <v>1554</v>
      </c>
      <c r="Q11" t="s">
        <v>2198</v>
      </c>
      <c r="R11" s="257">
        <v>44992.627314814818</v>
      </c>
      <c r="S11">
        <v>2023</v>
      </c>
      <c r="T11" t="s">
        <v>2194</v>
      </c>
      <c r="U11" t="s">
        <v>678</v>
      </c>
      <c r="V11" t="s">
        <v>679</v>
      </c>
      <c r="W11" t="s">
        <v>145</v>
      </c>
      <c r="X11" t="s">
        <v>309</v>
      </c>
      <c r="Y11" s="371">
        <v>45078</v>
      </c>
      <c r="Z11" t="s">
        <v>1875</v>
      </c>
      <c r="AA11" s="257"/>
      <c r="AB11" t="s">
        <v>139</v>
      </c>
      <c r="AC11" t="s">
        <v>1875</v>
      </c>
      <c r="AD11" t="s">
        <v>1805</v>
      </c>
      <c r="AE11" s="257" t="s">
        <v>1805</v>
      </c>
      <c r="AF11" s="257"/>
      <c r="AG11" s="257"/>
      <c r="AH11" s="257"/>
      <c r="AJ11" t="s">
        <v>2191</v>
      </c>
      <c r="AK11" s="257"/>
      <c r="AL11" s="257" t="s">
        <v>2190</v>
      </c>
      <c r="AM11" t="s">
        <v>1975</v>
      </c>
      <c r="AN11" t="b">
        <v>0</v>
      </c>
      <c r="AP11" s="257"/>
      <c r="AQ11" s="257"/>
      <c r="AR11" s="257"/>
      <c r="AT11" s="257"/>
      <c r="AU11" s="257"/>
      <c r="AY11" s="257"/>
      <c r="AZ11" s="257"/>
      <c r="BA11" t="s">
        <v>373</v>
      </c>
      <c r="BB11" t="s">
        <v>139</v>
      </c>
      <c r="BC11" t="s">
        <v>2192</v>
      </c>
      <c r="BF11" s="257"/>
      <c r="BG11" s="257"/>
    </row>
    <row r="12" spans="1:59">
      <c r="A12">
        <v>162</v>
      </c>
      <c r="B12" t="s">
        <v>3616</v>
      </c>
      <c r="C12" t="s">
        <v>3617</v>
      </c>
      <c r="D12" t="s">
        <v>8</v>
      </c>
      <c r="E12" t="s">
        <v>9</v>
      </c>
      <c r="F12" t="s">
        <v>1765</v>
      </c>
      <c r="G12" s="257">
        <v>45017</v>
      </c>
      <c r="H12" s="257"/>
      <c r="I12" s="257"/>
      <c r="K12" s="368" t="s">
        <v>3982</v>
      </c>
      <c r="L12" t="s">
        <v>2193</v>
      </c>
      <c r="M12" s="257" t="s">
        <v>115</v>
      </c>
      <c r="P12" t="s">
        <v>1554</v>
      </c>
      <c r="Q12" t="s">
        <v>2198</v>
      </c>
      <c r="R12" s="257">
        <v>44992.622013888889</v>
      </c>
      <c r="S12">
        <v>2023</v>
      </c>
      <c r="T12" t="s">
        <v>2194</v>
      </c>
      <c r="U12" t="s">
        <v>678</v>
      </c>
      <c r="V12" t="s">
        <v>679</v>
      </c>
      <c r="W12" t="s">
        <v>145</v>
      </c>
      <c r="X12" t="s">
        <v>309</v>
      </c>
      <c r="Y12" s="371">
        <v>45078</v>
      </c>
      <c r="Z12" t="s">
        <v>1875</v>
      </c>
      <c r="AA12" s="257"/>
      <c r="AB12" t="s">
        <v>139</v>
      </c>
      <c r="AC12" t="s">
        <v>1875</v>
      </c>
      <c r="AD12" t="s">
        <v>1805</v>
      </c>
      <c r="AE12" s="257" t="s">
        <v>1805</v>
      </c>
      <c r="AF12" s="274"/>
      <c r="AG12" s="257"/>
      <c r="AH12" s="257"/>
      <c r="AJ12" t="s">
        <v>2191</v>
      </c>
      <c r="AK12" s="257"/>
      <c r="AL12" s="257" t="s">
        <v>2190</v>
      </c>
      <c r="AM12" t="s">
        <v>1975</v>
      </c>
      <c r="AN12" t="b">
        <v>0</v>
      </c>
      <c r="AP12" s="257"/>
      <c r="AQ12" s="257"/>
      <c r="AR12" s="257"/>
      <c r="AT12" s="257"/>
      <c r="AU12" s="257"/>
      <c r="AY12" s="257"/>
      <c r="AZ12" s="257"/>
      <c r="BA12" t="s">
        <v>373</v>
      </c>
      <c r="BB12" t="s">
        <v>139</v>
      </c>
      <c r="BC12" t="s">
        <v>2192</v>
      </c>
      <c r="BF12" s="257"/>
      <c r="BG12" s="257"/>
    </row>
    <row r="13" spans="1:59">
      <c r="A13">
        <v>172</v>
      </c>
      <c r="B13" t="s">
        <v>3590</v>
      </c>
      <c r="C13" t="s">
        <v>3591</v>
      </c>
      <c r="D13" t="s">
        <v>8</v>
      </c>
      <c r="E13" t="s">
        <v>9</v>
      </c>
      <c r="F13" t="s">
        <v>1765</v>
      </c>
      <c r="G13" s="257">
        <v>45017</v>
      </c>
      <c r="H13" s="257"/>
      <c r="I13" s="257"/>
      <c r="K13" s="368" t="s">
        <v>3982</v>
      </c>
      <c r="L13" t="s">
        <v>2193</v>
      </c>
      <c r="M13" s="257" t="s">
        <v>115</v>
      </c>
      <c r="P13" t="s">
        <v>1554</v>
      </c>
      <c r="Q13" t="s">
        <v>2198</v>
      </c>
      <c r="R13" s="257">
        <v>44992.628055555557</v>
      </c>
      <c r="S13">
        <v>2023</v>
      </c>
      <c r="T13" t="s">
        <v>2194</v>
      </c>
      <c r="U13" t="s">
        <v>678</v>
      </c>
      <c r="V13" t="s">
        <v>679</v>
      </c>
      <c r="W13" t="s">
        <v>145</v>
      </c>
      <c r="X13" t="s">
        <v>309</v>
      </c>
      <c r="Y13" s="371">
        <v>45078</v>
      </c>
      <c r="Z13" t="s">
        <v>1875</v>
      </c>
      <c r="AA13" s="257"/>
      <c r="AB13" t="s">
        <v>139</v>
      </c>
      <c r="AC13" t="s">
        <v>1875</v>
      </c>
      <c r="AD13" t="s">
        <v>1805</v>
      </c>
      <c r="AE13" s="257" t="s">
        <v>1805</v>
      </c>
      <c r="AF13" s="257"/>
      <c r="AG13" s="257"/>
      <c r="AH13" s="257"/>
      <c r="AJ13" t="s">
        <v>2191</v>
      </c>
      <c r="AK13" s="257"/>
      <c r="AL13" s="257" t="s">
        <v>2190</v>
      </c>
      <c r="AM13" t="s">
        <v>1975</v>
      </c>
      <c r="AN13" t="b">
        <v>0</v>
      </c>
      <c r="AP13" s="257"/>
      <c r="AQ13" s="257"/>
      <c r="AR13" s="257"/>
      <c r="AT13" s="257"/>
      <c r="AU13" s="257"/>
      <c r="AY13" s="257"/>
      <c r="AZ13" s="257"/>
      <c r="BA13" t="s">
        <v>373</v>
      </c>
      <c r="BB13" t="s">
        <v>139</v>
      </c>
      <c r="BC13" t="s">
        <v>2192</v>
      </c>
      <c r="BF13" s="257"/>
      <c r="BG13" s="257"/>
    </row>
    <row r="14" spans="1:59">
      <c r="A14">
        <v>173</v>
      </c>
      <c r="B14" t="s">
        <v>3642</v>
      </c>
      <c r="C14" t="s">
        <v>3643</v>
      </c>
      <c r="D14" t="s">
        <v>8</v>
      </c>
      <c r="E14" t="s">
        <v>9</v>
      </c>
      <c r="F14" t="s">
        <v>1765</v>
      </c>
      <c r="G14" s="257">
        <v>45030</v>
      </c>
      <c r="H14" s="257"/>
      <c r="I14" s="257"/>
      <c r="K14" s="368" t="s">
        <v>3983</v>
      </c>
      <c r="L14" t="s">
        <v>2193</v>
      </c>
      <c r="M14" s="257" t="s">
        <v>115</v>
      </c>
      <c r="P14" t="s">
        <v>1554</v>
      </c>
      <c r="Q14" t="s">
        <v>2198</v>
      </c>
      <c r="R14" s="257">
        <v>44992.621076388888</v>
      </c>
      <c r="S14">
        <v>2023</v>
      </c>
      <c r="T14" t="s">
        <v>2194</v>
      </c>
      <c r="U14" t="s">
        <v>678</v>
      </c>
      <c r="V14" t="s">
        <v>679</v>
      </c>
      <c r="W14" t="s">
        <v>145</v>
      </c>
      <c r="X14" t="s">
        <v>309</v>
      </c>
      <c r="Y14" s="371">
        <v>45078</v>
      </c>
      <c r="Z14" t="s">
        <v>1875</v>
      </c>
      <c r="AA14" s="257"/>
      <c r="AB14" t="s">
        <v>139</v>
      </c>
      <c r="AC14" t="s">
        <v>1875</v>
      </c>
      <c r="AD14" t="s">
        <v>1805</v>
      </c>
      <c r="AE14" s="257" t="s">
        <v>1805</v>
      </c>
      <c r="AF14" s="257"/>
      <c r="AG14" s="257"/>
      <c r="AH14" s="257"/>
      <c r="AJ14" t="s">
        <v>2191</v>
      </c>
      <c r="AK14" s="257"/>
      <c r="AL14" s="257" t="s">
        <v>2190</v>
      </c>
      <c r="AM14" t="s">
        <v>1975</v>
      </c>
      <c r="AN14" t="b">
        <v>0</v>
      </c>
      <c r="AP14" s="257"/>
      <c r="AQ14" s="257"/>
      <c r="AR14" s="257"/>
      <c r="AT14" s="257"/>
      <c r="AU14" s="257"/>
      <c r="AY14" s="257"/>
      <c r="AZ14" s="257"/>
      <c r="BA14" t="s">
        <v>373</v>
      </c>
      <c r="BB14" t="s">
        <v>139</v>
      </c>
      <c r="BC14" t="s">
        <v>2192</v>
      </c>
      <c r="BF14" s="257"/>
      <c r="BG14" s="257"/>
    </row>
    <row r="15" spans="1:59">
      <c r="A15">
        <v>176</v>
      </c>
      <c r="B15" t="s">
        <v>3725</v>
      </c>
      <c r="C15" t="s">
        <v>3726</v>
      </c>
      <c r="D15" t="s">
        <v>8</v>
      </c>
      <c r="E15" t="s">
        <v>9</v>
      </c>
      <c r="F15" t="s">
        <v>1765</v>
      </c>
      <c r="G15" s="257">
        <v>45048</v>
      </c>
      <c r="H15" s="257"/>
      <c r="I15" s="257"/>
      <c r="K15" s="368" t="s">
        <v>3982</v>
      </c>
      <c r="L15" t="s">
        <v>2193</v>
      </c>
      <c r="M15" s="257" t="s">
        <v>115</v>
      </c>
      <c r="P15" t="s">
        <v>1554</v>
      </c>
      <c r="Q15" t="s">
        <v>2198</v>
      </c>
      <c r="R15" s="257">
        <v>44992.626157407409</v>
      </c>
      <c r="S15">
        <v>2023</v>
      </c>
      <c r="T15" t="s">
        <v>2194</v>
      </c>
      <c r="U15" t="s">
        <v>678</v>
      </c>
      <c r="V15" t="s">
        <v>679</v>
      </c>
      <c r="W15" t="s">
        <v>145</v>
      </c>
      <c r="X15" t="s">
        <v>309</v>
      </c>
      <c r="Y15" s="371">
        <v>45078</v>
      </c>
      <c r="Z15" t="s">
        <v>1875</v>
      </c>
      <c r="AA15" s="257"/>
      <c r="AB15" t="s">
        <v>139</v>
      </c>
      <c r="AC15" t="s">
        <v>1875</v>
      </c>
      <c r="AD15" t="s">
        <v>1805</v>
      </c>
      <c r="AE15" s="257" t="s">
        <v>1805</v>
      </c>
      <c r="AF15" s="257"/>
      <c r="AG15" s="257"/>
      <c r="AH15" s="257"/>
      <c r="AJ15" t="s">
        <v>2191</v>
      </c>
      <c r="AK15" s="257"/>
      <c r="AL15" s="257" t="s">
        <v>2190</v>
      </c>
      <c r="AM15" t="s">
        <v>1975</v>
      </c>
      <c r="AN15" t="b">
        <v>0</v>
      </c>
      <c r="AP15" s="257"/>
      <c r="AQ15" s="257"/>
      <c r="AR15" s="257"/>
      <c r="AT15" s="257"/>
      <c r="AU15" s="257"/>
      <c r="AY15" s="257"/>
      <c r="AZ15" s="257"/>
      <c r="BA15" t="s">
        <v>373</v>
      </c>
      <c r="BB15" t="s">
        <v>139</v>
      </c>
      <c r="BC15" t="s">
        <v>2192</v>
      </c>
      <c r="BF15" s="257"/>
      <c r="BG15" s="257"/>
    </row>
    <row r="16" spans="1:59">
      <c r="A16">
        <v>177</v>
      </c>
      <c r="B16" t="s">
        <v>3727</v>
      </c>
      <c r="C16" t="s">
        <v>3728</v>
      </c>
      <c r="D16" t="s">
        <v>8</v>
      </c>
      <c r="E16" t="s">
        <v>9</v>
      </c>
      <c r="F16" t="s">
        <v>1765</v>
      </c>
      <c r="G16" s="257">
        <v>45048</v>
      </c>
      <c r="H16" s="257"/>
      <c r="I16" s="257"/>
      <c r="K16" s="368" t="s">
        <v>3982</v>
      </c>
      <c r="L16" t="s">
        <v>2193</v>
      </c>
      <c r="M16" s="257" t="s">
        <v>115</v>
      </c>
      <c r="P16" t="s">
        <v>1554</v>
      </c>
      <c r="Q16" t="s">
        <v>2198</v>
      </c>
      <c r="R16" s="257">
        <v>44992.626458333332</v>
      </c>
      <c r="S16">
        <v>2023</v>
      </c>
      <c r="T16" t="s">
        <v>2194</v>
      </c>
      <c r="U16" t="s">
        <v>678</v>
      </c>
      <c r="V16" t="s">
        <v>679</v>
      </c>
      <c r="W16" t="s">
        <v>145</v>
      </c>
      <c r="X16" t="s">
        <v>309</v>
      </c>
      <c r="Y16" s="371">
        <v>45078</v>
      </c>
      <c r="Z16" t="s">
        <v>1875</v>
      </c>
      <c r="AA16" s="257"/>
      <c r="AB16" t="s">
        <v>139</v>
      </c>
      <c r="AC16" t="s">
        <v>1875</v>
      </c>
      <c r="AD16" t="s">
        <v>1805</v>
      </c>
      <c r="AE16" s="257" t="s">
        <v>1805</v>
      </c>
      <c r="AF16" s="257"/>
      <c r="AG16" s="257"/>
      <c r="AH16" s="257"/>
      <c r="AJ16" t="s">
        <v>2191</v>
      </c>
      <c r="AK16" s="257"/>
      <c r="AL16" s="257" t="s">
        <v>2190</v>
      </c>
      <c r="AM16" t="s">
        <v>1975</v>
      </c>
      <c r="AN16" t="b">
        <v>0</v>
      </c>
      <c r="AP16" s="257"/>
      <c r="AQ16" s="257"/>
      <c r="AR16" s="257"/>
      <c r="AT16" s="257"/>
      <c r="AU16" s="257"/>
      <c r="AY16" s="257"/>
      <c r="AZ16" s="257"/>
      <c r="BA16" t="s">
        <v>373</v>
      </c>
      <c r="BB16" t="s">
        <v>139</v>
      </c>
      <c r="BC16" t="s">
        <v>2192</v>
      </c>
      <c r="BF16" s="257"/>
      <c r="BG16" s="257"/>
    </row>
    <row r="17" spans="1:59">
      <c r="A17">
        <v>178</v>
      </c>
      <c r="B17" t="s">
        <v>3729</v>
      </c>
      <c r="C17" t="s">
        <v>3730</v>
      </c>
      <c r="D17" t="s">
        <v>8</v>
      </c>
      <c r="E17" t="s">
        <v>9</v>
      </c>
      <c r="F17" t="s">
        <v>1765</v>
      </c>
      <c r="G17" s="257">
        <v>45048</v>
      </c>
      <c r="H17" s="257"/>
      <c r="I17" s="257"/>
      <c r="K17" s="368" t="s">
        <v>3982</v>
      </c>
      <c r="L17" t="s">
        <v>2193</v>
      </c>
      <c r="M17" s="257" t="s">
        <v>115</v>
      </c>
      <c r="P17" t="s">
        <v>1554</v>
      </c>
      <c r="Q17" t="s">
        <v>2198</v>
      </c>
      <c r="R17" s="257">
        <v>44992.626736111109</v>
      </c>
      <c r="S17">
        <v>2023</v>
      </c>
      <c r="T17" t="s">
        <v>2194</v>
      </c>
      <c r="U17" t="s">
        <v>678</v>
      </c>
      <c r="V17" t="s">
        <v>679</v>
      </c>
      <c r="W17" t="s">
        <v>145</v>
      </c>
      <c r="X17" t="s">
        <v>309</v>
      </c>
      <c r="Y17" s="371">
        <v>45078</v>
      </c>
      <c r="Z17" t="s">
        <v>1875</v>
      </c>
      <c r="AA17" s="257"/>
      <c r="AB17" t="s">
        <v>139</v>
      </c>
      <c r="AC17" t="s">
        <v>1875</v>
      </c>
      <c r="AD17" t="s">
        <v>1805</v>
      </c>
      <c r="AE17" s="257" t="s">
        <v>1805</v>
      </c>
      <c r="AF17" s="257"/>
      <c r="AG17" s="257"/>
      <c r="AH17" s="257"/>
      <c r="AJ17" t="s">
        <v>2191</v>
      </c>
      <c r="AK17" s="257"/>
      <c r="AL17" s="257" t="s">
        <v>2190</v>
      </c>
      <c r="AM17" t="s">
        <v>1975</v>
      </c>
      <c r="AN17" t="b">
        <v>0</v>
      </c>
      <c r="AP17" s="257"/>
      <c r="AQ17" s="257"/>
      <c r="AR17" s="257"/>
      <c r="AT17" s="257"/>
      <c r="AU17" s="257"/>
      <c r="AY17" s="257"/>
      <c r="AZ17" s="257"/>
      <c r="BA17" t="s">
        <v>373</v>
      </c>
      <c r="BB17" t="s">
        <v>139</v>
      </c>
      <c r="BC17" t="s">
        <v>2192</v>
      </c>
      <c r="BF17" s="257"/>
      <c r="BG17" s="257"/>
    </row>
    <row r="18" spans="1:59">
      <c r="A18">
        <v>188</v>
      </c>
      <c r="B18" t="s">
        <v>3935</v>
      </c>
      <c r="C18" t="s">
        <v>3510</v>
      </c>
      <c r="D18" t="s">
        <v>8</v>
      </c>
      <c r="E18" t="s">
        <v>9</v>
      </c>
      <c r="F18" t="s">
        <v>1765</v>
      </c>
      <c r="G18" s="257">
        <v>44162</v>
      </c>
      <c r="H18" s="257"/>
      <c r="I18" s="257">
        <v>45082</v>
      </c>
      <c r="J18" t="s">
        <v>2904</v>
      </c>
      <c r="K18" s="368" t="s">
        <v>3982</v>
      </c>
      <c r="L18" t="s">
        <v>2193</v>
      </c>
      <c r="M18" s="257" t="s">
        <v>115</v>
      </c>
      <c r="P18" t="s">
        <v>1556</v>
      </c>
      <c r="Q18" t="s">
        <v>2198</v>
      </c>
      <c r="R18" s="257">
        <v>44992.623576388891</v>
      </c>
      <c r="S18">
        <v>2020</v>
      </c>
      <c r="T18" t="s">
        <v>2194</v>
      </c>
      <c r="U18" t="s">
        <v>678</v>
      </c>
      <c r="V18" t="s">
        <v>679</v>
      </c>
      <c r="W18" t="s">
        <v>145</v>
      </c>
      <c r="X18" t="s">
        <v>309</v>
      </c>
      <c r="Y18" s="371">
        <v>45078</v>
      </c>
      <c r="Z18" t="s">
        <v>1875</v>
      </c>
      <c r="AA18" s="257"/>
      <c r="AB18" t="s">
        <v>139</v>
      </c>
      <c r="AC18" t="s">
        <v>1875</v>
      </c>
      <c r="AD18" t="s">
        <v>1805</v>
      </c>
      <c r="AE18" s="257" t="s">
        <v>1805</v>
      </c>
      <c r="AF18" s="257"/>
      <c r="AG18" s="257"/>
      <c r="AH18" s="257"/>
      <c r="AJ18" t="s">
        <v>2191</v>
      </c>
      <c r="AK18" s="257"/>
      <c r="AL18" s="257" t="s">
        <v>2190</v>
      </c>
      <c r="AM18" t="s">
        <v>1975</v>
      </c>
      <c r="AN18" t="b">
        <v>0</v>
      </c>
      <c r="AP18" s="257"/>
      <c r="AQ18" s="257"/>
      <c r="AR18" s="257"/>
      <c r="AT18" s="257"/>
      <c r="AU18" s="257"/>
      <c r="AY18" s="257"/>
      <c r="AZ18" s="257"/>
      <c r="BA18" t="s">
        <v>373</v>
      </c>
      <c r="BB18" t="s">
        <v>139</v>
      </c>
      <c r="BC18" t="s">
        <v>2192</v>
      </c>
      <c r="BF18" s="257"/>
      <c r="BG18" s="257"/>
    </row>
    <row r="19" spans="1:59">
      <c r="A19">
        <v>193</v>
      </c>
      <c r="B19" t="s">
        <v>2563</v>
      </c>
      <c r="C19" t="s">
        <v>3326</v>
      </c>
      <c r="D19" t="s">
        <v>8</v>
      </c>
      <c r="E19" t="s">
        <v>9</v>
      </c>
      <c r="F19" t="s">
        <v>1767</v>
      </c>
      <c r="G19" s="257">
        <v>44929</v>
      </c>
      <c r="H19" s="257"/>
      <c r="I19" s="257"/>
      <c r="K19" s="368" t="s">
        <v>3984</v>
      </c>
      <c r="L19" t="s">
        <v>2193</v>
      </c>
      <c r="M19" s="257" t="s">
        <v>114</v>
      </c>
      <c r="P19" t="s">
        <v>1554</v>
      </c>
      <c r="Q19" t="s">
        <v>2198</v>
      </c>
      <c r="R19" s="257">
        <v>44992.542222222219</v>
      </c>
      <c r="S19">
        <v>2023</v>
      </c>
      <c r="T19" t="s">
        <v>2194</v>
      </c>
      <c r="U19" t="s">
        <v>678</v>
      </c>
      <c r="V19" t="s">
        <v>679</v>
      </c>
      <c r="W19" t="s">
        <v>145</v>
      </c>
      <c r="X19" t="s">
        <v>309</v>
      </c>
      <c r="Y19" s="371">
        <v>45078</v>
      </c>
      <c r="Z19" t="s">
        <v>1875</v>
      </c>
      <c r="AA19" s="257"/>
      <c r="AB19" t="s">
        <v>139</v>
      </c>
      <c r="AC19" t="s">
        <v>1875</v>
      </c>
      <c r="AD19" t="s">
        <v>1805</v>
      </c>
      <c r="AE19" s="257" t="s">
        <v>1805</v>
      </c>
      <c r="AF19" s="257"/>
      <c r="AG19" s="257"/>
      <c r="AH19" s="257"/>
      <c r="AJ19" t="s">
        <v>2191</v>
      </c>
      <c r="AK19" s="257"/>
      <c r="AL19" s="257" t="s">
        <v>2190</v>
      </c>
      <c r="AM19" t="s">
        <v>1975</v>
      </c>
      <c r="AN19" t="b">
        <v>0</v>
      </c>
      <c r="AP19" s="257"/>
      <c r="AQ19" s="257"/>
      <c r="AR19" s="257"/>
      <c r="AT19" s="257"/>
      <c r="AU19" s="257"/>
      <c r="AY19" s="257"/>
      <c r="AZ19" s="257"/>
      <c r="BA19" t="s">
        <v>373</v>
      </c>
      <c r="BB19" t="s">
        <v>139</v>
      </c>
      <c r="BC19" t="s">
        <v>2192</v>
      </c>
      <c r="BF19" s="257"/>
      <c r="BG19" s="257"/>
    </row>
    <row r="20" spans="1:59">
      <c r="A20">
        <v>197</v>
      </c>
      <c r="B20" t="s">
        <v>3785</v>
      </c>
      <c r="C20" t="s">
        <v>3786</v>
      </c>
      <c r="D20" t="s">
        <v>8</v>
      </c>
      <c r="E20" t="s">
        <v>9</v>
      </c>
      <c r="F20" t="s">
        <v>1767</v>
      </c>
      <c r="G20" s="257">
        <v>45048</v>
      </c>
      <c r="H20" s="257"/>
      <c r="I20" s="257"/>
      <c r="K20" s="368" t="s">
        <v>3985</v>
      </c>
      <c r="L20" t="s">
        <v>2193</v>
      </c>
      <c r="M20" s="257" t="s">
        <v>115</v>
      </c>
      <c r="P20" t="s">
        <v>1554</v>
      </c>
      <c r="Q20" t="s">
        <v>2198</v>
      </c>
      <c r="R20" s="257">
        <v>44992.544652777775</v>
      </c>
      <c r="S20">
        <v>2023</v>
      </c>
      <c r="T20" t="s">
        <v>2194</v>
      </c>
      <c r="U20" t="s">
        <v>678</v>
      </c>
      <c r="V20" t="s">
        <v>679</v>
      </c>
      <c r="W20" t="s">
        <v>145</v>
      </c>
      <c r="X20" t="s">
        <v>309</v>
      </c>
      <c r="Y20" s="371">
        <v>45078</v>
      </c>
      <c r="Z20" t="s">
        <v>1875</v>
      </c>
      <c r="AA20" s="257"/>
      <c r="AB20" t="s">
        <v>139</v>
      </c>
      <c r="AC20" t="s">
        <v>1875</v>
      </c>
      <c r="AD20" t="s">
        <v>1805</v>
      </c>
      <c r="AE20" s="257" t="s">
        <v>1805</v>
      </c>
      <c r="AF20" s="257"/>
      <c r="AG20" s="257"/>
      <c r="AH20" s="257"/>
      <c r="AJ20" t="s">
        <v>2191</v>
      </c>
      <c r="AK20" s="257"/>
      <c r="AL20" s="257" t="s">
        <v>2190</v>
      </c>
      <c r="AM20" t="s">
        <v>1975</v>
      </c>
      <c r="AN20" t="b">
        <v>0</v>
      </c>
      <c r="AP20" s="257"/>
      <c r="AQ20" s="257"/>
      <c r="AR20" s="257"/>
      <c r="AT20" s="257"/>
      <c r="AU20" s="257"/>
      <c r="AY20" s="257"/>
      <c r="AZ20" s="257"/>
      <c r="BA20" t="s">
        <v>373</v>
      </c>
      <c r="BB20" t="s">
        <v>139</v>
      </c>
      <c r="BC20" t="s">
        <v>2192</v>
      </c>
      <c r="BF20" s="257"/>
      <c r="BG20" s="257"/>
    </row>
    <row r="21" spans="1:59">
      <c r="A21">
        <v>199</v>
      </c>
      <c r="B21" t="s">
        <v>3792</v>
      </c>
      <c r="C21" t="s">
        <v>3793</v>
      </c>
      <c r="D21" t="s">
        <v>8</v>
      </c>
      <c r="E21" t="s">
        <v>9</v>
      </c>
      <c r="F21" t="s">
        <v>1767</v>
      </c>
      <c r="G21" s="257">
        <v>45063</v>
      </c>
      <c r="H21" s="257"/>
      <c r="I21" s="257"/>
      <c r="K21" s="368" t="s">
        <v>3986</v>
      </c>
      <c r="L21" t="s">
        <v>2193</v>
      </c>
      <c r="M21" s="257" t="s">
        <v>115</v>
      </c>
      <c r="P21" t="s">
        <v>1554</v>
      </c>
      <c r="Q21" t="s">
        <v>2198</v>
      </c>
      <c r="R21" s="257">
        <v>44992.527777777781</v>
      </c>
      <c r="S21">
        <v>2023</v>
      </c>
      <c r="T21" t="s">
        <v>2194</v>
      </c>
      <c r="U21" t="s">
        <v>678</v>
      </c>
      <c r="V21" t="s">
        <v>679</v>
      </c>
      <c r="W21" t="s">
        <v>145</v>
      </c>
      <c r="X21" t="s">
        <v>309</v>
      </c>
      <c r="Y21" s="371">
        <v>45078</v>
      </c>
      <c r="Z21" t="s">
        <v>1875</v>
      </c>
      <c r="AA21" s="257"/>
      <c r="AB21" t="s">
        <v>139</v>
      </c>
      <c r="AC21" t="s">
        <v>1875</v>
      </c>
      <c r="AD21" t="s">
        <v>1805</v>
      </c>
      <c r="AE21" s="257" t="s">
        <v>1805</v>
      </c>
      <c r="AF21" s="257"/>
      <c r="AG21" s="257"/>
      <c r="AH21" s="257"/>
      <c r="AJ21" t="s">
        <v>2191</v>
      </c>
      <c r="AK21" s="257"/>
      <c r="AL21" s="257" t="s">
        <v>2190</v>
      </c>
      <c r="AM21" t="s">
        <v>1975</v>
      </c>
      <c r="AN21" t="b">
        <v>0</v>
      </c>
      <c r="AP21" s="257"/>
      <c r="AQ21" s="257"/>
      <c r="AR21" s="257"/>
      <c r="AT21" s="257"/>
      <c r="AU21" s="257"/>
      <c r="AY21" s="257"/>
      <c r="AZ21" s="257"/>
      <c r="BA21" t="s">
        <v>373</v>
      </c>
      <c r="BB21" t="s">
        <v>139</v>
      </c>
      <c r="BC21" t="s">
        <v>2192</v>
      </c>
      <c r="BF21" s="257"/>
      <c r="BG21" s="257"/>
    </row>
    <row r="22" spans="1:59">
      <c r="A22">
        <v>200</v>
      </c>
      <c r="B22" t="s">
        <v>2432</v>
      </c>
      <c r="C22" t="s">
        <v>3789</v>
      </c>
      <c r="D22" t="s">
        <v>8</v>
      </c>
      <c r="E22" t="s">
        <v>9</v>
      </c>
      <c r="F22" t="s">
        <v>1767</v>
      </c>
      <c r="G22" s="257">
        <v>45066</v>
      </c>
      <c r="H22" s="257"/>
      <c r="I22" s="257"/>
      <c r="K22" s="368" t="s">
        <v>3980</v>
      </c>
      <c r="L22" t="s">
        <v>2193</v>
      </c>
      <c r="M22" s="257" t="s">
        <v>115</v>
      </c>
      <c r="P22" t="s">
        <v>1554</v>
      </c>
      <c r="Q22" t="s">
        <v>2198</v>
      </c>
      <c r="R22" s="257">
        <v>44992.528414351851</v>
      </c>
      <c r="S22">
        <v>2023</v>
      </c>
      <c r="T22" t="s">
        <v>2194</v>
      </c>
      <c r="U22" t="s">
        <v>678</v>
      </c>
      <c r="V22" t="s">
        <v>679</v>
      </c>
      <c r="W22" t="s">
        <v>145</v>
      </c>
      <c r="X22" t="s">
        <v>309</v>
      </c>
      <c r="Y22" s="371">
        <v>45078</v>
      </c>
      <c r="Z22" t="s">
        <v>1875</v>
      </c>
      <c r="AA22" s="257"/>
      <c r="AB22" t="s">
        <v>139</v>
      </c>
      <c r="AC22" t="s">
        <v>1875</v>
      </c>
      <c r="AD22" t="s">
        <v>1805</v>
      </c>
      <c r="AE22" s="257" t="s">
        <v>1805</v>
      </c>
      <c r="AF22" s="257"/>
      <c r="AG22" s="257"/>
      <c r="AH22" s="257"/>
      <c r="AJ22" t="s">
        <v>2191</v>
      </c>
      <c r="AK22" s="257"/>
      <c r="AL22" s="257" t="s">
        <v>2190</v>
      </c>
      <c r="AM22" t="s">
        <v>1975</v>
      </c>
      <c r="AN22" t="b">
        <v>0</v>
      </c>
      <c r="AP22" s="257"/>
      <c r="AQ22" s="257"/>
      <c r="AR22" s="257"/>
      <c r="AT22" s="257"/>
      <c r="AU22" s="257"/>
      <c r="AY22" s="257"/>
      <c r="AZ22" s="257"/>
      <c r="BA22" t="s">
        <v>373</v>
      </c>
      <c r="BB22" t="s">
        <v>139</v>
      </c>
      <c r="BC22" t="s">
        <v>2192</v>
      </c>
      <c r="BF22" s="257"/>
      <c r="BG22" s="257"/>
    </row>
    <row r="23" spans="1:59">
      <c r="A23">
        <v>201</v>
      </c>
      <c r="B23" t="s">
        <v>2434</v>
      </c>
      <c r="C23" t="s">
        <v>3790</v>
      </c>
      <c r="D23" t="s">
        <v>8</v>
      </c>
      <c r="E23" t="s">
        <v>9</v>
      </c>
      <c r="F23" t="s">
        <v>1767</v>
      </c>
      <c r="G23" s="257">
        <v>45069</v>
      </c>
      <c r="H23" s="257"/>
      <c r="I23" s="257"/>
      <c r="K23" s="368" t="s">
        <v>3984</v>
      </c>
      <c r="L23" t="s">
        <v>2193</v>
      </c>
      <c r="M23" s="257" t="s">
        <v>115</v>
      </c>
      <c r="P23" t="s">
        <v>1554</v>
      </c>
      <c r="Q23" t="s">
        <v>2198</v>
      </c>
      <c r="R23" s="257">
        <v>44992.537222222221</v>
      </c>
      <c r="S23">
        <v>2023</v>
      </c>
      <c r="T23" t="s">
        <v>2194</v>
      </c>
      <c r="U23" t="s">
        <v>678</v>
      </c>
      <c r="V23" t="s">
        <v>679</v>
      </c>
      <c r="W23" t="s">
        <v>145</v>
      </c>
      <c r="X23" t="s">
        <v>309</v>
      </c>
      <c r="Y23" s="371">
        <v>45078</v>
      </c>
      <c r="Z23" t="s">
        <v>1875</v>
      </c>
      <c r="AA23" s="257"/>
      <c r="AB23" t="s">
        <v>139</v>
      </c>
      <c r="AC23" t="s">
        <v>1875</v>
      </c>
      <c r="AD23" t="s">
        <v>1805</v>
      </c>
      <c r="AE23" s="257" t="s">
        <v>1805</v>
      </c>
      <c r="AF23" s="257"/>
      <c r="AG23" s="257"/>
      <c r="AH23" s="257"/>
      <c r="AJ23" t="s">
        <v>2191</v>
      </c>
      <c r="AK23" s="257"/>
      <c r="AL23" s="257" t="s">
        <v>2190</v>
      </c>
      <c r="AM23" t="s">
        <v>1975</v>
      </c>
      <c r="AN23" t="b">
        <v>0</v>
      </c>
      <c r="AP23" s="257"/>
      <c r="AQ23" s="257"/>
      <c r="AR23" s="257"/>
      <c r="AT23" s="257"/>
      <c r="AU23" s="257"/>
      <c r="AY23" s="257"/>
      <c r="AZ23" s="257"/>
      <c r="BA23" t="s">
        <v>373</v>
      </c>
      <c r="BB23" t="s">
        <v>139</v>
      </c>
      <c r="BC23" t="s">
        <v>2192</v>
      </c>
      <c r="BF23" s="257"/>
      <c r="BG23" s="257"/>
    </row>
    <row r="24" spans="1:59">
      <c r="A24">
        <v>202</v>
      </c>
      <c r="B24" t="s">
        <v>2442</v>
      </c>
      <c r="C24" t="s">
        <v>3791</v>
      </c>
      <c r="D24" t="s">
        <v>8</v>
      </c>
      <c r="E24" t="s">
        <v>9</v>
      </c>
      <c r="F24" t="s">
        <v>1767</v>
      </c>
      <c r="G24" s="257">
        <v>45070</v>
      </c>
      <c r="H24" s="257"/>
      <c r="I24" s="257"/>
      <c r="K24" s="368" t="s">
        <v>3981</v>
      </c>
      <c r="L24" t="s">
        <v>2193</v>
      </c>
      <c r="M24" s="257" t="s">
        <v>115</v>
      </c>
      <c r="P24" t="s">
        <v>1554</v>
      </c>
      <c r="Q24" t="s">
        <v>2198</v>
      </c>
      <c r="R24" s="257">
        <v>44992.546851851854</v>
      </c>
      <c r="S24">
        <v>2023</v>
      </c>
      <c r="T24" t="s">
        <v>2194</v>
      </c>
      <c r="U24" t="s">
        <v>678</v>
      </c>
      <c r="V24" t="s">
        <v>679</v>
      </c>
      <c r="W24" t="s">
        <v>145</v>
      </c>
      <c r="X24" t="s">
        <v>309</v>
      </c>
      <c r="Y24" s="371">
        <v>45078</v>
      </c>
      <c r="Z24" t="s">
        <v>1875</v>
      </c>
      <c r="AA24" s="257"/>
      <c r="AB24" t="s">
        <v>139</v>
      </c>
      <c r="AC24" t="s">
        <v>1875</v>
      </c>
      <c r="AD24" t="s">
        <v>1805</v>
      </c>
      <c r="AE24" s="257" t="s">
        <v>1805</v>
      </c>
      <c r="AF24" s="257"/>
      <c r="AG24" s="257"/>
      <c r="AH24" s="257"/>
      <c r="AJ24" t="s">
        <v>2191</v>
      </c>
      <c r="AK24" s="257"/>
      <c r="AL24" s="257" t="s">
        <v>2190</v>
      </c>
      <c r="AM24" t="s">
        <v>1975</v>
      </c>
      <c r="AN24" t="b">
        <v>0</v>
      </c>
      <c r="AP24" s="257"/>
      <c r="AQ24" s="257"/>
      <c r="AR24" s="257"/>
      <c r="AT24" s="257"/>
      <c r="AU24" s="257"/>
      <c r="AZ24" s="257"/>
      <c r="BA24" t="s">
        <v>373</v>
      </c>
      <c r="BB24" t="s">
        <v>139</v>
      </c>
      <c r="BC24" t="s">
        <v>2192</v>
      </c>
      <c r="BF24" s="257"/>
      <c r="BG24" s="257"/>
    </row>
    <row r="25" spans="1:59">
      <c r="A25">
        <v>203</v>
      </c>
      <c r="B25" t="s">
        <v>2946</v>
      </c>
      <c r="C25" t="s">
        <v>3794</v>
      </c>
      <c r="D25" t="s">
        <v>8</v>
      </c>
      <c r="E25" t="s">
        <v>9</v>
      </c>
      <c r="F25" t="s">
        <v>1767</v>
      </c>
      <c r="G25" s="257">
        <v>45075</v>
      </c>
      <c r="H25" s="257"/>
      <c r="I25" s="257"/>
      <c r="K25" s="368" t="s">
        <v>3987</v>
      </c>
      <c r="L25" t="s">
        <v>2193</v>
      </c>
      <c r="M25" s="257" t="s">
        <v>115</v>
      </c>
      <c r="P25" t="s">
        <v>1554</v>
      </c>
      <c r="Q25" t="s">
        <v>2198</v>
      </c>
      <c r="R25" s="257">
        <v>44992.547118055554</v>
      </c>
      <c r="S25">
        <v>2023</v>
      </c>
      <c r="T25" t="s">
        <v>2194</v>
      </c>
      <c r="U25" t="s">
        <v>678</v>
      </c>
      <c r="V25" t="s">
        <v>679</v>
      </c>
      <c r="W25" t="s">
        <v>145</v>
      </c>
      <c r="X25" t="s">
        <v>309</v>
      </c>
      <c r="Y25" s="371">
        <v>45078</v>
      </c>
      <c r="Z25" t="s">
        <v>1875</v>
      </c>
      <c r="AA25" s="257"/>
      <c r="AB25" t="s">
        <v>139</v>
      </c>
      <c r="AC25" t="s">
        <v>1875</v>
      </c>
      <c r="AD25" t="s">
        <v>1805</v>
      </c>
      <c r="AE25" s="257" t="s">
        <v>1805</v>
      </c>
      <c r="AF25" s="257"/>
      <c r="AG25" s="257"/>
      <c r="AH25" s="257"/>
      <c r="AJ25" t="s">
        <v>2191</v>
      </c>
      <c r="AK25" s="257"/>
      <c r="AL25" s="257" t="s">
        <v>2190</v>
      </c>
      <c r="AM25" t="s">
        <v>1975</v>
      </c>
      <c r="AN25" t="b">
        <v>0</v>
      </c>
      <c r="AP25" s="257"/>
      <c r="AQ25" s="257"/>
      <c r="AR25" s="257"/>
      <c r="AT25" s="257"/>
      <c r="AU25" s="257"/>
      <c r="AZ25" s="257"/>
      <c r="BA25" t="s">
        <v>373</v>
      </c>
      <c r="BB25" t="s">
        <v>139</v>
      </c>
      <c r="BC25" t="s">
        <v>2192</v>
      </c>
      <c r="BF25" s="257"/>
      <c r="BG25" s="257"/>
    </row>
    <row r="26" spans="1:59">
      <c r="A26">
        <v>204</v>
      </c>
      <c r="B26" t="s">
        <v>3837</v>
      </c>
      <c r="C26" t="s">
        <v>3838</v>
      </c>
      <c r="D26" t="s">
        <v>8</v>
      </c>
      <c r="E26" t="s">
        <v>9</v>
      </c>
      <c r="F26" t="s">
        <v>1767</v>
      </c>
      <c r="G26" s="257">
        <v>45082</v>
      </c>
      <c r="H26" s="257"/>
      <c r="I26" s="257"/>
      <c r="K26" s="368" t="s">
        <v>3984</v>
      </c>
      <c r="L26" t="s">
        <v>2193</v>
      </c>
      <c r="M26" s="257" t="s">
        <v>115</v>
      </c>
      <c r="P26" t="s">
        <v>1555</v>
      </c>
      <c r="Q26" t="s">
        <v>2198</v>
      </c>
      <c r="R26" s="257">
        <v>44992.53633101852</v>
      </c>
      <c r="S26">
        <v>2023</v>
      </c>
      <c r="T26" t="s">
        <v>2194</v>
      </c>
      <c r="U26" t="s">
        <v>678</v>
      </c>
      <c r="V26" t="s">
        <v>679</v>
      </c>
      <c r="W26" t="s">
        <v>145</v>
      </c>
      <c r="X26" t="s">
        <v>309</v>
      </c>
      <c r="Y26" s="371">
        <v>45078</v>
      </c>
      <c r="Z26" t="s">
        <v>1875</v>
      </c>
      <c r="AA26" s="257"/>
      <c r="AB26" t="s">
        <v>139</v>
      </c>
      <c r="AC26" t="s">
        <v>1875</v>
      </c>
      <c r="AD26" t="s">
        <v>1805</v>
      </c>
      <c r="AE26" s="257" t="s">
        <v>1805</v>
      </c>
      <c r="AF26" s="257"/>
      <c r="AG26" s="257"/>
      <c r="AH26" s="257"/>
      <c r="AJ26" t="s">
        <v>2191</v>
      </c>
      <c r="AK26" s="257"/>
      <c r="AL26" s="257" t="s">
        <v>2190</v>
      </c>
      <c r="AM26" t="s">
        <v>1975</v>
      </c>
      <c r="AN26" t="b">
        <v>0</v>
      </c>
      <c r="AP26" s="257"/>
      <c r="AQ26" s="257"/>
      <c r="AR26" s="257"/>
      <c r="AT26" s="257"/>
      <c r="AU26" s="257"/>
      <c r="AZ26" s="257"/>
      <c r="BA26" t="s">
        <v>373</v>
      </c>
      <c r="BB26" t="s">
        <v>139</v>
      </c>
      <c r="BC26" t="s">
        <v>2192</v>
      </c>
      <c r="BF26" s="257"/>
      <c r="BG26" s="257"/>
    </row>
    <row r="27" spans="1:59">
      <c r="A27">
        <v>205</v>
      </c>
      <c r="B27" t="s">
        <v>3839</v>
      </c>
      <c r="C27" t="s">
        <v>3840</v>
      </c>
      <c r="D27" t="s">
        <v>8</v>
      </c>
      <c r="E27" t="s">
        <v>9</v>
      </c>
      <c r="F27" t="s">
        <v>1767</v>
      </c>
      <c r="G27" s="257">
        <v>45082</v>
      </c>
      <c r="H27" s="257"/>
      <c r="I27" s="257"/>
      <c r="K27" s="368" t="s">
        <v>3988</v>
      </c>
      <c r="L27" t="s">
        <v>2193</v>
      </c>
      <c r="M27" s="257" t="s">
        <v>115</v>
      </c>
      <c r="P27" t="s">
        <v>1555</v>
      </c>
      <c r="Q27" t="s">
        <v>2198</v>
      </c>
      <c r="R27" s="257">
        <v>44992.533379629633</v>
      </c>
      <c r="S27">
        <v>2023</v>
      </c>
      <c r="T27" t="s">
        <v>2194</v>
      </c>
      <c r="U27" t="s">
        <v>678</v>
      </c>
      <c r="V27" t="s">
        <v>679</v>
      </c>
      <c r="W27" t="s">
        <v>145</v>
      </c>
      <c r="X27" t="s">
        <v>309</v>
      </c>
      <c r="Y27" s="371">
        <v>45078</v>
      </c>
      <c r="Z27" t="s">
        <v>1875</v>
      </c>
      <c r="AA27" s="257"/>
      <c r="AB27" t="s">
        <v>139</v>
      </c>
      <c r="AC27" t="s">
        <v>1875</v>
      </c>
      <c r="AD27" t="s">
        <v>1805</v>
      </c>
      <c r="AE27" s="257" t="s">
        <v>1805</v>
      </c>
      <c r="AF27" s="257"/>
      <c r="AG27" s="257"/>
      <c r="AH27" s="257"/>
      <c r="AJ27" t="s">
        <v>2191</v>
      </c>
      <c r="AK27" s="257"/>
      <c r="AL27" s="257" t="s">
        <v>2190</v>
      </c>
      <c r="AM27" t="s">
        <v>1975</v>
      </c>
      <c r="AN27" t="b">
        <v>0</v>
      </c>
      <c r="AP27" s="257"/>
      <c r="AQ27" s="257"/>
      <c r="AR27" s="257"/>
      <c r="AT27" s="257"/>
      <c r="AU27" s="257"/>
      <c r="AZ27" s="257"/>
      <c r="BA27" t="s">
        <v>373</v>
      </c>
      <c r="BB27" t="s">
        <v>139</v>
      </c>
      <c r="BC27" t="s">
        <v>2192</v>
      </c>
      <c r="BF27" s="257"/>
      <c r="BG27" s="257"/>
    </row>
    <row r="28" spans="1:59">
      <c r="A28">
        <v>206</v>
      </c>
      <c r="B28" t="s">
        <v>3841</v>
      </c>
      <c r="C28" t="s">
        <v>3842</v>
      </c>
      <c r="D28" t="s">
        <v>8</v>
      </c>
      <c r="E28" t="s">
        <v>9</v>
      </c>
      <c r="F28" t="s">
        <v>1767</v>
      </c>
      <c r="G28" s="257">
        <v>45082</v>
      </c>
      <c r="H28" s="257"/>
      <c r="I28" s="257"/>
      <c r="K28" s="368" t="s">
        <v>3984</v>
      </c>
      <c r="L28" t="s">
        <v>2193</v>
      </c>
      <c r="M28" s="257" t="s">
        <v>115</v>
      </c>
      <c r="P28" t="s">
        <v>1555</v>
      </c>
      <c r="Q28" t="s">
        <v>2198</v>
      </c>
      <c r="R28" s="257">
        <v>44992.537476851852</v>
      </c>
      <c r="S28">
        <v>2023</v>
      </c>
      <c r="T28" t="s">
        <v>2194</v>
      </c>
      <c r="U28" t="s">
        <v>678</v>
      </c>
      <c r="V28" t="s">
        <v>679</v>
      </c>
      <c r="W28" t="s">
        <v>145</v>
      </c>
      <c r="X28" t="s">
        <v>309</v>
      </c>
      <c r="Y28" s="371">
        <v>45078</v>
      </c>
      <c r="Z28" t="s">
        <v>1875</v>
      </c>
      <c r="AA28" s="257"/>
      <c r="AB28" t="s">
        <v>139</v>
      </c>
      <c r="AC28" t="s">
        <v>1875</v>
      </c>
      <c r="AD28" t="s">
        <v>1805</v>
      </c>
      <c r="AE28" s="257" t="s">
        <v>1805</v>
      </c>
      <c r="AF28" s="257"/>
      <c r="AG28" s="257"/>
      <c r="AH28" s="257"/>
      <c r="AJ28" t="s">
        <v>2191</v>
      </c>
      <c r="AK28" s="257"/>
      <c r="AL28" s="257" t="s">
        <v>2190</v>
      </c>
      <c r="AM28" t="s">
        <v>1975</v>
      </c>
      <c r="AN28" t="b">
        <v>0</v>
      </c>
      <c r="AP28" s="257"/>
      <c r="AQ28" s="257"/>
      <c r="AR28" s="257"/>
      <c r="AT28" s="257"/>
      <c r="AU28" s="257"/>
      <c r="AZ28" s="257"/>
      <c r="BA28" t="s">
        <v>373</v>
      </c>
      <c r="BB28" t="s">
        <v>139</v>
      </c>
      <c r="BC28" t="s">
        <v>2192</v>
      </c>
      <c r="BF28" s="257"/>
      <c r="BG28" s="257"/>
    </row>
    <row r="29" spans="1:59">
      <c r="A29">
        <v>207</v>
      </c>
      <c r="B29" t="s">
        <v>2949</v>
      </c>
      <c r="C29" t="s">
        <v>3843</v>
      </c>
      <c r="D29" t="s">
        <v>8</v>
      </c>
      <c r="E29" t="s">
        <v>9</v>
      </c>
      <c r="F29" t="s">
        <v>1767</v>
      </c>
      <c r="G29" s="257">
        <v>45082</v>
      </c>
      <c r="H29" s="257"/>
      <c r="I29" s="257"/>
      <c r="K29" s="368" t="s">
        <v>3984</v>
      </c>
      <c r="L29" t="s">
        <v>2193</v>
      </c>
      <c r="M29" s="257" t="s">
        <v>115</v>
      </c>
      <c r="P29" t="s">
        <v>1555</v>
      </c>
      <c r="Q29" t="s">
        <v>2198</v>
      </c>
      <c r="R29" s="257">
        <v>44992.537754629629</v>
      </c>
      <c r="S29">
        <v>2023</v>
      </c>
      <c r="T29" t="s">
        <v>2194</v>
      </c>
      <c r="U29" t="s">
        <v>678</v>
      </c>
      <c r="V29" t="s">
        <v>679</v>
      </c>
      <c r="W29" t="s">
        <v>145</v>
      </c>
      <c r="X29" t="s">
        <v>309</v>
      </c>
      <c r="Y29" s="371">
        <v>45078</v>
      </c>
      <c r="Z29" t="s">
        <v>1875</v>
      </c>
      <c r="AA29" s="257"/>
      <c r="AB29" t="s">
        <v>139</v>
      </c>
      <c r="AC29" t="s">
        <v>1875</v>
      </c>
      <c r="AD29" t="s">
        <v>1805</v>
      </c>
      <c r="AE29" s="257" t="s">
        <v>1805</v>
      </c>
      <c r="AF29" s="257"/>
      <c r="AG29" s="257"/>
      <c r="AH29" s="257"/>
      <c r="AJ29" t="s">
        <v>2191</v>
      </c>
      <c r="AK29" s="257"/>
      <c r="AL29" s="257" t="s">
        <v>2190</v>
      </c>
      <c r="AM29" t="s">
        <v>1975</v>
      </c>
      <c r="AN29" t="b">
        <v>0</v>
      </c>
      <c r="AP29" s="257"/>
      <c r="AQ29" s="257"/>
      <c r="AR29" s="257"/>
      <c r="AT29" s="257"/>
      <c r="AU29" s="257"/>
      <c r="AZ29" s="257"/>
      <c r="BA29" t="s">
        <v>373</v>
      </c>
      <c r="BB29" t="s">
        <v>139</v>
      </c>
      <c r="BC29" t="s">
        <v>2192</v>
      </c>
      <c r="BF29" s="257"/>
      <c r="BG29" s="257"/>
    </row>
    <row r="30" spans="1:59">
      <c r="A30">
        <v>208</v>
      </c>
      <c r="B30" t="s">
        <v>3844</v>
      </c>
      <c r="C30" t="s">
        <v>3845</v>
      </c>
      <c r="D30" t="s">
        <v>8</v>
      </c>
      <c r="E30" t="s">
        <v>9</v>
      </c>
      <c r="F30" t="s">
        <v>1767</v>
      </c>
      <c r="G30" s="257">
        <v>45082</v>
      </c>
      <c r="H30" s="257"/>
      <c r="I30" s="257"/>
      <c r="K30" s="368" t="s">
        <v>3984</v>
      </c>
      <c r="L30" t="s">
        <v>2193</v>
      </c>
      <c r="M30" s="257" t="s">
        <v>115</v>
      </c>
      <c r="P30" t="s">
        <v>1555</v>
      </c>
      <c r="Q30" t="s">
        <v>2198</v>
      </c>
      <c r="R30" s="257">
        <v>44992.633599537039</v>
      </c>
      <c r="S30">
        <v>2023</v>
      </c>
      <c r="T30" t="s">
        <v>2194</v>
      </c>
      <c r="U30" t="s">
        <v>678</v>
      </c>
      <c r="V30" t="s">
        <v>679</v>
      </c>
      <c r="W30" t="s">
        <v>145</v>
      </c>
      <c r="X30" t="s">
        <v>309</v>
      </c>
      <c r="Y30" s="371">
        <v>45078</v>
      </c>
      <c r="Z30" t="s">
        <v>1875</v>
      </c>
      <c r="AA30" s="257"/>
      <c r="AB30" t="s">
        <v>139</v>
      </c>
      <c r="AC30" t="s">
        <v>1875</v>
      </c>
      <c r="AD30" t="s">
        <v>1805</v>
      </c>
      <c r="AE30" s="257" t="s">
        <v>1805</v>
      </c>
      <c r="AF30" s="257"/>
      <c r="AG30" s="257"/>
      <c r="AH30" s="257"/>
      <c r="AJ30" t="s">
        <v>2191</v>
      </c>
      <c r="AK30" s="257"/>
      <c r="AL30" s="257" t="s">
        <v>2190</v>
      </c>
      <c r="AM30" t="s">
        <v>1975</v>
      </c>
      <c r="AN30" t="b">
        <v>0</v>
      </c>
      <c r="AP30" s="257"/>
      <c r="AQ30" s="257"/>
      <c r="AR30" s="257"/>
      <c r="AT30" s="257"/>
      <c r="AU30" s="257"/>
      <c r="AZ30" s="257"/>
      <c r="BA30" t="s">
        <v>373</v>
      </c>
      <c r="BB30" t="s">
        <v>139</v>
      </c>
      <c r="BC30" t="s">
        <v>2192</v>
      </c>
      <c r="BF30" s="257"/>
      <c r="BG30" s="257"/>
    </row>
    <row r="31" spans="1:59">
      <c r="A31">
        <v>210</v>
      </c>
      <c r="B31" t="s">
        <v>3082</v>
      </c>
      <c r="C31" t="s">
        <v>3847</v>
      </c>
      <c r="D31" t="s">
        <v>8</v>
      </c>
      <c r="E31" t="s">
        <v>9</v>
      </c>
      <c r="F31" t="s">
        <v>1767</v>
      </c>
      <c r="G31" s="257">
        <v>45086</v>
      </c>
      <c r="H31" s="257"/>
      <c r="I31" s="257"/>
      <c r="K31" s="368" t="s">
        <v>3989</v>
      </c>
      <c r="L31" t="s">
        <v>2193</v>
      </c>
      <c r="M31" s="257" t="s">
        <v>115</v>
      </c>
      <c r="P31" t="s">
        <v>1555</v>
      </c>
      <c r="Q31" t="s">
        <v>2198</v>
      </c>
      <c r="R31" s="257">
        <v>44992.611122685186</v>
      </c>
      <c r="S31">
        <v>2023</v>
      </c>
      <c r="T31" t="s">
        <v>2194</v>
      </c>
      <c r="U31" t="s">
        <v>678</v>
      </c>
      <c r="V31" t="s">
        <v>679</v>
      </c>
      <c r="W31" t="s">
        <v>145</v>
      </c>
      <c r="X31" t="s">
        <v>309</v>
      </c>
      <c r="Y31" s="371">
        <v>45078</v>
      </c>
      <c r="Z31" t="s">
        <v>1875</v>
      </c>
      <c r="AA31" s="257"/>
      <c r="AB31" t="s">
        <v>139</v>
      </c>
      <c r="AC31" t="s">
        <v>1875</v>
      </c>
      <c r="AD31" t="s">
        <v>1805</v>
      </c>
      <c r="AE31" s="257" t="s">
        <v>1805</v>
      </c>
      <c r="AF31" s="257"/>
      <c r="AG31" s="257"/>
      <c r="AH31" s="257"/>
      <c r="AJ31" t="s">
        <v>2191</v>
      </c>
      <c r="AK31" s="257"/>
      <c r="AL31" s="257" t="s">
        <v>2190</v>
      </c>
      <c r="AM31" t="s">
        <v>1975</v>
      </c>
      <c r="AN31" t="b">
        <v>0</v>
      </c>
      <c r="AP31" s="257"/>
      <c r="AQ31" s="257"/>
      <c r="AR31" s="257"/>
      <c r="AT31" s="257"/>
      <c r="AU31" s="257"/>
      <c r="AZ31" s="257"/>
      <c r="BA31" t="s">
        <v>373</v>
      </c>
      <c r="BB31" t="s">
        <v>139</v>
      </c>
      <c r="BC31" t="s">
        <v>2192</v>
      </c>
      <c r="BF31" s="257"/>
      <c r="BG31" s="257"/>
    </row>
    <row r="32" spans="1:59">
      <c r="A32">
        <v>211</v>
      </c>
      <c r="B32" t="s">
        <v>3848</v>
      </c>
      <c r="C32" t="s">
        <v>3849</v>
      </c>
      <c r="D32" t="s">
        <v>8</v>
      </c>
      <c r="E32" t="s">
        <v>9</v>
      </c>
      <c r="F32" t="s">
        <v>1767</v>
      </c>
      <c r="G32" s="257">
        <v>45090</v>
      </c>
      <c r="H32" s="257"/>
      <c r="I32" s="257"/>
      <c r="K32" s="368" t="s">
        <v>3990</v>
      </c>
      <c r="L32" t="s">
        <v>2193</v>
      </c>
      <c r="M32" s="257" t="s">
        <v>115</v>
      </c>
      <c r="P32" t="s">
        <v>1555</v>
      </c>
      <c r="Q32" t="s">
        <v>2198</v>
      </c>
      <c r="R32" s="257">
        <v>44992.534409722219</v>
      </c>
      <c r="S32">
        <v>2023</v>
      </c>
      <c r="T32" t="s">
        <v>2194</v>
      </c>
      <c r="U32" t="s">
        <v>678</v>
      </c>
      <c r="V32" t="s">
        <v>679</v>
      </c>
      <c r="W32" t="s">
        <v>145</v>
      </c>
      <c r="X32" t="s">
        <v>309</v>
      </c>
      <c r="Y32" s="371">
        <v>45078</v>
      </c>
      <c r="Z32" t="s">
        <v>1875</v>
      </c>
      <c r="AA32" s="257"/>
      <c r="AB32" t="s">
        <v>139</v>
      </c>
      <c r="AC32" t="s">
        <v>1875</v>
      </c>
      <c r="AD32" t="s">
        <v>1805</v>
      </c>
      <c r="AE32" s="257" t="s">
        <v>1805</v>
      </c>
      <c r="AF32" s="257"/>
      <c r="AG32" s="257"/>
      <c r="AH32" s="257"/>
      <c r="AJ32" t="s">
        <v>2191</v>
      </c>
      <c r="AK32" s="257"/>
      <c r="AL32" s="257" t="s">
        <v>2190</v>
      </c>
      <c r="AM32" t="s">
        <v>1975</v>
      </c>
      <c r="AN32" t="b">
        <v>0</v>
      </c>
      <c r="AP32" s="257"/>
      <c r="AQ32" s="257"/>
      <c r="AR32" s="257"/>
      <c r="AT32" s="257"/>
      <c r="AU32" s="257"/>
      <c r="AZ32" s="257"/>
      <c r="BA32" t="s">
        <v>373</v>
      </c>
      <c r="BB32" t="s">
        <v>139</v>
      </c>
      <c r="BC32" t="s">
        <v>2192</v>
      </c>
      <c r="BF32" s="257"/>
      <c r="BG32" s="257"/>
    </row>
    <row r="33" spans="1:59">
      <c r="A33">
        <v>215</v>
      </c>
      <c r="B33" t="s">
        <v>3852</v>
      </c>
      <c r="C33" t="s">
        <v>3853</v>
      </c>
      <c r="D33" t="s">
        <v>8</v>
      </c>
      <c r="E33" t="s">
        <v>9</v>
      </c>
      <c r="F33" t="s">
        <v>1767</v>
      </c>
      <c r="G33" s="257">
        <v>45096</v>
      </c>
      <c r="H33" s="257"/>
      <c r="I33" s="257"/>
      <c r="K33" s="368" t="s">
        <v>3983</v>
      </c>
      <c r="L33" t="s">
        <v>2193</v>
      </c>
      <c r="M33" s="257" t="s">
        <v>115</v>
      </c>
      <c r="P33" t="s">
        <v>1555</v>
      </c>
      <c r="Q33" t="s">
        <v>2198</v>
      </c>
      <c r="R33" s="257">
        <v>44992.541597222225</v>
      </c>
      <c r="S33">
        <v>2023</v>
      </c>
      <c r="T33" t="s">
        <v>2194</v>
      </c>
      <c r="U33" t="s">
        <v>678</v>
      </c>
      <c r="V33" t="s">
        <v>679</v>
      </c>
      <c r="W33" t="s">
        <v>145</v>
      </c>
      <c r="X33" t="s">
        <v>309</v>
      </c>
      <c r="Y33" s="371">
        <v>45078</v>
      </c>
      <c r="Z33" t="s">
        <v>1875</v>
      </c>
      <c r="AA33" s="257"/>
      <c r="AB33" t="s">
        <v>139</v>
      </c>
      <c r="AC33" t="s">
        <v>1875</v>
      </c>
      <c r="AD33" t="s">
        <v>1805</v>
      </c>
      <c r="AE33" s="257" t="s">
        <v>1805</v>
      </c>
      <c r="AF33" s="257"/>
      <c r="AG33" s="257"/>
      <c r="AH33" s="257"/>
      <c r="AJ33" t="s">
        <v>2191</v>
      </c>
      <c r="AK33" s="257"/>
      <c r="AL33" s="257" t="s">
        <v>2190</v>
      </c>
      <c r="AM33" t="s">
        <v>1975</v>
      </c>
      <c r="AN33" t="b">
        <v>0</v>
      </c>
      <c r="AP33" s="257"/>
      <c r="AQ33" s="257"/>
      <c r="AR33" s="257"/>
      <c r="AT33" s="257"/>
      <c r="AU33" s="257"/>
      <c r="AZ33" s="257"/>
      <c r="BA33" t="s">
        <v>373</v>
      </c>
      <c r="BB33" t="s">
        <v>139</v>
      </c>
      <c r="BC33" t="s">
        <v>2192</v>
      </c>
      <c r="BF33" s="257"/>
      <c r="BG33" s="257"/>
    </row>
    <row r="34" spans="1:59">
      <c r="A34">
        <v>216</v>
      </c>
      <c r="B34" t="s">
        <v>2440</v>
      </c>
      <c r="C34" t="s">
        <v>3854</v>
      </c>
      <c r="D34" t="s">
        <v>8</v>
      </c>
      <c r="E34" t="s">
        <v>9</v>
      </c>
      <c r="F34" t="s">
        <v>1767</v>
      </c>
      <c r="G34" s="257">
        <v>45093</v>
      </c>
      <c r="H34" s="257"/>
      <c r="I34" s="257"/>
      <c r="K34" s="368" t="s">
        <v>3991</v>
      </c>
      <c r="L34" t="s">
        <v>2193</v>
      </c>
      <c r="M34" s="257" t="s">
        <v>115</v>
      </c>
      <c r="P34" t="s">
        <v>1555</v>
      </c>
      <c r="Q34" t="s">
        <v>2198</v>
      </c>
      <c r="R34" s="257">
        <v>44992.538090277776</v>
      </c>
      <c r="S34">
        <v>2023</v>
      </c>
      <c r="T34" t="s">
        <v>2194</v>
      </c>
      <c r="U34" t="s">
        <v>678</v>
      </c>
      <c r="V34" t="s">
        <v>679</v>
      </c>
      <c r="W34" t="s">
        <v>145</v>
      </c>
      <c r="X34" t="s">
        <v>309</v>
      </c>
      <c r="Y34" s="371">
        <v>45078</v>
      </c>
      <c r="Z34" t="s">
        <v>1875</v>
      </c>
      <c r="AA34" s="257"/>
      <c r="AB34" t="s">
        <v>139</v>
      </c>
      <c r="AC34" t="s">
        <v>1875</v>
      </c>
      <c r="AD34" t="s">
        <v>1805</v>
      </c>
      <c r="AE34" s="257" t="s">
        <v>1805</v>
      </c>
      <c r="AF34" s="257"/>
      <c r="AG34" s="257"/>
      <c r="AH34" s="257"/>
      <c r="AJ34" t="s">
        <v>2191</v>
      </c>
      <c r="AK34" s="257"/>
      <c r="AL34" s="257" t="s">
        <v>2190</v>
      </c>
      <c r="AM34" t="s">
        <v>1975</v>
      </c>
      <c r="AN34" t="b">
        <v>0</v>
      </c>
      <c r="AP34" s="257"/>
      <c r="AQ34" s="257"/>
      <c r="AR34" s="257"/>
      <c r="AT34" s="257"/>
      <c r="AU34" s="257"/>
      <c r="AZ34" s="257"/>
      <c r="BA34" t="s">
        <v>373</v>
      </c>
      <c r="BB34" t="s">
        <v>139</v>
      </c>
      <c r="BC34" t="s">
        <v>2192</v>
      </c>
      <c r="BF34" s="257"/>
      <c r="BG34" s="257"/>
    </row>
    <row r="35" spans="1:59">
      <c r="A35">
        <v>217</v>
      </c>
      <c r="B35" t="s">
        <v>2427</v>
      </c>
      <c r="C35" t="s">
        <v>3518</v>
      </c>
      <c r="D35" t="s">
        <v>8</v>
      </c>
      <c r="E35" t="s">
        <v>9</v>
      </c>
      <c r="F35" t="s">
        <v>1767</v>
      </c>
      <c r="G35" s="257">
        <v>45093</v>
      </c>
      <c r="H35" s="257"/>
      <c r="I35" s="257"/>
      <c r="K35" s="368" t="s">
        <v>3991</v>
      </c>
      <c r="L35" t="s">
        <v>2193</v>
      </c>
      <c r="M35" s="257" t="s">
        <v>115</v>
      </c>
      <c r="P35" t="s">
        <v>1555</v>
      </c>
      <c r="Q35" t="s">
        <v>2198</v>
      </c>
      <c r="R35" s="257">
        <v>44992.538414351853</v>
      </c>
      <c r="S35">
        <v>2023</v>
      </c>
      <c r="T35" t="s">
        <v>2194</v>
      </c>
      <c r="U35" t="s">
        <v>678</v>
      </c>
      <c r="V35" t="s">
        <v>679</v>
      </c>
      <c r="W35" t="s">
        <v>145</v>
      </c>
      <c r="X35" t="s">
        <v>309</v>
      </c>
      <c r="Y35" s="371">
        <v>45078</v>
      </c>
      <c r="Z35" t="s">
        <v>1875</v>
      </c>
      <c r="AA35" s="257"/>
      <c r="AB35" t="s">
        <v>139</v>
      </c>
      <c r="AC35" t="s">
        <v>1875</v>
      </c>
      <c r="AD35" t="s">
        <v>1805</v>
      </c>
      <c r="AE35" s="257" t="s">
        <v>1805</v>
      </c>
      <c r="AF35" s="257"/>
      <c r="AG35" s="257"/>
      <c r="AH35" s="257"/>
      <c r="AJ35" t="s">
        <v>2191</v>
      </c>
      <c r="AK35" s="257"/>
      <c r="AL35" s="257" t="s">
        <v>2190</v>
      </c>
      <c r="AM35" t="s">
        <v>1975</v>
      </c>
      <c r="AN35" t="b">
        <v>0</v>
      </c>
      <c r="AP35" s="257"/>
      <c r="AQ35" s="257"/>
      <c r="AR35" s="257"/>
      <c r="AT35" s="257"/>
      <c r="AU35" s="257"/>
      <c r="AZ35" s="257"/>
      <c r="BA35" t="s">
        <v>373</v>
      </c>
      <c r="BB35" t="s">
        <v>139</v>
      </c>
      <c r="BC35" t="s">
        <v>2192</v>
      </c>
      <c r="BF35" s="257"/>
      <c r="BG35" s="257"/>
    </row>
    <row r="36" spans="1:59">
      <c r="A36">
        <v>219</v>
      </c>
      <c r="B36" t="s">
        <v>3855</v>
      </c>
      <c r="C36" t="s">
        <v>3856</v>
      </c>
      <c r="D36" t="s">
        <v>8</v>
      </c>
      <c r="E36" t="s">
        <v>9</v>
      </c>
      <c r="F36" t="s">
        <v>1767</v>
      </c>
      <c r="G36" s="257">
        <v>45093</v>
      </c>
      <c r="H36" s="257"/>
      <c r="I36" s="257"/>
      <c r="K36" s="368" t="s">
        <v>3991</v>
      </c>
      <c r="L36" t="s">
        <v>2193</v>
      </c>
      <c r="M36" t="s">
        <v>115</v>
      </c>
      <c r="P36" t="s">
        <v>1555</v>
      </c>
      <c r="Q36" t="s">
        <v>2198</v>
      </c>
      <c r="R36" s="257">
        <v>44992.538657407407</v>
      </c>
      <c r="S36">
        <v>2023</v>
      </c>
      <c r="T36" t="s">
        <v>2194</v>
      </c>
      <c r="U36" t="s">
        <v>678</v>
      </c>
      <c r="V36" t="s">
        <v>679</v>
      </c>
      <c r="W36" t="s">
        <v>145</v>
      </c>
      <c r="X36" t="s">
        <v>309</v>
      </c>
      <c r="Y36" s="371">
        <v>45078</v>
      </c>
      <c r="Z36" t="s">
        <v>1875</v>
      </c>
      <c r="AA36" s="257"/>
      <c r="AB36" t="s">
        <v>139</v>
      </c>
      <c r="AC36" t="s">
        <v>1875</v>
      </c>
      <c r="AD36" t="s">
        <v>1805</v>
      </c>
      <c r="AE36" s="257" t="s">
        <v>1805</v>
      </c>
      <c r="AF36" s="257"/>
      <c r="AG36" s="257"/>
      <c r="AJ36" t="s">
        <v>2191</v>
      </c>
      <c r="AK36" s="257"/>
      <c r="AL36" s="257" t="s">
        <v>2190</v>
      </c>
      <c r="AM36" t="s">
        <v>1975</v>
      </c>
      <c r="AN36" t="b">
        <v>0</v>
      </c>
      <c r="AP36" s="257"/>
      <c r="AQ36" s="257"/>
      <c r="AR36" s="257"/>
      <c r="AT36" s="257"/>
      <c r="AU36" s="257"/>
      <c r="AZ36" s="257"/>
      <c r="BA36" t="s">
        <v>373</v>
      </c>
      <c r="BB36" t="s">
        <v>139</v>
      </c>
      <c r="BC36" t="s">
        <v>2192</v>
      </c>
      <c r="BF36" s="257"/>
      <c r="BG36" s="257"/>
    </row>
    <row r="37" spans="1:59">
      <c r="A37">
        <v>220</v>
      </c>
      <c r="B37" t="s">
        <v>3857</v>
      </c>
      <c r="C37" t="s">
        <v>3858</v>
      </c>
      <c r="D37" t="s">
        <v>8</v>
      </c>
      <c r="E37" t="s">
        <v>9</v>
      </c>
      <c r="F37" t="s">
        <v>1767</v>
      </c>
      <c r="G37" s="257">
        <v>45093</v>
      </c>
      <c r="H37" s="257"/>
      <c r="I37" s="257"/>
      <c r="K37" s="368" t="s">
        <v>3991</v>
      </c>
      <c r="L37" t="s">
        <v>2193</v>
      </c>
      <c r="M37" t="s">
        <v>115</v>
      </c>
      <c r="P37" t="s">
        <v>1555</v>
      </c>
      <c r="Q37" t="s">
        <v>2198</v>
      </c>
      <c r="R37" s="257">
        <v>44992.538923611108</v>
      </c>
      <c r="S37">
        <v>2023</v>
      </c>
      <c r="T37" t="s">
        <v>2194</v>
      </c>
      <c r="U37" t="s">
        <v>678</v>
      </c>
      <c r="V37" t="s">
        <v>679</v>
      </c>
      <c r="W37" t="s">
        <v>145</v>
      </c>
      <c r="X37" t="s">
        <v>309</v>
      </c>
      <c r="Y37" s="371">
        <v>45078</v>
      </c>
      <c r="Z37" t="s">
        <v>1875</v>
      </c>
      <c r="AA37" s="257"/>
      <c r="AB37" t="s">
        <v>139</v>
      </c>
      <c r="AC37" t="s">
        <v>1875</v>
      </c>
      <c r="AD37" t="s">
        <v>1805</v>
      </c>
      <c r="AE37" s="257" t="s">
        <v>1805</v>
      </c>
      <c r="AF37" s="257"/>
      <c r="AG37" s="257"/>
      <c r="AJ37" t="s">
        <v>2191</v>
      </c>
      <c r="AK37" s="257"/>
      <c r="AL37" s="257" t="s">
        <v>2190</v>
      </c>
      <c r="AM37" t="s">
        <v>1975</v>
      </c>
      <c r="AN37" t="b">
        <v>0</v>
      </c>
      <c r="AP37" s="257"/>
      <c r="AQ37" s="257"/>
      <c r="AR37" s="257"/>
      <c r="AT37" s="257"/>
      <c r="AU37" s="257"/>
      <c r="AZ37" s="257"/>
      <c r="BA37" t="s">
        <v>373</v>
      </c>
      <c r="BB37" t="s">
        <v>139</v>
      </c>
      <c r="BC37" t="s">
        <v>2192</v>
      </c>
      <c r="BF37" s="257"/>
      <c r="BG37" s="257"/>
    </row>
    <row r="38" spans="1:59">
      <c r="A38">
        <v>221</v>
      </c>
      <c r="B38" t="s">
        <v>3859</v>
      </c>
      <c r="C38" t="s">
        <v>3860</v>
      </c>
      <c r="D38" t="s">
        <v>8</v>
      </c>
      <c r="E38" t="s">
        <v>9</v>
      </c>
      <c r="F38" t="s">
        <v>1767</v>
      </c>
      <c r="G38" s="257">
        <v>45093</v>
      </c>
      <c r="H38" s="257"/>
      <c r="I38" s="257"/>
      <c r="K38" s="368" t="s">
        <v>3991</v>
      </c>
      <c r="L38" t="s">
        <v>2193</v>
      </c>
      <c r="M38" t="s">
        <v>115</v>
      </c>
      <c r="P38" t="s">
        <v>1555</v>
      </c>
      <c r="Q38" t="s">
        <v>2198</v>
      </c>
      <c r="R38" s="257">
        <v>44992.542939814812</v>
      </c>
      <c r="S38">
        <v>2023</v>
      </c>
      <c r="T38" t="s">
        <v>2194</v>
      </c>
      <c r="U38" t="s">
        <v>678</v>
      </c>
      <c r="V38" t="s">
        <v>679</v>
      </c>
      <c r="W38" t="s">
        <v>145</v>
      </c>
      <c r="X38" t="s">
        <v>309</v>
      </c>
      <c r="Y38" s="371">
        <v>45078</v>
      </c>
      <c r="Z38" t="s">
        <v>1875</v>
      </c>
      <c r="AA38" s="257"/>
      <c r="AB38" t="s">
        <v>139</v>
      </c>
      <c r="AC38" t="s">
        <v>1875</v>
      </c>
      <c r="AD38" t="s">
        <v>1805</v>
      </c>
      <c r="AE38" s="257" t="s">
        <v>1805</v>
      </c>
      <c r="AF38" s="257"/>
      <c r="AG38" s="257"/>
      <c r="AJ38" t="s">
        <v>2191</v>
      </c>
      <c r="AK38" s="257"/>
      <c r="AL38" s="257" t="s">
        <v>2190</v>
      </c>
      <c r="AM38" t="s">
        <v>1975</v>
      </c>
      <c r="AN38" t="b">
        <v>0</v>
      </c>
      <c r="AP38" s="257"/>
      <c r="AQ38" s="257"/>
      <c r="AR38" s="257"/>
      <c r="AT38" s="257"/>
      <c r="AU38" s="257"/>
      <c r="AZ38" s="257"/>
      <c r="BA38" t="s">
        <v>373</v>
      </c>
      <c r="BB38" t="s">
        <v>139</v>
      </c>
      <c r="BC38" t="s">
        <v>2192</v>
      </c>
      <c r="BF38" s="257"/>
      <c r="BG38" s="257"/>
    </row>
    <row r="39" spans="1:59">
      <c r="A39">
        <v>222</v>
      </c>
      <c r="B39" t="s">
        <v>3861</v>
      </c>
      <c r="C39" t="s">
        <v>3862</v>
      </c>
      <c r="D39" t="s">
        <v>8</v>
      </c>
      <c r="E39" t="s">
        <v>9</v>
      </c>
      <c r="F39" t="s">
        <v>1767</v>
      </c>
      <c r="G39" s="257">
        <v>45100</v>
      </c>
      <c r="H39" s="257"/>
      <c r="I39" s="257"/>
      <c r="K39" s="368" t="s">
        <v>3981</v>
      </c>
      <c r="L39" t="s">
        <v>2193</v>
      </c>
      <c r="M39" t="s">
        <v>115</v>
      </c>
      <c r="P39" t="s">
        <v>1555</v>
      </c>
      <c r="Q39" t="s">
        <v>2198</v>
      </c>
      <c r="R39" s="257">
        <v>44992.546585648146</v>
      </c>
      <c r="S39">
        <v>2023</v>
      </c>
      <c r="T39" t="s">
        <v>2194</v>
      </c>
      <c r="U39" t="s">
        <v>678</v>
      </c>
      <c r="V39" t="s">
        <v>679</v>
      </c>
      <c r="W39" t="s">
        <v>145</v>
      </c>
      <c r="X39" t="s">
        <v>309</v>
      </c>
      <c r="Y39" s="371">
        <v>45078</v>
      </c>
      <c r="Z39" t="s">
        <v>1875</v>
      </c>
      <c r="AA39" s="257"/>
      <c r="AB39" t="s">
        <v>139</v>
      </c>
      <c r="AC39" t="s">
        <v>1875</v>
      </c>
      <c r="AD39" t="s">
        <v>1805</v>
      </c>
      <c r="AE39" s="257" t="s">
        <v>1805</v>
      </c>
      <c r="AF39" s="257"/>
      <c r="AG39" s="257"/>
      <c r="AJ39" t="s">
        <v>2191</v>
      </c>
      <c r="AK39" s="257"/>
      <c r="AL39" s="257" t="s">
        <v>2190</v>
      </c>
      <c r="AM39" t="s">
        <v>1975</v>
      </c>
      <c r="AN39" t="b">
        <v>0</v>
      </c>
      <c r="AP39" s="257"/>
      <c r="AQ39" s="257"/>
      <c r="AR39" s="257"/>
      <c r="AT39" s="257"/>
      <c r="AU39" s="257"/>
      <c r="AZ39" s="257"/>
      <c r="BA39" t="s">
        <v>373</v>
      </c>
      <c r="BB39" t="s">
        <v>139</v>
      </c>
      <c r="BC39" t="s">
        <v>2192</v>
      </c>
      <c r="BF39" s="257"/>
      <c r="BG39" s="257"/>
    </row>
    <row r="40" spans="1:59">
      <c r="A40">
        <v>223</v>
      </c>
      <c r="B40" t="s">
        <v>3863</v>
      </c>
      <c r="C40" t="s">
        <v>3864</v>
      </c>
      <c r="D40" t="s">
        <v>8</v>
      </c>
      <c r="E40" t="s">
        <v>9</v>
      </c>
      <c r="F40" t="s">
        <v>1767</v>
      </c>
      <c r="G40" s="257">
        <v>45098</v>
      </c>
      <c r="H40" s="257"/>
      <c r="I40" s="257"/>
      <c r="K40" s="368" t="s">
        <v>3985</v>
      </c>
      <c r="L40" t="s">
        <v>2193</v>
      </c>
      <c r="M40" t="s">
        <v>115</v>
      </c>
      <c r="P40" t="s">
        <v>1555</v>
      </c>
      <c r="Q40" t="s">
        <v>2198</v>
      </c>
      <c r="R40" s="257">
        <v>44992.544907407406</v>
      </c>
      <c r="S40">
        <v>2023</v>
      </c>
      <c r="T40" t="s">
        <v>2194</v>
      </c>
      <c r="U40" t="s">
        <v>678</v>
      </c>
      <c r="V40" t="s">
        <v>679</v>
      </c>
      <c r="W40" t="s">
        <v>145</v>
      </c>
      <c r="X40" t="s">
        <v>309</v>
      </c>
      <c r="Y40" s="371">
        <v>45078</v>
      </c>
      <c r="Z40" t="s">
        <v>1875</v>
      </c>
      <c r="AA40" s="257"/>
      <c r="AB40" t="s">
        <v>139</v>
      </c>
      <c r="AC40" t="s">
        <v>1875</v>
      </c>
      <c r="AD40" t="s">
        <v>1805</v>
      </c>
      <c r="AE40" s="257" t="s">
        <v>1805</v>
      </c>
      <c r="AF40" s="257"/>
      <c r="AG40" s="257"/>
      <c r="AJ40" t="s">
        <v>2191</v>
      </c>
      <c r="AK40" s="257"/>
      <c r="AL40" s="257" t="s">
        <v>2190</v>
      </c>
      <c r="AM40" t="s">
        <v>1975</v>
      </c>
      <c r="AN40" t="b">
        <v>0</v>
      </c>
      <c r="AP40" s="257"/>
      <c r="AQ40" s="257"/>
      <c r="AR40" s="257"/>
      <c r="AT40" s="257"/>
      <c r="AU40" s="257"/>
      <c r="AZ40" s="257"/>
      <c r="BA40" t="s">
        <v>373</v>
      </c>
      <c r="BB40" t="s">
        <v>139</v>
      </c>
      <c r="BC40" t="s">
        <v>2192</v>
      </c>
      <c r="BF40" s="257"/>
      <c r="BG40" s="257"/>
    </row>
    <row r="41" spans="1:59">
      <c r="A41">
        <v>224</v>
      </c>
      <c r="B41" t="s">
        <v>3865</v>
      </c>
      <c r="C41" t="s">
        <v>3866</v>
      </c>
      <c r="D41" t="s">
        <v>8</v>
      </c>
      <c r="E41" t="s">
        <v>9</v>
      </c>
      <c r="F41" t="s">
        <v>1767</v>
      </c>
      <c r="G41" s="257">
        <v>45098</v>
      </c>
      <c r="H41" s="257"/>
      <c r="I41" s="257"/>
      <c r="K41" s="368" t="s">
        <v>3985</v>
      </c>
      <c r="L41" t="s">
        <v>2193</v>
      </c>
      <c r="M41" t="s">
        <v>115</v>
      </c>
      <c r="P41" t="s">
        <v>1555</v>
      </c>
      <c r="Q41" t="s">
        <v>2198</v>
      </c>
      <c r="R41" s="257">
        <v>44992.54519675926</v>
      </c>
      <c r="S41">
        <v>2023</v>
      </c>
      <c r="T41" t="s">
        <v>2194</v>
      </c>
      <c r="U41" t="s">
        <v>678</v>
      </c>
      <c r="V41" t="s">
        <v>679</v>
      </c>
      <c r="W41" t="s">
        <v>145</v>
      </c>
      <c r="X41" t="s">
        <v>309</v>
      </c>
      <c r="Y41" s="371">
        <v>45078</v>
      </c>
      <c r="Z41" t="s">
        <v>1875</v>
      </c>
      <c r="AA41" s="257"/>
      <c r="AB41" t="s">
        <v>139</v>
      </c>
      <c r="AC41" t="s">
        <v>1875</v>
      </c>
      <c r="AD41" t="s">
        <v>1805</v>
      </c>
      <c r="AE41" s="257" t="s">
        <v>1805</v>
      </c>
      <c r="AF41" s="257"/>
      <c r="AG41" s="257"/>
      <c r="AJ41" t="s">
        <v>2191</v>
      </c>
      <c r="AK41" s="257"/>
      <c r="AL41" s="257" t="s">
        <v>2190</v>
      </c>
      <c r="AM41" t="s">
        <v>1975</v>
      </c>
      <c r="AN41" t="b">
        <v>0</v>
      </c>
      <c r="AP41" s="257"/>
      <c r="AQ41" s="257"/>
      <c r="AR41" s="257"/>
      <c r="AT41" s="257"/>
      <c r="AU41" s="257"/>
      <c r="AZ41" s="257"/>
      <c r="BA41" t="s">
        <v>373</v>
      </c>
      <c r="BB41" t="s">
        <v>139</v>
      </c>
      <c r="BC41" t="s">
        <v>2192</v>
      </c>
      <c r="BF41" s="257"/>
      <c r="BG41" s="257"/>
    </row>
    <row r="42" spans="1:59">
      <c r="A42">
        <v>227</v>
      </c>
      <c r="B42" t="s">
        <v>2427</v>
      </c>
      <c r="C42" t="s">
        <v>2428</v>
      </c>
      <c r="D42" t="s">
        <v>8</v>
      </c>
      <c r="E42" t="s">
        <v>9</v>
      </c>
      <c r="F42" t="s">
        <v>1745</v>
      </c>
      <c r="G42" s="257">
        <v>44540</v>
      </c>
      <c r="H42" s="257"/>
      <c r="I42" s="257"/>
      <c r="K42" s="368" t="s">
        <v>3979</v>
      </c>
      <c r="L42" t="s">
        <v>2193</v>
      </c>
      <c r="M42" t="s">
        <v>115</v>
      </c>
      <c r="P42" t="s">
        <v>1554</v>
      </c>
      <c r="Q42" t="s">
        <v>2198</v>
      </c>
      <c r="R42" s="257">
        <v>44992.545891203707</v>
      </c>
      <c r="S42">
        <v>2021</v>
      </c>
      <c r="T42" t="s">
        <v>2194</v>
      </c>
      <c r="U42" t="s">
        <v>678</v>
      </c>
      <c r="V42" t="s">
        <v>679</v>
      </c>
      <c r="W42" t="s">
        <v>145</v>
      </c>
      <c r="X42" t="s">
        <v>309</v>
      </c>
      <c r="Y42" s="371">
        <v>45078</v>
      </c>
      <c r="Z42" t="s">
        <v>1875</v>
      </c>
      <c r="AA42" s="257"/>
      <c r="AB42" t="s">
        <v>139</v>
      </c>
      <c r="AC42" t="s">
        <v>1875</v>
      </c>
      <c r="AD42" t="s">
        <v>3800</v>
      </c>
      <c r="AE42" s="257" t="s">
        <v>3800</v>
      </c>
      <c r="AF42" s="257"/>
      <c r="AG42" s="257"/>
      <c r="AJ42" t="s">
        <v>2191</v>
      </c>
      <c r="AK42" s="257"/>
      <c r="AL42" s="257" t="s">
        <v>2190</v>
      </c>
      <c r="AM42" t="s">
        <v>1975</v>
      </c>
      <c r="AN42" t="b">
        <v>0</v>
      </c>
      <c r="AP42" s="257"/>
      <c r="AQ42" s="257"/>
      <c r="AR42" s="257"/>
      <c r="AT42" s="257"/>
      <c r="AU42" s="257"/>
      <c r="AZ42" s="257"/>
      <c r="BA42" t="s">
        <v>373</v>
      </c>
      <c r="BB42" t="s">
        <v>139</v>
      </c>
      <c r="BC42" t="s">
        <v>2192</v>
      </c>
      <c r="BF42" s="257"/>
      <c r="BG42" s="257"/>
    </row>
    <row r="43" spans="1:59">
      <c r="A43">
        <v>239</v>
      </c>
      <c r="B43" t="s">
        <v>3477</v>
      </c>
      <c r="C43" t="s">
        <v>3478</v>
      </c>
      <c r="D43" t="s">
        <v>8</v>
      </c>
      <c r="E43" t="s">
        <v>9</v>
      </c>
      <c r="F43" t="s">
        <v>1745</v>
      </c>
      <c r="G43" s="257">
        <v>44965</v>
      </c>
      <c r="H43" s="257"/>
      <c r="I43" s="257"/>
      <c r="K43" s="368" t="s">
        <v>3990</v>
      </c>
      <c r="L43" t="s">
        <v>2193</v>
      </c>
      <c r="M43" t="s">
        <v>114</v>
      </c>
      <c r="P43" t="s">
        <v>1554</v>
      </c>
      <c r="Q43" t="s">
        <v>2198</v>
      </c>
      <c r="R43" s="257">
        <v>44992.54011574074</v>
      </c>
      <c r="S43">
        <v>2023</v>
      </c>
      <c r="T43" t="s">
        <v>2194</v>
      </c>
      <c r="U43" t="s">
        <v>678</v>
      </c>
      <c r="V43" t="s">
        <v>679</v>
      </c>
      <c r="W43" t="s">
        <v>145</v>
      </c>
      <c r="X43" t="s">
        <v>309</v>
      </c>
      <c r="Y43" s="371">
        <v>45078</v>
      </c>
      <c r="Z43" t="s">
        <v>1875</v>
      </c>
      <c r="AA43" s="257"/>
      <c r="AB43" t="s">
        <v>139</v>
      </c>
      <c r="AC43" t="s">
        <v>1875</v>
      </c>
      <c r="AD43" t="s">
        <v>1805</v>
      </c>
      <c r="AE43" s="257" t="s">
        <v>1805</v>
      </c>
      <c r="AF43" s="257"/>
      <c r="AG43" s="257"/>
      <c r="AJ43" t="s">
        <v>2191</v>
      </c>
      <c r="AK43" s="257"/>
      <c r="AL43" s="257" t="s">
        <v>2190</v>
      </c>
      <c r="AM43" t="s">
        <v>1975</v>
      </c>
      <c r="AN43" t="b">
        <v>0</v>
      </c>
      <c r="AP43" s="257"/>
      <c r="AQ43" s="257"/>
      <c r="AR43" s="257"/>
      <c r="AT43" s="257"/>
      <c r="AU43" s="257"/>
      <c r="AZ43" s="257"/>
      <c r="BA43" t="s">
        <v>373</v>
      </c>
      <c r="BB43" t="s">
        <v>139</v>
      </c>
      <c r="BC43" t="s">
        <v>2192</v>
      </c>
      <c r="BF43" s="257"/>
      <c r="BG43" s="257"/>
    </row>
    <row r="44" spans="1:59">
      <c r="A44">
        <v>249</v>
      </c>
      <c r="B44" t="s">
        <v>3773</v>
      </c>
      <c r="C44" t="s">
        <v>3774</v>
      </c>
      <c r="D44" t="s">
        <v>8</v>
      </c>
      <c r="E44" t="s">
        <v>9</v>
      </c>
      <c r="F44" t="s">
        <v>1745</v>
      </c>
      <c r="G44" s="257">
        <v>45064</v>
      </c>
      <c r="H44" s="257"/>
      <c r="I44" s="257"/>
      <c r="K44" s="368" t="s">
        <v>3978</v>
      </c>
      <c r="L44" t="s">
        <v>2193</v>
      </c>
      <c r="M44" t="s">
        <v>114</v>
      </c>
      <c r="P44" t="s">
        <v>1554</v>
      </c>
      <c r="Q44" t="s">
        <v>2198</v>
      </c>
      <c r="R44" s="257">
        <v>44992.540381944447</v>
      </c>
      <c r="S44">
        <v>2023</v>
      </c>
      <c r="T44" t="s">
        <v>2194</v>
      </c>
      <c r="U44" t="s">
        <v>678</v>
      </c>
      <c r="V44" t="s">
        <v>679</v>
      </c>
      <c r="W44" t="s">
        <v>145</v>
      </c>
      <c r="X44" t="s">
        <v>309</v>
      </c>
      <c r="Y44" s="371">
        <v>45078</v>
      </c>
      <c r="Z44" t="s">
        <v>1875</v>
      </c>
      <c r="AA44" s="257"/>
      <c r="AB44" t="s">
        <v>139</v>
      </c>
      <c r="AC44" t="s">
        <v>1875</v>
      </c>
      <c r="AD44" t="s">
        <v>1805</v>
      </c>
      <c r="AE44" s="257" t="s">
        <v>1805</v>
      </c>
      <c r="AF44" s="257"/>
      <c r="AG44" s="257"/>
      <c r="AJ44" t="s">
        <v>2191</v>
      </c>
      <c r="AK44" s="257"/>
      <c r="AL44" s="257" t="s">
        <v>2190</v>
      </c>
      <c r="AM44" t="s">
        <v>1975</v>
      </c>
      <c r="AN44" t="b">
        <v>0</v>
      </c>
      <c r="AP44" s="257"/>
      <c r="AQ44" s="257"/>
      <c r="AR44" s="257"/>
      <c r="AT44" s="257"/>
      <c r="AU44" s="257"/>
      <c r="AZ44" s="257"/>
      <c r="BA44" t="s">
        <v>373</v>
      </c>
      <c r="BB44" t="s">
        <v>139</v>
      </c>
      <c r="BC44" t="s">
        <v>2192</v>
      </c>
      <c r="BF44" s="257"/>
      <c r="BG44" s="257"/>
    </row>
    <row r="45" spans="1:59">
      <c r="A45">
        <v>252</v>
      </c>
      <c r="B45" t="s">
        <v>2806</v>
      </c>
      <c r="C45" t="s">
        <v>3803</v>
      </c>
      <c r="D45" t="s">
        <v>8</v>
      </c>
      <c r="E45" t="s">
        <v>9</v>
      </c>
      <c r="F45" t="s">
        <v>1745</v>
      </c>
      <c r="G45" s="257">
        <v>45094</v>
      </c>
      <c r="H45" s="257"/>
      <c r="I45" s="257"/>
      <c r="K45" s="368" t="s">
        <v>3978</v>
      </c>
      <c r="L45" t="s">
        <v>2193</v>
      </c>
      <c r="M45" t="s">
        <v>115</v>
      </c>
      <c r="P45" t="s">
        <v>1555</v>
      </c>
      <c r="Q45" t="s">
        <v>2198</v>
      </c>
      <c r="R45" s="257">
        <v>44992.540717592594</v>
      </c>
      <c r="S45">
        <v>2023</v>
      </c>
      <c r="T45" t="s">
        <v>2194</v>
      </c>
      <c r="U45" t="s">
        <v>678</v>
      </c>
      <c r="V45" t="s">
        <v>679</v>
      </c>
      <c r="W45" t="s">
        <v>145</v>
      </c>
      <c r="X45" t="s">
        <v>309</v>
      </c>
      <c r="Y45" s="371">
        <v>45078</v>
      </c>
      <c r="Z45" t="s">
        <v>1875</v>
      </c>
      <c r="AA45" s="257"/>
      <c r="AB45" t="s">
        <v>139</v>
      </c>
      <c r="AC45" t="s">
        <v>1875</v>
      </c>
      <c r="AD45" t="s">
        <v>1805</v>
      </c>
      <c r="AE45" s="257" t="s">
        <v>1805</v>
      </c>
      <c r="AF45" s="257"/>
      <c r="AG45" s="257"/>
      <c r="AJ45" t="s">
        <v>2191</v>
      </c>
      <c r="AK45" s="257"/>
      <c r="AL45" s="257" t="s">
        <v>2190</v>
      </c>
      <c r="AM45" t="s">
        <v>1975</v>
      </c>
      <c r="AN45" t="b">
        <v>0</v>
      </c>
      <c r="AP45" s="257"/>
      <c r="AQ45" s="257"/>
      <c r="AR45" s="257"/>
      <c r="AT45" s="257"/>
      <c r="AU45" s="257"/>
      <c r="AZ45" s="257"/>
      <c r="BA45" t="s">
        <v>373</v>
      </c>
      <c r="BB45" t="s">
        <v>139</v>
      </c>
      <c r="BC45" t="s">
        <v>2192</v>
      </c>
      <c r="BF45" s="257"/>
      <c r="BG45" s="257"/>
    </row>
    <row r="46" spans="1:59">
      <c r="A46">
        <v>253</v>
      </c>
      <c r="B46" t="s">
        <v>2808</v>
      </c>
      <c r="C46" t="s">
        <v>3804</v>
      </c>
      <c r="D46" t="s">
        <v>8</v>
      </c>
      <c r="E46" t="s">
        <v>9</v>
      </c>
      <c r="F46" t="s">
        <v>1745</v>
      </c>
      <c r="G46" s="257">
        <v>45090</v>
      </c>
      <c r="H46" s="257"/>
      <c r="I46" s="257"/>
      <c r="K46" s="368" t="s">
        <v>3990</v>
      </c>
      <c r="L46" t="s">
        <v>2193</v>
      </c>
      <c r="M46" t="s">
        <v>115</v>
      </c>
      <c r="P46" t="s">
        <v>1555</v>
      </c>
      <c r="Q46" t="s">
        <v>2198</v>
      </c>
      <c r="R46" s="257">
        <v>44992.535057870373</v>
      </c>
      <c r="S46">
        <v>2023</v>
      </c>
      <c r="T46" t="s">
        <v>2194</v>
      </c>
      <c r="U46" t="s">
        <v>678</v>
      </c>
      <c r="V46" t="s">
        <v>679</v>
      </c>
      <c r="W46" t="s">
        <v>145</v>
      </c>
      <c r="X46" t="s">
        <v>309</v>
      </c>
      <c r="Y46" s="371">
        <v>45078</v>
      </c>
      <c r="Z46" t="s">
        <v>1875</v>
      </c>
      <c r="AA46" s="257"/>
      <c r="AB46" t="s">
        <v>139</v>
      </c>
      <c r="AC46" t="s">
        <v>1875</v>
      </c>
      <c r="AD46" t="s">
        <v>1805</v>
      </c>
      <c r="AE46" s="257" t="s">
        <v>1805</v>
      </c>
      <c r="AF46" s="257"/>
      <c r="AG46" s="257"/>
      <c r="AJ46" t="s">
        <v>2191</v>
      </c>
      <c r="AK46" s="257"/>
      <c r="AL46" s="257" t="s">
        <v>2190</v>
      </c>
      <c r="AM46" t="s">
        <v>1975</v>
      </c>
      <c r="AN46" t="b">
        <v>0</v>
      </c>
      <c r="AP46" s="257"/>
      <c r="AQ46" s="257"/>
      <c r="AR46" s="257"/>
      <c r="AT46" s="257"/>
      <c r="AU46" s="257"/>
      <c r="AZ46" s="257"/>
      <c r="BA46" t="s">
        <v>373</v>
      </c>
      <c r="BB46" t="s">
        <v>139</v>
      </c>
      <c r="BC46" t="s">
        <v>2192</v>
      </c>
      <c r="BF46" s="257"/>
      <c r="BG46" s="257"/>
    </row>
    <row r="47" spans="1:59">
      <c r="A47">
        <v>254</v>
      </c>
      <c r="B47" t="s">
        <v>3805</v>
      </c>
      <c r="C47" t="s">
        <v>3806</v>
      </c>
      <c r="D47" t="s">
        <v>8</v>
      </c>
      <c r="E47" t="s">
        <v>9</v>
      </c>
      <c r="F47" t="s">
        <v>1745</v>
      </c>
      <c r="G47" s="257">
        <v>45082</v>
      </c>
      <c r="H47" s="257"/>
      <c r="I47" s="257"/>
      <c r="K47" s="368" t="s">
        <v>3983</v>
      </c>
      <c r="L47" t="s">
        <v>2193</v>
      </c>
      <c r="M47" t="s">
        <v>115</v>
      </c>
      <c r="P47" t="s">
        <v>1555</v>
      </c>
      <c r="Q47" t="s">
        <v>2198</v>
      </c>
      <c r="R47" s="257">
        <v>44992.541180555556</v>
      </c>
      <c r="S47">
        <v>2023</v>
      </c>
      <c r="T47" t="s">
        <v>2194</v>
      </c>
      <c r="U47" t="s">
        <v>678</v>
      </c>
      <c r="V47" t="s">
        <v>679</v>
      </c>
      <c r="W47" t="s">
        <v>145</v>
      </c>
      <c r="X47" t="s">
        <v>309</v>
      </c>
      <c r="Y47" s="371">
        <v>45078</v>
      </c>
      <c r="Z47" t="s">
        <v>1875</v>
      </c>
      <c r="AA47" s="257"/>
      <c r="AB47" t="s">
        <v>139</v>
      </c>
      <c r="AC47" t="s">
        <v>1875</v>
      </c>
      <c r="AD47" t="s">
        <v>1805</v>
      </c>
      <c r="AE47" s="257" t="s">
        <v>1805</v>
      </c>
      <c r="AF47" s="257"/>
      <c r="AG47" s="257"/>
      <c r="AJ47" t="s">
        <v>2191</v>
      </c>
      <c r="AK47" s="257"/>
      <c r="AL47" s="257" t="s">
        <v>2190</v>
      </c>
      <c r="AM47" t="s">
        <v>1975</v>
      </c>
      <c r="AN47" t="b">
        <v>0</v>
      </c>
      <c r="AP47" s="257"/>
      <c r="AQ47" s="257"/>
      <c r="AR47" s="257"/>
      <c r="AT47" s="257"/>
      <c r="AU47" s="257"/>
      <c r="AZ47" s="257"/>
      <c r="BA47" t="s">
        <v>373</v>
      </c>
      <c r="BB47" t="s">
        <v>139</v>
      </c>
      <c r="BC47" t="s">
        <v>2192</v>
      </c>
      <c r="BF47" s="257"/>
      <c r="BG47" s="257"/>
    </row>
    <row r="48" spans="1:59">
      <c r="A48">
        <v>267</v>
      </c>
      <c r="B48" t="s">
        <v>2482</v>
      </c>
      <c r="C48" t="s">
        <v>2483</v>
      </c>
      <c r="D48" t="s">
        <v>8</v>
      </c>
      <c r="E48" t="s">
        <v>9</v>
      </c>
      <c r="F48" t="s">
        <v>1771</v>
      </c>
      <c r="G48" s="257">
        <v>44261</v>
      </c>
      <c r="H48" s="257"/>
      <c r="I48" s="257"/>
      <c r="K48" s="368" t="s">
        <v>3989</v>
      </c>
      <c r="L48" t="s">
        <v>2193</v>
      </c>
      <c r="M48" t="s">
        <v>116</v>
      </c>
      <c r="P48" t="s">
        <v>1554</v>
      </c>
      <c r="Q48" t="s">
        <v>2198</v>
      </c>
      <c r="R48" s="257">
        <v>44992.60765046296</v>
      </c>
      <c r="S48">
        <v>2021</v>
      </c>
      <c r="T48" t="s">
        <v>2194</v>
      </c>
      <c r="U48" t="s">
        <v>678</v>
      </c>
      <c r="V48" t="s">
        <v>679</v>
      </c>
      <c r="W48" t="s">
        <v>145</v>
      </c>
      <c r="X48" t="s">
        <v>309</v>
      </c>
      <c r="Y48" s="371">
        <v>45078</v>
      </c>
      <c r="Z48" t="s">
        <v>1875</v>
      </c>
      <c r="AA48" s="257"/>
      <c r="AB48" t="s">
        <v>139</v>
      </c>
      <c r="AC48" t="s">
        <v>1875</v>
      </c>
      <c r="AD48" t="s">
        <v>1805</v>
      </c>
      <c r="AE48" s="257" t="s">
        <v>1805</v>
      </c>
      <c r="AF48" s="257"/>
      <c r="AG48" s="257"/>
      <c r="AJ48" t="s">
        <v>2191</v>
      </c>
      <c r="AK48" s="257"/>
      <c r="AL48" s="257" t="s">
        <v>2190</v>
      </c>
      <c r="AM48" t="s">
        <v>1975</v>
      </c>
      <c r="AN48" t="b">
        <v>0</v>
      </c>
      <c r="AP48" s="257"/>
      <c r="AQ48" s="257"/>
      <c r="AR48" s="257"/>
      <c r="AT48" s="257"/>
      <c r="AU48" s="257"/>
      <c r="AZ48" s="257"/>
      <c r="BA48" t="s">
        <v>373</v>
      </c>
      <c r="BB48" t="s">
        <v>139</v>
      </c>
      <c r="BC48" t="s">
        <v>2192</v>
      </c>
      <c r="BF48" s="257"/>
      <c r="BG48" s="257"/>
    </row>
    <row r="49" spans="1:59">
      <c r="A49">
        <v>303</v>
      </c>
      <c r="B49" t="s">
        <v>2909</v>
      </c>
      <c r="C49" t="s">
        <v>2910</v>
      </c>
      <c r="D49" t="s">
        <v>8</v>
      </c>
      <c r="E49" t="s">
        <v>9</v>
      </c>
      <c r="F49" t="s">
        <v>1771</v>
      </c>
      <c r="G49" s="257">
        <v>44839</v>
      </c>
      <c r="H49" s="257"/>
      <c r="I49" s="257"/>
      <c r="K49" s="368" t="s">
        <v>3987</v>
      </c>
      <c r="L49" t="s">
        <v>2193</v>
      </c>
      <c r="M49" t="s">
        <v>115</v>
      </c>
      <c r="P49" t="s">
        <v>1554</v>
      </c>
      <c r="Q49" t="s">
        <v>2198</v>
      </c>
      <c r="R49" s="257">
        <v>44992.547858796293</v>
      </c>
      <c r="S49">
        <v>2022</v>
      </c>
      <c r="T49" t="s">
        <v>2194</v>
      </c>
      <c r="U49" t="s">
        <v>678</v>
      </c>
      <c r="V49" t="s">
        <v>679</v>
      </c>
      <c r="W49" t="s">
        <v>145</v>
      </c>
      <c r="X49" t="s">
        <v>309</v>
      </c>
      <c r="Y49" s="371">
        <v>45078</v>
      </c>
      <c r="Z49" t="s">
        <v>1875</v>
      </c>
      <c r="AA49" s="257"/>
      <c r="AB49" t="s">
        <v>139</v>
      </c>
      <c r="AC49" t="s">
        <v>1875</v>
      </c>
      <c r="AD49" t="s">
        <v>1805</v>
      </c>
      <c r="AE49" s="257" t="s">
        <v>1805</v>
      </c>
      <c r="AF49" s="257"/>
      <c r="AG49" s="257"/>
      <c r="AJ49" t="s">
        <v>2191</v>
      </c>
      <c r="AK49" s="257"/>
      <c r="AL49" s="257" t="s">
        <v>2190</v>
      </c>
      <c r="AM49" t="s">
        <v>1975</v>
      </c>
      <c r="AN49" t="b">
        <v>0</v>
      </c>
      <c r="AP49" s="257"/>
      <c r="AQ49" s="257"/>
      <c r="AR49" s="257"/>
      <c r="AT49" s="257"/>
      <c r="AU49" s="257"/>
      <c r="AZ49" s="257"/>
      <c r="BA49" t="s">
        <v>373</v>
      </c>
      <c r="BB49" t="s">
        <v>139</v>
      </c>
      <c r="BC49" t="s">
        <v>2192</v>
      </c>
      <c r="BF49" s="257"/>
      <c r="BG49" s="257"/>
    </row>
    <row r="50" spans="1:59">
      <c r="A50">
        <v>304</v>
      </c>
      <c r="B50" t="s">
        <v>2501</v>
      </c>
      <c r="C50" t="s">
        <v>2914</v>
      </c>
      <c r="D50" t="s">
        <v>8</v>
      </c>
      <c r="E50" t="s">
        <v>9</v>
      </c>
      <c r="F50" t="s">
        <v>1771</v>
      </c>
      <c r="G50" s="257">
        <v>44839</v>
      </c>
      <c r="H50" s="257"/>
      <c r="I50" s="257"/>
      <c r="K50" s="368" t="s">
        <v>3992</v>
      </c>
      <c r="L50" t="s">
        <v>2193</v>
      </c>
      <c r="M50" t="s">
        <v>116</v>
      </c>
      <c r="P50" t="s">
        <v>1554</v>
      </c>
      <c r="Q50" t="s">
        <v>2198</v>
      </c>
      <c r="R50" s="257">
        <v>44992.548229166663</v>
      </c>
      <c r="S50">
        <v>2022</v>
      </c>
      <c r="T50" t="s">
        <v>2194</v>
      </c>
      <c r="U50" t="s">
        <v>678</v>
      </c>
      <c r="V50" t="s">
        <v>679</v>
      </c>
      <c r="W50" t="s">
        <v>145</v>
      </c>
      <c r="X50" t="s">
        <v>309</v>
      </c>
      <c r="Y50" s="371">
        <v>45078</v>
      </c>
      <c r="Z50" t="s">
        <v>1875</v>
      </c>
      <c r="AA50" s="257"/>
      <c r="AB50" t="s">
        <v>139</v>
      </c>
      <c r="AC50" t="s">
        <v>1875</v>
      </c>
      <c r="AD50" t="s">
        <v>1805</v>
      </c>
      <c r="AE50" s="257" t="s">
        <v>1805</v>
      </c>
      <c r="AF50" s="257"/>
      <c r="AG50" s="257"/>
      <c r="AJ50" t="s">
        <v>2191</v>
      </c>
      <c r="AK50" s="257"/>
      <c r="AL50" s="257" t="s">
        <v>2190</v>
      </c>
      <c r="AM50" t="s">
        <v>1975</v>
      </c>
      <c r="AN50" t="b">
        <v>0</v>
      </c>
      <c r="AP50" s="257"/>
      <c r="AQ50" s="257"/>
      <c r="AR50" s="257"/>
      <c r="AT50" s="257"/>
      <c r="AU50" s="257"/>
      <c r="AZ50" s="257"/>
      <c r="BA50" t="s">
        <v>373</v>
      </c>
      <c r="BB50" t="s">
        <v>139</v>
      </c>
      <c r="BC50" t="s">
        <v>2192</v>
      </c>
      <c r="BF50" s="257"/>
      <c r="BG50" s="257"/>
    </row>
    <row r="51" spans="1:59">
      <c r="A51">
        <v>313</v>
      </c>
      <c r="B51" t="s">
        <v>3154</v>
      </c>
      <c r="C51" t="s">
        <v>3155</v>
      </c>
      <c r="D51" t="s">
        <v>8</v>
      </c>
      <c r="E51" t="s">
        <v>9</v>
      </c>
      <c r="F51" t="s">
        <v>1771</v>
      </c>
      <c r="G51" s="257">
        <v>44895</v>
      </c>
      <c r="H51" s="257"/>
      <c r="I51" s="257"/>
      <c r="K51" s="368" t="s">
        <v>3985</v>
      </c>
      <c r="L51" t="s">
        <v>2193</v>
      </c>
      <c r="M51" t="s">
        <v>113</v>
      </c>
      <c r="P51" t="s">
        <v>1554</v>
      </c>
      <c r="Q51" t="s">
        <v>2198</v>
      </c>
      <c r="R51" s="257">
        <v>44992.61246527778</v>
      </c>
      <c r="S51">
        <v>2022</v>
      </c>
      <c r="T51" t="s">
        <v>2194</v>
      </c>
      <c r="U51" t="s">
        <v>678</v>
      </c>
      <c r="V51" t="s">
        <v>679</v>
      </c>
      <c r="W51" t="s">
        <v>145</v>
      </c>
      <c r="X51" t="s">
        <v>309</v>
      </c>
      <c r="Y51" s="371">
        <v>45078</v>
      </c>
      <c r="Z51" t="s">
        <v>1875</v>
      </c>
      <c r="AA51" s="257"/>
      <c r="AB51" t="s">
        <v>139</v>
      </c>
      <c r="AC51" t="s">
        <v>1875</v>
      </c>
      <c r="AD51" t="s">
        <v>1805</v>
      </c>
      <c r="AE51" s="257" t="s">
        <v>1805</v>
      </c>
      <c r="AF51" s="257"/>
      <c r="AG51" s="257"/>
      <c r="AJ51" t="s">
        <v>2191</v>
      </c>
      <c r="AK51" s="257"/>
      <c r="AL51" s="257" t="s">
        <v>2190</v>
      </c>
      <c r="AM51" t="s">
        <v>1975</v>
      </c>
      <c r="AN51" t="b">
        <v>0</v>
      </c>
      <c r="AP51" s="257"/>
      <c r="AQ51" s="257"/>
      <c r="AR51" s="257"/>
      <c r="AT51" s="257"/>
      <c r="AU51" s="257"/>
      <c r="AZ51" s="257"/>
      <c r="BA51" t="s">
        <v>373</v>
      </c>
      <c r="BB51" t="s">
        <v>139</v>
      </c>
      <c r="BC51" t="s">
        <v>2192</v>
      </c>
      <c r="BF51" s="257"/>
      <c r="BG51" s="257"/>
    </row>
    <row r="52" spans="1:59">
      <c r="A52">
        <v>353</v>
      </c>
      <c r="B52" t="s">
        <v>2499</v>
      </c>
      <c r="C52" t="s">
        <v>3667</v>
      </c>
      <c r="D52" t="s">
        <v>8</v>
      </c>
      <c r="E52" t="s">
        <v>9</v>
      </c>
      <c r="F52" t="s">
        <v>1771</v>
      </c>
      <c r="G52" s="257">
        <v>45017</v>
      </c>
      <c r="H52" s="257"/>
      <c r="I52" s="257"/>
      <c r="K52" s="368" t="s">
        <v>3988</v>
      </c>
      <c r="L52" t="s">
        <v>2193</v>
      </c>
      <c r="M52" t="s">
        <v>113</v>
      </c>
      <c r="P52" t="s">
        <v>1554</v>
      </c>
      <c r="Q52" t="s">
        <v>2198</v>
      </c>
      <c r="R52" s="257">
        <v>44992.612905092596</v>
      </c>
      <c r="S52">
        <v>2023</v>
      </c>
      <c r="T52" t="s">
        <v>2194</v>
      </c>
      <c r="U52" t="s">
        <v>678</v>
      </c>
      <c r="V52" t="s">
        <v>679</v>
      </c>
      <c r="W52" t="s">
        <v>145</v>
      </c>
      <c r="X52" t="s">
        <v>309</v>
      </c>
      <c r="Y52" s="371">
        <v>45078</v>
      </c>
      <c r="Z52" t="s">
        <v>1875</v>
      </c>
      <c r="AA52" s="257"/>
      <c r="AB52" t="s">
        <v>139</v>
      </c>
      <c r="AC52" t="s">
        <v>1875</v>
      </c>
      <c r="AD52" t="s">
        <v>1805</v>
      </c>
      <c r="AE52" s="257" t="s">
        <v>1805</v>
      </c>
      <c r="AF52" s="257"/>
      <c r="AG52" s="257"/>
      <c r="AJ52" t="s">
        <v>2191</v>
      </c>
      <c r="AK52" s="257"/>
      <c r="AL52" s="257" t="s">
        <v>2190</v>
      </c>
      <c r="AM52" t="s">
        <v>1975</v>
      </c>
      <c r="AN52" t="b">
        <v>0</v>
      </c>
      <c r="AP52" s="257"/>
      <c r="AQ52" s="257"/>
      <c r="AR52" s="257"/>
      <c r="AT52" s="257"/>
      <c r="AU52" s="257"/>
      <c r="AZ52" s="257"/>
      <c r="BA52" t="s">
        <v>373</v>
      </c>
      <c r="BB52" t="s">
        <v>139</v>
      </c>
      <c r="BC52" t="s">
        <v>2192</v>
      </c>
      <c r="BF52" s="257"/>
      <c r="BG52" s="257"/>
    </row>
    <row r="53" spans="1:59">
      <c r="A53">
        <v>376</v>
      </c>
      <c r="B53" t="s">
        <v>2465</v>
      </c>
      <c r="C53" t="s">
        <v>3812</v>
      </c>
      <c r="D53" t="s">
        <v>8</v>
      </c>
      <c r="E53" t="s">
        <v>9</v>
      </c>
      <c r="F53" t="s">
        <v>1771</v>
      </c>
      <c r="G53" s="257">
        <v>45082</v>
      </c>
      <c r="H53" s="257"/>
      <c r="I53" s="257"/>
      <c r="K53" s="368" t="s">
        <v>3985</v>
      </c>
      <c r="L53" t="s">
        <v>2193</v>
      </c>
      <c r="M53" t="s">
        <v>115</v>
      </c>
      <c r="P53" t="s">
        <v>1555</v>
      </c>
      <c r="Q53" t="s">
        <v>2198</v>
      </c>
      <c r="R53" s="257">
        <v>44992.544328703705</v>
      </c>
      <c r="S53">
        <v>2023</v>
      </c>
      <c r="T53" t="s">
        <v>2194</v>
      </c>
      <c r="U53" t="s">
        <v>678</v>
      </c>
      <c r="V53" t="s">
        <v>679</v>
      </c>
      <c r="W53" t="s">
        <v>145</v>
      </c>
      <c r="X53" t="s">
        <v>309</v>
      </c>
      <c r="Y53" s="371">
        <v>45078</v>
      </c>
      <c r="Z53" t="s">
        <v>1875</v>
      </c>
      <c r="AA53" s="257"/>
      <c r="AB53" t="s">
        <v>139</v>
      </c>
      <c r="AC53" t="s">
        <v>1875</v>
      </c>
      <c r="AD53" t="s">
        <v>1805</v>
      </c>
      <c r="AE53" s="257" t="s">
        <v>1805</v>
      </c>
      <c r="AF53" s="257"/>
      <c r="AG53" s="257"/>
      <c r="AJ53" t="s">
        <v>2191</v>
      </c>
      <c r="AK53" s="257"/>
      <c r="AL53" s="257" t="s">
        <v>2190</v>
      </c>
      <c r="AM53" t="s">
        <v>1975</v>
      </c>
      <c r="AN53" t="b">
        <v>0</v>
      </c>
      <c r="AP53" s="257"/>
      <c r="AQ53" s="257"/>
      <c r="AR53" s="257"/>
      <c r="AT53" s="257"/>
      <c r="AU53" s="257"/>
      <c r="AZ53" s="257"/>
      <c r="BA53" t="s">
        <v>373</v>
      </c>
      <c r="BB53" t="s">
        <v>139</v>
      </c>
      <c r="BC53" t="s">
        <v>2192</v>
      </c>
      <c r="BF53" s="257"/>
      <c r="BG53" s="257"/>
    </row>
    <row r="54" spans="1:59">
      <c r="A54">
        <v>393</v>
      </c>
      <c r="B54" t="s">
        <v>2559</v>
      </c>
      <c r="C54" t="s">
        <v>2926</v>
      </c>
      <c r="D54" t="s">
        <v>8</v>
      </c>
      <c r="E54" t="s">
        <v>9</v>
      </c>
      <c r="F54" t="s">
        <v>1773</v>
      </c>
      <c r="G54" s="257">
        <v>44865</v>
      </c>
      <c r="H54" s="257"/>
      <c r="I54" s="257"/>
      <c r="K54" s="368" t="s">
        <v>3988</v>
      </c>
      <c r="L54" t="s">
        <v>2193</v>
      </c>
      <c r="M54" t="s">
        <v>114</v>
      </c>
      <c r="P54" t="s">
        <v>1554</v>
      </c>
      <c r="Q54" t="s">
        <v>2198</v>
      </c>
      <c r="R54" s="257">
        <v>44992.541921296295</v>
      </c>
      <c r="S54">
        <v>2022</v>
      </c>
      <c r="T54" t="s">
        <v>2194</v>
      </c>
      <c r="U54" t="s">
        <v>678</v>
      </c>
      <c r="V54" t="s">
        <v>679</v>
      </c>
      <c r="W54" t="s">
        <v>145</v>
      </c>
      <c r="X54" t="s">
        <v>309</v>
      </c>
      <c r="Y54" s="371">
        <v>45078</v>
      </c>
      <c r="Z54" t="s">
        <v>1875</v>
      </c>
      <c r="AA54" s="257"/>
      <c r="AB54" t="s">
        <v>139</v>
      </c>
      <c r="AC54" t="s">
        <v>1875</v>
      </c>
      <c r="AD54" t="s">
        <v>1805</v>
      </c>
      <c r="AE54" s="257" t="s">
        <v>1805</v>
      </c>
      <c r="AF54" s="257"/>
      <c r="AG54" s="257"/>
      <c r="AJ54" t="s">
        <v>2191</v>
      </c>
      <c r="AK54" s="257"/>
      <c r="AL54" s="257" t="s">
        <v>2190</v>
      </c>
      <c r="AM54" t="s">
        <v>1975</v>
      </c>
      <c r="AN54" t="b">
        <v>0</v>
      </c>
      <c r="AP54" s="257"/>
      <c r="AQ54" s="257"/>
      <c r="AR54" s="257"/>
      <c r="AT54" s="257"/>
      <c r="AU54" s="257"/>
      <c r="AZ54" s="257"/>
      <c r="BA54" t="s">
        <v>373</v>
      </c>
      <c r="BB54" t="s">
        <v>139</v>
      </c>
      <c r="BC54" t="s">
        <v>2192</v>
      </c>
      <c r="BF54" s="257"/>
      <c r="BG54" s="257"/>
    </row>
    <row r="55" spans="1:59">
      <c r="A55">
        <v>401</v>
      </c>
      <c r="B55" t="s">
        <v>3571</v>
      </c>
      <c r="C55" t="s">
        <v>3572</v>
      </c>
      <c r="D55" t="s">
        <v>8</v>
      </c>
      <c r="E55" t="s">
        <v>9</v>
      </c>
      <c r="F55" t="s">
        <v>1773</v>
      </c>
      <c r="G55" s="257">
        <v>45001</v>
      </c>
      <c r="H55" s="257"/>
      <c r="I55" s="257"/>
      <c r="K55" s="368" t="s">
        <v>3979</v>
      </c>
      <c r="L55" t="s">
        <v>2193</v>
      </c>
      <c r="M55" t="s">
        <v>114</v>
      </c>
      <c r="P55" t="s">
        <v>1554</v>
      </c>
      <c r="Q55" t="s">
        <v>2198</v>
      </c>
      <c r="R55" s="257">
        <v>44992.60864583333</v>
      </c>
      <c r="S55">
        <v>2023</v>
      </c>
      <c r="T55" t="s">
        <v>2194</v>
      </c>
      <c r="U55" t="s">
        <v>678</v>
      </c>
      <c r="V55" t="s">
        <v>679</v>
      </c>
      <c r="W55" t="s">
        <v>145</v>
      </c>
      <c r="X55" t="s">
        <v>309</v>
      </c>
      <c r="Y55" s="371">
        <v>45078</v>
      </c>
      <c r="Z55" t="s">
        <v>1875</v>
      </c>
      <c r="AA55" s="257"/>
      <c r="AB55" t="s">
        <v>139</v>
      </c>
      <c r="AC55" t="s">
        <v>1875</v>
      </c>
      <c r="AD55" t="s">
        <v>1805</v>
      </c>
      <c r="AE55" s="257" t="s">
        <v>1805</v>
      </c>
      <c r="AF55" s="257"/>
      <c r="AG55" s="257"/>
      <c r="AJ55" t="s">
        <v>2191</v>
      </c>
      <c r="AK55" s="257"/>
      <c r="AL55" s="257" t="s">
        <v>2190</v>
      </c>
      <c r="AM55" t="s">
        <v>1975</v>
      </c>
      <c r="AN55" t="b">
        <v>0</v>
      </c>
      <c r="AP55" s="257"/>
      <c r="AQ55" s="257"/>
      <c r="AR55" s="257"/>
      <c r="AT55" s="257"/>
      <c r="AU55" s="257"/>
      <c r="AZ55" s="257"/>
      <c r="BA55" t="s">
        <v>373</v>
      </c>
      <c r="BB55" t="s">
        <v>139</v>
      </c>
      <c r="BC55" t="s">
        <v>2192</v>
      </c>
      <c r="BF55" s="257"/>
      <c r="BG55" s="257"/>
    </row>
    <row r="56" spans="1:59">
      <c r="A56">
        <v>402</v>
      </c>
      <c r="B56" t="s">
        <v>2559</v>
      </c>
      <c r="C56" t="s">
        <v>3777</v>
      </c>
      <c r="D56" t="s">
        <v>8</v>
      </c>
      <c r="E56" t="s">
        <v>9</v>
      </c>
      <c r="F56" t="s">
        <v>1773</v>
      </c>
      <c r="G56" s="257">
        <v>45054</v>
      </c>
      <c r="H56" s="257"/>
      <c r="I56" s="257"/>
      <c r="K56" s="368" t="s">
        <v>3983</v>
      </c>
      <c r="L56" t="s">
        <v>2193</v>
      </c>
      <c r="M56" t="s">
        <v>114</v>
      </c>
      <c r="P56" t="s">
        <v>1554</v>
      </c>
      <c r="Q56" t="s">
        <v>2198</v>
      </c>
      <c r="R56" s="257">
        <v>44992.543229166666</v>
      </c>
      <c r="S56">
        <v>2023</v>
      </c>
      <c r="T56" t="s">
        <v>2194</v>
      </c>
      <c r="U56" t="s">
        <v>678</v>
      </c>
      <c r="V56" t="s">
        <v>679</v>
      </c>
      <c r="W56" t="s">
        <v>145</v>
      </c>
      <c r="X56" t="s">
        <v>309</v>
      </c>
      <c r="Y56" s="371">
        <v>45078</v>
      </c>
      <c r="Z56" t="s">
        <v>1875</v>
      </c>
      <c r="AA56" s="257"/>
      <c r="AB56" t="s">
        <v>139</v>
      </c>
      <c r="AC56" t="s">
        <v>1875</v>
      </c>
      <c r="AD56" t="s">
        <v>1805</v>
      </c>
      <c r="AE56" s="257" t="s">
        <v>1805</v>
      </c>
      <c r="AF56" s="257"/>
      <c r="AG56" s="257"/>
      <c r="AJ56" t="s">
        <v>2191</v>
      </c>
      <c r="AK56" s="257"/>
      <c r="AL56" s="257" t="s">
        <v>2190</v>
      </c>
      <c r="AM56" t="s">
        <v>1975</v>
      </c>
      <c r="AN56" t="b">
        <v>0</v>
      </c>
      <c r="AP56" s="257"/>
      <c r="AQ56" s="257"/>
      <c r="AR56" s="257"/>
      <c r="AT56" s="257"/>
      <c r="AU56" s="257"/>
      <c r="AZ56" s="257"/>
      <c r="BA56" t="s">
        <v>373</v>
      </c>
      <c r="BB56" t="s">
        <v>139</v>
      </c>
      <c r="BC56" t="s">
        <v>2192</v>
      </c>
      <c r="BF56" s="257"/>
      <c r="BG56" s="257"/>
    </row>
    <row r="57" spans="1:59">
      <c r="A57">
        <v>416</v>
      </c>
      <c r="B57" t="s">
        <v>3833</v>
      </c>
      <c r="C57" t="s">
        <v>3834</v>
      </c>
      <c r="D57" t="s">
        <v>8</v>
      </c>
      <c r="E57" t="s">
        <v>9</v>
      </c>
      <c r="F57" t="s">
        <v>1773</v>
      </c>
      <c r="G57" s="257">
        <v>45096</v>
      </c>
      <c r="H57" s="257"/>
      <c r="I57" s="257"/>
      <c r="K57" s="368" t="s">
        <v>3983</v>
      </c>
      <c r="L57" t="s">
        <v>2193</v>
      </c>
      <c r="M57" t="s">
        <v>115</v>
      </c>
      <c r="P57" t="s">
        <v>1555</v>
      </c>
      <c r="Q57" t="s">
        <v>2198</v>
      </c>
      <c r="R57" s="257">
        <v>44992.543645833335</v>
      </c>
      <c r="S57">
        <v>2023</v>
      </c>
      <c r="T57" t="s">
        <v>2194</v>
      </c>
      <c r="U57" t="s">
        <v>678</v>
      </c>
      <c r="V57" t="s">
        <v>679</v>
      </c>
      <c r="W57" t="s">
        <v>145</v>
      </c>
      <c r="X57" t="s">
        <v>309</v>
      </c>
      <c r="Y57" s="371">
        <v>45078</v>
      </c>
      <c r="Z57" t="s">
        <v>1875</v>
      </c>
      <c r="AA57" s="257"/>
      <c r="AB57" t="s">
        <v>139</v>
      </c>
      <c r="AC57" t="s">
        <v>1875</v>
      </c>
      <c r="AD57" t="s">
        <v>1805</v>
      </c>
      <c r="AE57" s="257" t="s">
        <v>1805</v>
      </c>
      <c r="AF57" s="257"/>
      <c r="AG57" s="257"/>
      <c r="AJ57" t="s">
        <v>2191</v>
      </c>
      <c r="AK57" s="257"/>
      <c r="AL57" s="257" t="s">
        <v>2190</v>
      </c>
      <c r="AM57" t="s">
        <v>1975</v>
      </c>
      <c r="AN57" t="b">
        <v>0</v>
      </c>
      <c r="AP57" s="257"/>
      <c r="AQ57" s="257"/>
      <c r="AR57" s="257"/>
      <c r="AT57" s="257"/>
      <c r="AU57" s="257"/>
      <c r="AZ57" s="257"/>
      <c r="BA57" t="s">
        <v>373</v>
      </c>
      <c r="BB57" t="s">
        <v>139</v>
      </c>
      <c r="BC57" t="s">
        <v>2192</v>
      </c>
      <c r="BF57" s="257"/>
      <c r="BG57" s="257"/>
    </row>
    <row r="58" spans="1:59">
      <c r="A58">
        <v>427</v>
      </c>
      <c r="B58" t="s">
        <v>2820</v>
      </c>
      <c r="C58" t="s">
        <v>2821</v>
      </c>
      <c r="D58" t="s">
        <v>8</v>
      </c>
      <c r="E58" t="s">
        <v>9</v>
      </c>
      <c r="F58" t="s">
        <v>1775</v>
      </c>
      <c r="G58" s="257">
        <v>44831</v>
      </c>
      <c r="H58" s="257"/>
      <c r="I58" s="257"/>
      <c r="K58" s="368" t="s">
        <v>3979</v>
      </c>
      <c r="L58" t="s">
        <v>2193</v>
      </c>
      <c r="M58" t="s">
        <v>113</v>
      </c>
      <c r="P58" t="s">
        <v>1554</v>
      </c>
      <c r="Q58" t="s">
        <v>2198</v>
      </c>
      <c r="R58" s="257">
        <v>44992.616168981483</v>
      </c>
      <c r="S58">
        <v>2022</v>
      </c>
      <c r="T58" t="s">
        <v>2194</v>
      </c>
      <c r="U58" t="s">
        <v>678</v>
      </c>
      <c r="V58" t="s">
        <v>679</v>
      </c>
      <c r="W58" t="s">
        <v>145</v>
      </c>
      <c r="X58" t="s">
        <v>309</v>
      </c>
      <c r="Y58" s="371">
        <v>45078</v>
      </c>
      <c r="Z58" t="s">
        <v>1875</v>
      </c>
      <c r="AA58" s="257"/>
      <c r="AB58" t="s">
        <v>139</v>
      </c>
      <c r="AC58" t="s">
        <v>1875</v>
      </c>
      <c r="AD58" t="s">
        <v>1805</v>
      </c>
      <c r="AE58" s="257" t="s">
        <v>1805</v>
      </c>
      <c r="AF58" s="257"/>
      <c r="AG58" s="257"/>
      <c r="AJ58" t="s">
        <v>2191</v>
      </c>
      <c r="AK58" s="257"/>
      <c r="AL58" s="257" t="s">
        <v>2190</v>
      </c>
      <c r="AM58" t="s">
        <v>1975</v>
      </c>
      <c r="AN58" t="b">
        <v>0</v>
      </c>
      <c r="AP58" s="257"/>
      <c r="AQ58" s="257"/>
      <c r="AR58" s="257"/>
      <c r="AT58" s="257"/>
      <c r="AU58" s="257"/>
      <c r="AZ58" s="257"/>
      <c r="BA58" t="s">
        <v>373</v>
      </c>
      <c r="BB58" t="s">
        <v>139</v>
      </c>
      <c r="BC58" t="s">
        <v>2192</v>
      </c>
      <c r="BF58" s="257"/>
      <c r="BG58" s="257"/>
    </row>
    <row r="59" spans="1:59">
      <c r="A59">
        <v>428</v>
      </c>
      <c r="B59" t="s">
        <v>2927</v>
      </c>
      <c r="C59" t="s">
        <v>2928</v>
      </c>
      <c r="D59" t="s">
        <v>8</v>
      </c>
      <c r="E59" t="s">
        <v>9</v>
      </c>
      <c r="F59" t="s">
        <v>1775</v>
      </c>
      <c r="G59" s="257">
        <v>44835</v>
      </c>
      <c r="H59" s="257"/>
      <c r="I59" s="257"/>
      <c r="K59" s="368" t="s">
        <v>3979</v>
      </c>
      <c r="L59" t="s">
        <v>2193</v>
      </c>
      <c r="M59" t="s">
        <v>113</v>
      </c>
      <c r="P59" t="s">
        <v>1554</v>
      </c>
      <c r="Q59" t="s">
        <v>2198</v>
      </c>
      <c r="R59" s="257">
        <v>44992.61577546296</v>
      </c>
      <c r="S59">
        <v>2022</v>
      </c>
      <c r="T59" t="s">
        <v>2194</v>
      </c>
      <c r="U59" t="s">
        <v>678</v>
      </c>
      <c r="V59" t="s">
        <v>679</v>
      </c>
      <c r="W59" t="s">
        <v>145</v>
      </c>
      <c r="X59" t="s">
        <v>309</v>
      </c>
      <c r="Y59" s="371">
        <v>45078</v>
      </c>
      <c r="Z59" t="s">
        <v>1875</v>
      </c>
      <c r="AA59" s="257"/>
      <c r="AB59" t="s">
        <v>139</v>
      </c>
      <c r="AC59" t="s">
        <v>1875</v>
      </c>
      <c r="AD59" t="s">
        <v>1805</v>
      </c>
      <c r="AE59" s="257" t="s">
        <v>1805</v>
      </c>
      <c r="AF59" s="257"/>
      <c r="AG59" s="257"/>
      <c r="AJ59" t="s">
        <v>2191</v>
      </c>
      <c r="AK59" s="257"/>
      <c r="AL59" s="257" t="s">
        <v>2190</v>
      </c>
      <c r="AM59" t="s">
        <v>1975</v>
      </c>
      <c r="AN59" t="b">
        <v>0</v>
      </c>
      <c r="AP59" s="257"/>
      <c r="AQ59" s="257"/>
      <c r="AR59" s="257"/>
      <c r="AT59" s="257"/>
      <c r="AU59" s="257"/>
      <c r="AZ59" s="257"/>
      <c r="BA59" t="s">
        <v>373</v>
      </c>
      <c r="BB59" t="s">
        <v>139</v>
      </c>
      <c r="BC59" t="s">
        <v>2192</v>
      </c>
      <c r="BF59" s="257"/>
      <c r="BG59" s="257"/>
    </row>
    <row r="60" spans="1:59">
      <c r="A60">
        <v>453</v>
      </c>
      <c r="B60" t="s">
        <v>3335</v>
      </c>
      <c r="C60" t="s">
        <v>3741</v>
      </c>
      <c r="D60" t="s">
        <v>8</v>
      </c>
      <c r="E60" t="s">
        <v>9</v>
      </c>
      <c r="F60" t="s">
        <v>1776</v>
      </c>
      <c r="G60" s="257">
        <v>45057</v>
      </c>
      <c r="H60" s="257"/>
      <c r="I60" s="257"/>
      <c r="K60" s="368" t="s">
        <v>3993</v>
      </c>
      <c r="L60" t="s">
        <v>2193</v>
      </c>
      <c r="M60" t="s">
        <v>114</v>
      </c>
      <c r="P60" t="s">
        <v>1554</v>
      </c>
      <c r="Q60" t="s">
        <v>2198</v>
      </c>
      <c r="R60" s="257">
        <v>44992.53943287037</v>
      </c>
      <c r="S60">
        <v>2023</v>
      </c>
      <c r="T60" t="s">
        <v>2194</v>
      </c>
      <c r="U60" t="s">
        <v>678</v>
      </c>
      <c r="V60" t="s">
        <v>679</v>
      </c>
      <c r="W60" t="s">
        <v>145</v>
      </c>
      <c r="X60" t="s">
        <v>309</v>
      </c>
      <c r="Y60" s="371">
        <v>45078</v>
      </c>
      <c r="Z60" t="s">
        <v>1875</v>
      </c>
      <c r="AA60" s="257"/>
      <c r="AB60" t="s">
        <v>139</v>
      </c>
      <c r="AC60" t="s">
        <v>1875</v>
      </c>
      <c r="AD60" t="s">
        <v>1805</v>
      </c>
      <c r="AE60" s="257" t="s">
        <v>1805</v>
      </c>
      <c r="AF60" s="257"/>
      <c r="AG60" s="257"/>
      <c r="AJ60" t="s">
        <v>2191</v>
      </c>
      <c r="AK60" s="257"/>
      <c r="AL60" s="257" t="s">
        <v>2190</v>
      </c>
      <c r="AM60" t="s">
        <v>1975</v>
      </c>
      <c r="AN60" t="b">
        <v>0</v>
      </c>
      <c r="AP60" s="257"/>
      <c r="AQ60" s="257"/>
      <c r="AR60" s="257"/>
      <c r="AT60" s="257"/>
      <c r="AU60" s="257"/>
      <c r="AZ60" s="257"/>
      <c r="BA60" t="s">
        <v>373</v>
      </c>
      <c r="BB60" t="s">
        <v>139</v>
      </c>
      <c r="BC60" t="s">
        <v>2192</v>
      </c>
      <c r="BF60" s="257"/>
      <c r="BG60" s="257"/>
    </row>
    <row r="61" spans="1:59">
      <c r="A61">
        <v>455</v>
      </c>
      <c r="B61" t="s">
        <v>2604</v>
      </c>
      <c r="C61" t="s">
        <v>2605</v>
      </c>
      <c r="D61" t="s">
        <v>8</v>
      </c>
      <c r="E61" t="s">
        <v>9</v>
      </c>
      <c r="F61" t="s">
        <v>1871</v>
      </c>
      <c r="G61" s="257">
        <v>44394</v>
      </c>
      <c r="H61" s="257"/>
      <c r="I61" s="257"/>
      <c r="K61" s="368" t="s">
        <v>3987</v>
      </c>
      <c r="L61" t="s">
        <v>2193</v>
      </c>
      <c r="M61" t="s">
        <v>114</v>
      </c>
      <c r="P61" t="s">
        <v>1554</v>
      </c>
      <c r="Q61" t="s">
        <v>2198</v>
      </c>
      <c r="R61" s="257">
        <v>44992.61546296296</v>
      </c>
      <c r="S61">
        <v>2021</v>
      </c>
      <c r="T61" t="s">
        <v>2194</v>
      </c>
      <c r="U61" t="s">
        <v>678</v>
      </c>
      <c r="V61" t="s">
        <v>679</v>
      </c>
      <c r="W61" t="s">
        <v>145</v>
      </c>
      <c r="X61" t="s">
        <v>309</v>
      </c>
      <c r="Y61" s="371">
        <v>45078</v>
      </c>
      <c r="Z61" t="s">
        <v>1875</v>
      </c>
      <c r="AA61" s="257"/>
      <c r="AB61" t="s">
        <v>139</v>
      </c>
      <c r="AC61" t="s">
        <v>1875</v>
      </c>
      <c r="AD61" t="s">
        <v>1805</v>
      </c>
      <c r="AE61" s="257" t="s">
        <v>1805</v>
      </c>
      <c r="AF61" s="257"/>
      <c r="AG61" s="257"/>
      <c r="AJ61" t="s">
        <v>2191</v>
      </c>
      <c r="AK61" s="257"/>
      <c r="AL61" s="257" t="s">
        <v>2190</v>
      </c>
      <c r="AM61" t="s">
        <v>1975</v>
      </c>
      <c r="AN61" t="b">
        <v>0</v>
      </c>
      <c r="AP61" s="257"/>
      <c r="AQ61" s="257"/>
      <c r="AR61" s="257"/>
      <c r="AT61" s="257"/>
      <c r="AU61" s="257"/>
      <c r="AZ61" s="257"/>
      <c r="BA61" t="s">
        <v>373</v>
      </c>
      <c r="BB61" t="s">
        <v>139</v>
      </c>
      <c r="BC61" t="s">
        <v>2192</v>
      </c>
      <c r="BF61" s="257"/>
      <c r="BG61" s="257"/>
    </row>
    <row r="62" spans="1:59">
      <c r="A62">
        <v>470</v>
      </c>
      <c r="B62" t="s">
        <v>2666</v>
      </c>
      <c r="C62" t="s">
        <v>2667</v>
      </c>
      <c r="D62" t="s">
        <v>8</v>
      </c>
      <c r="E62" t="s">
        <v>13</v>
      </c>
      <c r="F62" t="s">
        <v>1560</v>
      </c>
      <c r="G62" s="257">
        <v>44533</v>
      </c>
      <c r="H62" s="257"/>
      <c r="I62" s="257"/>
      <c r="K62" s="368" t="s">
        <v>3983</v>
      </c>
      <c r="L62" t="s">
        <v>2193</v>
      </c>
      <c r="M62" t="s">
        <v>113</v>
      </c>
      <c r="P62" t="s">
        <v>1554</v>
      </c>
      <c r="Q62" t="s">
        <v>2198</v>
      </c>
      <c r="R62" s="257">
        <v>44992.608275462961</v>
      </c>
      <c r="S62">
        <v>2021</v>
      </c>
      <c r="T62" t="s">
        <v>2194</v>
      </c>
      <c r="U62" t="s">
        <v>678</v>
      </c>
      <c r="V62" t="s">
        <v>679</v>
      </c>
      <c r="W62" t="s">
        <v>145</v>
      </c>
      <c r="X62" t="s">
        <v>309</v>
      </c>
      <c r="Y62" s="371">
        <v>45078</v>
      </c>
      <c r="Z62" t="s">
        <v>1875</v>
      </c>
      <c r="AA62" s="257"/>
      <c r="AB62" t="s">
        <v>139</v>
      </c>
      <c r="AC62" t="s">
        <v>1875</v>
      </c>
      <c r="AD62" t="s">
        <v>1805</v>
      </c>
      <c r="AE62" s="257" t="s">
        <v>1805</v>
      </c>
      <c r="AF62" s="257"/>
      <c r="AG62" s="257"/>
      <c r="AJ62" t="s">
        <v>2191</v>
      </c>
      <c r="AK62" s="257"/>
      <c r="AL62" s="257" t="s">
        <v>2190</v>
      </c>
      <c r="AM62" t="s">
        <v>1975</v>
      </c>
      <c r="AN62" t="b">
        <v>0</v>
      </c>
      <c r="AP62" s="257"/>
      <c r="AQ62" s="257"/>
      <c r="AR62" s="257"/>
      <c r="AT62" s="257"/>
      <c r="AU62" s="257"/>
      <c r="AZ62" s="257"/>
      <c r="BA62" t="s">
        <v>373</v>
      </c>
      <c r="BB62" t="s">
        <v>139</v>
      </c>
      <c r="BC62" t="s">
        <v>3970</v>
      </c>
      <c r="BF62" s="257"/>
      <c r="BG62" s="257"/>
    </row>
    <row r="63" spans="1:59">
      <c r="A63">
        <v>596</v>
      </c>
      <c r="B63" t="s">
        <v>2711</v>
      </c>
      <c r="C63" t="s">
        <v>3260</v>
      </c>
      <c r="D63" t="s">
        <v>8</v>
      </c>
      <c r="E63" t="s">
        <v>13</v>
      </c>
      <c r="F63" t="s">
        <v>1567</v>
      </c>
      <c r="G63" s="257">
        <v>44930</v>
      </c>
      <c r="H63" s="257"/>
      <c r="I63" s="257"/>
      <c r="K63" s="368" t="s">
        <v>3994</v>
      </c>
      <c r="L63" t="s">
        <v>2193</v>
      </c>
      <c r="M63" t="s">
        <v>119</v>
      </c>
      <c r="P63" t="s">
        <v>1554</v>
      </c>
      <c r="Q63" t="s">
        <v>2198</v>
      </c>
      <c r="R63" s="257">
        <v>44992.58253472222</v>
      </c>
      <c r="S63">
        <v>2023</v>
      </c>
      <c r="T63" t="s">
        <v>2194</v>
      </c>
      <c r="U63" t="s">
        <v>678</v>
      </c>
      <c r="V63" t="s">
        <v>679</v>
      </c>
      <c r="W63" t="s">
        <v>145</v>
      </c>
      <c r="X63" t="s">
        <v>309</v>
      </c>
      <c r="Y63" s="371">
        <v>45078</v>
      </c>
      <c r="Z63" t="s">
        <v>1875</v>
      </c>
      <c r="AA63" s="257" t="s">
        <v>2873</v>
      </c>
      <c r="AB63" t="s">
        <v>139</v>
      </c>
      <c r="AC63" t="s">
        <v>1875</v>
      </c>
      <c r="AD63" t="s">
        <v>1805</v>
      </c>
      <c r="AE63" s="257" t="s">
        <v>1805</v>
      </c>
      <c r="AF63" s="257"/>
      <c r="AG63" s="257"/>
      <c r="AI63" t="s">
        <v>3261</v>
      </c>
      <c r="AJ63" t="s">
        <v>2191</v>
      </c>
      <c r="AK63" s="257" t="s">
        <v>3262</v>
      </c>
      <c r="AL63" s="257" t="s">
        <v>3995</v>
      </c>
      <c r="AM63" t="s">
        <v>1975</v>
      </c>
      <c r="AN63" t="b">
        <v>0</v>
      </c>
      <c r="AP63" s="257"/>
      <c r="AQ63" s="257"/>
      <c r="AR63" s="257"/>
      <c r="AT63" s="257"/>
      <c r="AU63" s="257"/>
      <c r="AZ63" s="257"/>
      <c r="BA63" t="s">
        <v>373</v>
      </c>
      <c r="BB63" t="s">
        <v>139</v>
      </c>
      <c r="BC63" t="s">
        <v>3797</v>
      </c>
      <c r="BF63" s="257"/>
      <c r="BG63" s="257"/>
    </row>
    <row r="64" spans="1:59">
      <c r="A64">
        <v>628</v>
      </c>
      <c r="B64" t="s">
        <v>2643</v>
      </c>
      <c r="C64" t="s">
        <v>2644</v>
      </c>
      <c r="D64" t="s">
        <v>8</v>
      </c>
      <c r="E64" t="s">
        <v>13</v>
      </c>
      <c r="F64" t="s">
        <v>1569</v>
      </c>
      <c r="G64" s="257">
        <v>44223</v>
      </c>
      <c r="H64" s="257"/>
      <c r="I64" s="257"/>
      <c r="K64" s="368" t="s">
        <v>3981</v>
      </c>
      <c r="L64" t="s">
        <v>2193</v>
      </c>
      <c r="M64" t="s">
        <v>115</v>
      </c>
      <c r="P64" t="s">
        <v>1554</v>
      </c>
      <c r="Q64" t="s">
        <v>2198</v>
      </c>
      <c r="R64" s="257">
        <v>44992.604872685188</v>
      </c>
      <c r="S64">
        <v>2021</v>
      </c>
      <c r="T64" t="s">
        <v>2194</v>
      </c>
      <c r="U64" t="s">
        <v>678</v>
      </c>
      <c r="V64" t="s">
        <v>679</v>
      </c>
      <c r="W64" t="s">
        <v>145</v>
      </c>
      <c r="X64" t="s">
        <v>309</v>
      </c>
      <c r="Y64" s="371">
        <v>45078</v>
      </c>
      <c r="Z64" t="s">
        <v>1875</v>
      </c>
      <c r="AA64" s="257"/>
      <c r="AB64" t="s">
        <v>139</v>
      </c>
      <c r="AC64" t="s">
        <v>1875</v>
      </c>
      <c r="AD64" t="s">
        <v>1805</v>
      </c>
      <c r="AE64" s="257" t="s">
        <v>1805</v>
      </c>
      <c r="AF64" s="257"/>
      <c r="AG64" s="257"/>
      <c r="AJ64" t="s">
        <v>2191</v>
      </c>
      <c r="AK64" s="257"/>
      <c r="AL64" s="257" t="s">
        <v>2190</v>
      </c>
      <c r="AM64" t="s">
        <v>1975</v>
      </c>
      <c r="AN64" t="b">
        <v>0</v>
      </c>
      <c r="AP64" s="257"/>
      <c r="AQ64" s="257"/>
      <c r="AR64" s="257"/>
      <c r="AT64" s="257"/>
      <c r="AU64" s="257"/>
      <c r="AZ64" s="257"/>
      <c r="BA64" t="s">
        <v>373</v>
      </c>
      <c r="BB64" t="s">
        <v>139</v>
      </c>
      <c r="BC64" t="s">
        <v>3969</v>
      </c>
      <c r="BF64" s="257"/>
      <c r="BG64" s="257"/>
    </row>
    <row r="65" spans="1:59">
      <c r="A65">
        <v>634</v>
      </c>
      <c r="B65" t="s">
        <v>3963</v>
      </c>
      <c r="C65" t="s">
        <v>3964</v>
      </c>
      <c r="D65" t="s">
        <v>8</v>
      </c>
      <c r="E65" t="s">
        <v>13</v>
      </c>
      <c r="F65" t="s">
        <v>1575</v>
      </c>
      <c r="G65" s="257">
        <v>45076</v>
      </c>
      <c r="H65" s="257"/>
      <c r="I65" s="257"/>
      <c r="K65" s="368" t="s">
        <v>3996</v>
      </c>
      <c r="L65" t="s">
        <v>2193</v>
      </c>
      <c r="M65" t="s">
        <v>114</v>
      </c>
      <c r="P65" t="s">
        <v>1554</v>
      </c>
      <c r="Q65" t="s">
        <v>2198</v>
      </c>
      <c r="R65" s="257">
        <v>44992.579131944447</v>
      </c>
      <c r="S65">
        <v>2023</v>
      </c>
      <c r="T65" t="s">
        <v>2194</v>
      </c>
      <c r="U65" t="s">
        <v>678</v>
      </c>
      <c r="V65" t="s">
        <v>679</v>
      </c>
      <c r="W65" t="s">
        <v>145</v>
      </c>
      <c r="X65" t="s">
        <v>309</v>
      </c>
      <c r="Y65" s="371">
        <v>45078</v>
      </c>
      <c r="Z65" t="s">
        <v>1875</v>
      </c>
      <c r="AA65" s="257"/>
      <c r="AB65" t="s">
        <v>139</v>
      </c>
      <c r="AC65" t="s">
        <v>1875</v>
      </c>
      <c r="AD65" t="s">
        <v>1805</v>
      </c>
      <c r="AE65" s="257" t="s">
        <v>1805</v>
      </c>
      <c r="AF65" s="257"/>
      <c r="AG65" s="257"/>
      <c r="AJ65" t="s">
        <v>2191</v>
      </c>
      <c r="AK65" s="257"/>
      <c r="AL65" s="257" t="s">
        <v>2190</v>
      </c>
      <c r="AM65" t="s">
        <v>1975</v>
      </c>
      <c r="AN65" t="b">
        <v>0</v>
      </c>
      <c r="AP65" s="257"/>
      <c r="AQ65" s="257"/>
      <c r="AR65" s="257"/>
      <c r="AT65" s="257"/>
      <c r="AU65" s="257"/>
      <c r="AZ65" s="257"/>
      <c r="BA65" t="s">
        <v>373</v>
      </c>
      <c r="BB65" t="s">
        <v>139</v>
      </c>
      <c r="BC65" t="s">
        <v>2861</v>
      </c>
      <c r="BF65" s="257"/>
      <c r="BG65" s="257"/>
    </row>
    <row r="66" spans="1:59">
      <c r="A66">
        <v>635</v>
      </c>
      <c r="B66" t="s">
        <v>3965</v>
      </c>
      <c r="C66" t="s">
        <v>3966</v>
      </c>
      <c r="D66" t="s">
        <v>8</v>
      </c>
      <c r="E66" t="s">
        <v>13</v>
      </c>
      <c r="F66" t="s">
        <v>1575</v>
      </c>
      <c r="G66" s="257">
        <v>45072</v>
      </c>
      <c r="H66" s="257"/>
      <c r="I66" s="257"/>
      <c r="K66" s="368" t="s">
        <v>3992</v>
      </c>
      <c r="L66" t="s">
        <v>2193</v>
      </c>
      <c r="M66" t="s">
        <v>114</v>
      </c>
      <c r="P66" t="s">
        <v>1554</v>
      </c>
      <c r="Q66" t="s">
        <v>2198</v>
      </c>
      <c r="R66" s="257">
        <v>44992.60050925926</v>
      </c>
      <c r="S66">
        <v>2023</v>
      </c>
      <c r="T66" t="s">
        <v>2194</v>
      </c>
      <c r="U66" t="s">
        <v>678</v>
      </c>
      <c r="V66" t="s">
        <v>679</v>
      </c>
      <c r="W66" t="s">
        <v>145</v>
      </c>
      <c r="X66" t="s">
        <v>309</v>
      </c>
      <c r="Y66" s="371">
        <v>45078</v>
      </c>
      <c r="Z66" t="s">
        <v>1875</v>
      </c>
      <c r="AA66" s="257"/>
      <c r="AB66" t="s">
        <v>139</v>
      </c>
      <c r="AC66" t="s">
        <v>1875</v>
      </c>
      <c r="AD66" t="s">
        <v>1805</v>
      </c>
      <c r="AE66" s="257" t="s">
        <v>1805</v>
      </c>
      <c r="AF66" s="257"/>
      <c r="AG66" s="257"/>
      <c r="AJ66" t="s">
        <v>2191</v>
      </c>
      <c r="AK66" s="257"/>
      <c r="AL66" s="257" t="s">
        <v>2190</v>
      </c>
      <c r="AM66" t="s">
        <v>1975</v>
      </c>
      <c r="AN66" t="b">
        <v>0</v>
      </c>
      <c r="AP66" s="257"/>
      <c r="AQ66" s="257"/>
      <c r="AR66" s="257"/>
      <c r="AT66" s="257"/>
      <c r="AU66" s="257"/>
      <c r="AZ66" s="257"/>
      <c r="BA66" t="s">
        <v>373</v>
      </c>
      <c r="BB66" t="s">
        <v>139</v>
      </c>
      <c r="BC66" t="s">
        <v>2862</v>
      </c>
      <c r="BF66" s="257"/>
      <c r="BG66" s="257"/>
    </row>
    <row r="67" spans="1:59">
      <c r="A67">
        <v>636</v>
      </c>
      <c r="B67" t="s">
        <v>3977</v>
      </c>
      <c r="C67" t="s">
        <v>3891</v>
      </c>
      <c r="D67" t="s">
        <v>8</v>
      </c>
      <c r="E67" t="s">
        <v>13</v>
      </c>
      <c r="F67" t="s">
        <v>1575</v>
      </c>
      <c r="G67" s="257">
        <v>45076</v>
      </c>
      <c r="H67" s="257"/>
      <c r="I67" s="257"/>
      <c r="K67" s="368" t="s">
        <v>3997</v>
      </c>
      <c r="L67" t="s">
        <v>2193</v>
      </c>
      <c r="M67" t="s">
        <v>114</v>
      </c>
      <c r="P67" t="s">
        <v>1554</v>
      </c>
      <c r="Q67" t="s">
        <v>2198</v>
      </c>
      <c r="R67" s="257">
        <v>44992.649317129632</v>
      </c>
      <c r="S67">
        <v>2023</v>
      </c>
      <c r="T67" t="s">
        <v>2194</v>
      </c>
      <c r="U67" t="s">
        <v>678</v>
      </c>
      <c r="V67" t="s">
        <v>679</v>
      </c>
      <c r="W67" t="s">
        <v>145</v>
      </c>
      <c r="X67" t="s">
        <v>309</v>
      </c>
      <c r="Y67" s="371">
        <v>45078</v>
      </c>
      <c r="Z67" t="s">
        <v>1875</v>
      </c>
      <c r="AA67" s="257"/>
      <c r="AB67" t="s">
        <v>139</v>
      </c>
      <c r="AC67" t="s">
        <v>1875</v>
      </c>
      <c r="AD67" t="s">
        <v>1805</v>
      </c>
      <c r="AE67" s="257" t="s">
        <v>1805</v>
      </c>
      <c r="AF67" s="257"/>
      <c r="AG67" s="257"/>
      <c r="AJ67" t="s">
        <v>2191</v>
      </c>
      <c r="AK67" s="257"/>
      <c r="AL67" s="257" t="s">
        <v>2190</v>
      </c>
      <c r="AM67" t="s">
        <v>1975</v>
      </c>
      <c r="AN67" t="b">
        <v>0</v>
      </c>
      <c r="AP67" s="257"/>
      <c r="AQ67" s="257"/>
      <c r="AR67" s="257"/>
      <c r="AT67" s="257"/>
      <c r="AU67" s="257"/>
      <c r="AZ67" s="257"/>
      <c r="BA67" t="s">
        <v>373</v>
      </c>
      <c r="BB67" t="s">
        <v>139</v>
      </c>
      <c r="BC67" t="s">
        <v>2861</v>
      </c>
      <c r="BF67" s="257"/>
      <c r="BG67" s="257"/>
    </row>
    <row r="68" spans="1:59">
      <c r="A68">
        <v>637</v>
      </c>
      <c r="B68" t="s">
        <v>3507</v>
      </c>
      <c r="C68" t="s">
        <v>3508</v>
      </c>
      <c r="D68" t="s">
        <v>8</v>
      </c>
      <c r="E68" t="s">
        <v>13</v>
      </c>
      <c r="F68" t="s">
        <v>1575</v>
      </c>
      <c r="G68" s="257">
        <v>45001</v>
      </c>
      <c r="H68" s="257"/>
      <c r="I68" s="257"/>
      <c r="K68" s="368" t="s">
        <v>3982</v>
      </c>
      <c r="L68" t="s">
        <v>2193</v>
      </c>
      <c r="M68" t="s">
        <v>114</v>
      </c>
      <c r="P68" t="s">
        <v>1554</v>
      </c>
      <c r="Q68" t="s">
        <v>2198</v>
      </c>
      <c r="R68" s="257">
        <v>44992.644791666666</v>
      </c>
      <c r="S68">
        <v>2023</v>
      </c>
      <c r="T68" t="s">
        <v>2194</v>
      </c>
      <c r="U68" t="s">
        <v>678</v>
      </c>
      <c r="V68" t="s">
        <v>679</v>
      </c>
      <c r="W68" t="s">
        <v>145</v>
      </c>
      <c r="X68" t="s">
        <v>309</v>
      </c>
      <c r="Y68" s="371">
        <v>45078</v>
      </c>
      <c r="Z68" t="s">
        <v>1875</v>
      </c>
      <c r="AA68" s="257"/>
      <c r="AB68" t="s">
        <v>139</v>
      </c>
      <c r="AC68" t="s">
        <v>1875</v>
      </c>
      <c r="AD68" t="s">
        <v>1805</v>
      </c>
      <c r="AE68" s="257" t="s">
        <v>1805</v>
      </c>
      <c r="AF68" s="257"/>
      <c r="AG68" s="257"/>
      <c r="AJ68" t="s">
        <v>2191</v>
      </c>
      <c r="AK68" s="257"/>
      <c r="AL68" s="257" t="s">
        <v>2190</v>
      </c>
      <c r="AM68" t="s">
        <v>1975</v>
      </c>
      <c r="AN68" t="b">
        <v>0</v>
      </c>
      <c r="AP68" s="257"/>
      <c r="AQ68" s="257"/>
      <c r="AR68" s="257"/>
      <c r="AT68" s="257"/>
      <c r="AU68" s="257"/>
      <c r="AZ68" s="257"/>
      <c r="BA68" t="s">
        <v>373</v>
      </c>
      <c r="BB68" t="s">
        <v>139</v>
      </c>
      <c r="BC68" t="s">
        <v>2862</v>
      </c>
      <c r="BF68" s="257"/>
      <c r="BG68" s="257"/>
    </row>
    <row r="69" spans="1:59">
      <c r="A69">
        <v>638</v>
      </c>
      <c r="B69" t="s">
        <v>3710</v>
      </c>
      <c r="C69" t="s">
        <v>3711</v>
      </c>
      <c r="D69" t="s">
        <v>8</v>
      </c>
      <c r="E69" t="s">
        <v>13</v>
      </c>
      <c r="F69" t="s">
        <v>1575</v>
      </c>
      <c r="G69" s="257">
        <v>45027</v>
      </c>
      <c r="H69" s="257"/>
      <c r="I69" s="257"/>
      <c r="K69" s="368" t="s">
        <v>3993</v>
      </c>
      <c r="L69" t="s">
        <v>2193</v>
      </c>
      <c r="M69" t="s">
        <v>114</v>
      </c>
      <c r="P69" t="s">
        <v>1554</v>
      </c>
      <c r="Q69" t="s">
        <v>2198</v>
      </c>
      <c r="R69" s="257">
        <v>44992.64539351852</v>
      </c>
      <c r="S69">
        <v>2023</v>
      </c>
      <c r="T69" t="s">
        <v>2194</v>
      </c>
      <c r="U69" t="s">
        <v>678</v>
      </c>
      <c r="V69" t="s">
        <v>679</v>
      </c>
      <c r="W69" t="s">
        <v>145</v>
      </c>
      <c r="X69" t="s">
        <v>309</v>
      </c>
      <c r="Y69" s="371">
        <v>45078</v>
      </c>
      <c r="Z69" t="s">
        <v>1875</v>
      </c>
      <c r="AA69" s="257"/>
      <c r="AB69" t="s">
        <v>139</v>
      </c>
      <c r="AC69" t="s">
        <v>1875</v>
      </c>
      <c r="AD69" t="s">
        <v>1805</v>
      </c>
      <c r="AE69" s="257" t="s">
        <v>1805</v>
      </c>
      <c r="AF69" s="257"/>
      <c r="AG69" s="257"/>
      <c r="AJ69" t="s">
        <v>2191</v>
      </c>
      <c r="AK69" s="257"/>
      <c r="AL69" s="257" t="s">
        <v>2190</v>
      </c>
      <c r="AM69" t="s">
        <v>1975</v>
      </c>
      <c r="AN69" t="b">
        <v>0</v>
      </c>
      <c r="AP69" s="257"/>
      <c r="AQ69" s="257"/>
      <c r="AR69" s="257"/>
      <c r="AT69" s="257"/>
      <c r="AU69" s="257"/>
      <c r="AZ69" s="257"/>
      <c r="BA69" t="s">
        <v>373</v>
      </c>
      <c r="BB69" t="s">
        <v>139</v>
      </c>
      <c r="BC69" t="s">
        <v>2861</v>
      </c>
      <c r="BF69" s="257"/>
      <c r="BG69" s="257"/>
    </row>
    <row r="70" spans="1:59">
      <c r="A70">
        <v>639</v>
      </c>
      <c r="B70" t="s">
        <v>3712</v>
      </c>
      <c r="C70" t="s">
        <v>3713</v>
      </c>
      <c r="D70" t="s">
        <v>8</v>
      </c>
      <c r="E70" t="s">
        <v>13</v>
      </c>
      <c r="F70" t="s">
        <v>1575</v>
      </c>
      <c r="G70" s="257">
        <v>45027</v>
      </c>
      <c r="H70" s="257"/>
      <c r="I70" s="257"/>
      <c r="K70" s="368" t="s">
        <v>3997</v>
      </c>
      <c r="L70" t="s">
        <v>2193</v>
      </c>
      <c r="M70" t="s">
        <v>114</v>
      </c>
      <c r="P70" t="s">
        <v>1554</v>
      </c>
      <c r="Q70" t="s">
        <v>2198</v>
      </c>
      <c r="R70" s="257">
        <v>44992.574074074073</v>
      </c>
      <c r="S70">
        <v>2023</v>
      </c>
      <c r="T70" t="s">
        <v>2194</v>
      </c>
      <c r="U70" t="s">
        <v>678</v>
      </c>
      <c r="V70" t="s">
        <v>679</v>
      </c>
      <c r="W70" t="s">
        <v>145</v>
      </c>
      <c r="X70" t="s">
        <v>309</v>
      </c>
      <c r="Y70" s="371">
        <v>45078</v>
      </c>
      <c r="Z70" t="s">
        <v>1875</v>
      </c>
      <c r="AA70" s="257"/>
      <c r="AB70" t="s">
        <v>139</v>
      </c>
      <c r="AC70" t="s">
        <v>1875</v>
      </c>
      <c r="AD70" t="s">
        <v>1805</v>
      </c>
      <c r="AE70" s="257" t="s">
        <v>1805</v>
      </c>
      <c r="AF70" s="257"/>
      <c r="AG70" s="257"/>
      <c r="AJ70" t="s">
        <v>2191</v>
      </c>
      <c r="AK70" s="257"/>
      <c r="AL70" s="257" t="s">
        <v>2190</v>
      </c>
      <c r="AM70" t="s">
        <v>1975</v>
      </c>
      <c r="AN70" t="b">
        <v>0</v>
      </c>
      <c r="AP70" s="257"/>
      <c r="AQ70" s="257"/>
      <c r="AR70" s="257"/>
      <c r="AT70" s="257"/>
      <c r="AU70" s="257"/>
      <c r="AZ70" s="257"/>
      <c r="BA70" t="s">
        <v>373</v>
      </c>
      <c r="BB70" t="s">
        <v>139</v>
      </c>
      <c r="BC70" t="s">
        <v>2861</v>
      </c>
      <c r="BF70" s="257"/>
      <c r="BG70" s="257"/>
    </row>
    <row r="71" spans="1:59">
      <c r="A71">
        <v>640</v>
      </c>
      <c r="B71" t="s">
        <v>3714</v>
      </c>
      <c r="C71" t="s">
        <v>3715</v>
      </c>
      <c r="D71" t="s">
        <v>8</v>
      </c>
      <c r="E71" t="s">
        <v>13</v>
      </c>
      <c r="F71" t="s">
        <v>1575</v>
      </c>
      <c r="G71" s="257">
        <v>45034</v>
      </c>
      <c r="H71" s="257"/>
      <c r="I71" s="257"/>
      <c r="K71" s="368" t="s">
        <v>3998</v>
      </c>
      <c r="L71" t="s">
        <v>2193</v>
      </c>
      <c r="M71" t="s">
        <v>114</v>
      </c>
      <c r="P71" t="s">
        <v>1554</v>
      </c>
      <c r="Q71" t="s">
        <v>2198</v>
      </c>
      <c r="R71" s="257">
        <v>44992.645844907405</v>
      </c>
      <c r="S71">
        <v>2023</v>
      </c>
      <c r="T71" t="s">
        <v>2194</v>
      </c>
      <c r="U71" t="s">
        <v>678</v>
      </c>
      <c r="V71" t="s">
        <v>679</v>
      </c>
      <c r="W71" t="s">
        <v>145</v>
      </c>
      <c r="X71" t="s">
        <v>309</v>
      </c>
      <c r="Y71" s="371">
        <v>45078</v>
      </c>
      <c r="Z71" t="s">
        <v>1875</v>
      </c>
      <c r="AA71" s="257"/>
      <c r="AB71" t="s">
        <v>139</v>
      </c>
      <c r="AC71" t="s">
        <v>1875</v>
      </c>
      <c r="AD71" t="s">
        <v>1805</v>
      </c>
      <c r="AE71" s="257" t="s">
        <v>1805</v>
      </c>
      <c r="AF71" s="257"/>
      <c r="AG71" s="257"/>
      <c r="AJ71" t="s">
        <v>2191</v>
      </c>
      <c r="AK71" s="257"/>
      <c r="AL71" s="257" t="s">
        <v>2190</v>
      </c>
      <c r="AM71" t="s">
        <v>1975</v>
      </c>
      <c r="AN71" t="b">
        <v>0</v>
      </c>
      <c r="AP71" s="257"/>
      <c r="AQ71" s="257"/>
      <c r="AR71" s="257"/>
      <c r="AT71" s="257"/>
      <c r="AU71" s="257"/>
      <c r="AZ71" s="257"/>
      <c r="BA71" t="s">
        <v>373</v>
      </c>
      <c r="BB71" t="s">
        <v>139</v>
      </c>
      <c r="BC71" t="s">
        <v>2861</v>
      </c>
      <c r="BF71" s="257"/>
      <c r="BG71" s="257"/>
    </row>
    <row r="72" spans="1:59">
      <c r="A72">
        <v>641</v>
      </c>
      <c r="B72" t="s">
        <v>3716</v>
      </c>
      <c r="C72" t="s">
        <v>3717</v>
      </c>
      <c r="D72" t="s">
        <v>8</v>
      </c>
      <c r="E72" t="s">
        <v>13</v>
      </c>
      <c r="F72" t="s">
        <v>1575</v>
      </c>
      <c r="G72" s="257">
        <v>45042</v>
      </c>
      <c r="H72" s="257"/>
      <c r="I72" s="257"/>
      <c r="K72" s="368" t="s">
        <v>3982</v>
      </c>
      <c r="L72" t="s">
        <v>2193</v>
      </c>
      <c r="M72" t="s">
        <v>116</v>
      </c>
      <c r="P72" t="s">
        <v>1554</v>
      </c>
      <c r="Q72" t="s">
        <v>2198</v>
      </c>
      <c r="R72" s="257">
        <v>44992.646180555559</v>
      </c>
      <c r="S72">
        <v>2023</v>
      </c>
      <c r="T72" t="s">
        <v>2194</v>
      </c>
      <c r="U72" t="s">
        <v>678</v>
      </c>
      <c r="V72" t="s">
        <v>679</v>
      </c>
      <c r="W72" t="s">
        <v>145</v>
      </c>
      <c r="X72" t="s">
        <v>309</v>
      </c>
      <c r="Y72" s="371">
        <v>45078</v>
      </c>
      <c r="Z72" t="s">
        <v>1875</v>
      </c>
      <c r="AA72" s="257"/>
      <c r="AB72" t="s">
        <v>139</v>
      </c>
      <c r="AC72" t="s">
        <v>1875</v>
      </c>
      <c r="AD72" t="s">
        <v>1805</v>
      </c>
      <c r="AE72" s="257" t="s">
        <v>1805</v>
      </c>
      <c r="AF72" s="257"/>
      <c r="AG72" s="257"/>
      <c r="AJ72" t="s">
        <v>2191</v>
      </c>
      <c r="AK72" s="257"/>
      <c r="AL72" s="257" t="s">
        <v>2190</v>
      </c>
      <c r="AM72" t="s">
        <v>1975</v>
      </c>
      <c r="AN72" t="b">
        <v>0</v>
      </c>
      <c r="AP72" s="257"/>
      <c r="AQ72" s="257"/>
      <c r="AR72" s="257"/>
      <c r="AT72" s="257"/>
      <c r="AU72" s="257"/>
      <c r="AZ72" s="257"/>
      <c r="BA72" t="s">
        <v>373</v>
      </c>
      <c r="BB72" t="s">
        <v>139</v>
      </c>
      <c r="BC72" t="s">
        <v>2862</v>
      </c>
      <c r="BF72" s="257"/>
      <c r="BG72" s="257"/>
    </row>
    <row r="73" spans="1:59">
      <c r="A73">
        <v>642</v>
      </c>
      <c r="B73" t="s">
        <v>3880</v>
      </c>
      <c r="C73" t="s">
        <v>3881</v>
      </c>
      <c r="D73" t="s">
        <v>8</v>
      </c>
      <c r="E73" t="s">
        <v>13</v>
      </c>
      <c r="F73" t="s">
        <v>1575</v>
      </c>
      <c r="G73" s="257">
        <v>45082</v>
      </c>
      <c r="H73" s="257"/>
      <c r="I73" s="257"/>
      <c r="K73" s="368" t="s">
        <v>3999</v>
      </c>
      <c r="L73" t="s">
        <v>2193</v>
      </c>
      <c r="M73" t="s">
        <v>114</v>
      </c>
      <c r="P73" t="s">
        <v>1555</v>
      </c>
      <c r="Q73" t="s">
        <v>2198</v>
      </c>
      <c r="R73" s="257">
        <v>44992.581736111111</v>
      </c>
      <c r="S73">
        <v>2023</v>
      </c>
      <c r="T73" t="s">
        <v>2194</v>
      </c>
      <c r="U73" t="s">
        <v>678</v>
      </c>
      <c r="V73" t="s">
        <v>679</v>
      </c>
      <c r="W73" t="s">
        <v>145</v>
      </c>
      <c r="X73" t="s">
        <v>309</v>
      </c>
      <c r="Y73" s="371">
        <v>45078</v>
      </c>
      <c r="Z73" t="s">
        <v>1875</v>
      </c>
      <c r="AA73" s="257"/>
      <c r="AB73" t="s">
        <v>139</v>
      </c>
      <c r="AC73" t="s">
        <v>1875</v>
      </c>
      <c r="AD73" t="s">
        <v>1805</v>
      </c>
      <c r="AE73" s="257" t="s">
        <v>1805</v>
      </c>
      <c r="AF73" s="257"/>
      <c r="AG73" s="257"/>
      <c r="AJ73" t="s">
        <v>2191</v>
      </c>
      <c r="AK73" s="257"/>
      <c r="AL73" s="257" t="s">
        <v>2190</v>
      </c>
      <c r="AM73" t="s">
        <v>1975</v>
      </c>
      <c r="AN73" t="b">
        <v>0</v>
      </c>
      <c r="AP73" s="257"/>
      <c r="AQ73" s="257"/>
      <c r="AR73" s="257"/>
      <c r="AT73" s="257"/>
      <c r="AU73" s="257"/>
      <c r="AZ73" s="257"/>
      <c r="BA73" t="s">
        <v>373</v>
      </c>
      <c r="BB73" t="s">
        <v>139</v>
      </c>
      <c r="BC73" t="s">
        <v>2861</v>
      </c>
      <c r="BF73" s="257"/>
      <c r="BG73" s="257"/>
    </row>
    <row r="74" spans="1:59">
      <c r="A74">
        <v>643</v>
      </c>
      <c r="B74" t="s">
        <v>3882</v>
      </c>
      <c r="C74" t="s">
        <v>3883</v>
      </c>
      <c r="D74" t="s">
        <v>8</v>
      </c>
      <c r="E74" t="s">
        <v>13</v>
      </c>
      <c r="F74" t="s">
        <v>1575</v>
      </c>
      <c r="G74" s="257">
        <v>45084</v>
      </c>
      <c r="H74" s="257"/>
      <c r="I74" s="257"/>
      <c r="K74" s="368" t="s">
        <v>3987</v>
      </c>
      <c r="L74" t="s">
        <v>2193</v>
      </c>
      <c r="M74" t="s">
        <v>114</v>
      </c>
      <c r="P74" t="s">
        <v>1555</v>
      </c>
      <c r="Q74" t="s">
        <v>2198</v>
      </c>
      <c r="R74" s="257">
        <v>44992.608993055554</v>
      </c>
      <c r="S74">
        <v>2023</v>
      </c>
      <c r="T74" t="s">
        <v>2194</v>
      </c>
      <c r="U74" t="s">
        <v>678</v>
      </c>
      <c r="V74" t="s">
        <v>679</v>
      </c>
      <c r="W74" t="s">
        <v>145</v>
      </c>
      <c r="X74" t="s">
        <v>309</v>
      </c>
      <c r="Y74" s="371">
        <v>45078</v>
      </c>
      <c r="Z74" t="s">
        <v>1875</v>
      </c>
      <c r="AA74" s="257"/>
      <c r="AB74" t="s">
        <v>139</v>
      </c>
      <c r="AC74" t="s">
        <v>1875</v>
      </c>
      <c r="AD74" t="s">
        <v>1805</v>
      </c>
      <c r="AE74" s="257" t="s">
        <v>1805</v>
      </c>
      <c r="AF74" s="257"/>
      <c r="AG74" s="257"/>
      <c r="AJ74" t="s">
        <v>2191</v>
      </c>
      <c r="AK74" s="257"/>
      <c r="AL74" s="257" t="s">
        <v>2190</v>
      </c>
      <c r="AM74" t="s">
        <v>1975</v>
      </c>
      <c r="AN74" t="b">
        <v>0</v>
      </c>
      <c r="AP74" s="257"/>
      <c r="AQ74" s="257"/>
      <c r="AR74" s="257"/>
      <c r="AT74" s="257"/>
      <c r="AU74" s="257"/>
      <c r="AZ74" s="257"/>
      <c r="BA74" t="s">
        <v>373</v>
      </c>
      <c r="BB74" t="s">
        <v>139</v>
      </c>
      <c r="BC74" t="s">
        <v>2861</v>
      </c>
      <c r="BF74" s="257"/>
      <c r="BG74" s="257"/>
    </row>
    <row r="75" spans="1:59">
      <c r="A75">
        <v>644</v>
      </c>
      <c r="B75" t="s">
        <v>3884</v>
      </c>
      <c r="C75" t="s">
        <v>3885</v>
      </c>
      <c r="D75" t="s">
        <v>8</v>
      </c>
      <c r="E75" t="s">
        <v>13</v>
      </c>
      <c r="F75" t="s">
        <v>1575</v>
      </c>
      <c r="G75" s="257">
        <v>45084</v>
      </c>
      <c r="H75" s="257"/>
      <c r="I75" s="257"/>
      <c r="K75" s="368" t="s">
        <v>3987</v>
      </c>
      <c r="L75" t="s">
        <v>2193</v>
      </c>
      <c r="M75" t="s">
        <v>114</v>
      </c>
      <c r="P75" t="s">
        <v>1555</v>
      </c>
      <c r="Q75" t="s">
        <v>2198</v>
      </c>
      <c r="R75" s="257">
        <v>44992.605671296296</v>
      </c>
      <c r="S75">
        <v>2023</v>
      </c>
      <c r="T75" t="s">
        <v>2194</v>
      </c>
      <c r="U75" t="s">
        <v>678</v>
      </c>
      <c r="V75" t="s">
        <v>679</v>
      </c>
      <c r="W75" t="s">
        <v>145</v>
      </c>
      <c r="X75" t="s">
        <v>309</v>
      </c>
      <c r="Y75" s="371">
        <v>45078</v>
      </c>
      <c r="Z75" t="s">
        <v>1875</v>
      </c>
      <c r="AA75" s="257"/>
      <c r="AB75" t="s">
        <v>139</v>
      </c>
      <c r="AC75" t="s">
        <v>1875</v>
      </c>
      <c r="AD75" t="s">
        <v>1805</v>
      </c>
      <c r="AE75" s="257" t="s">
        <v>1805</v>
      </c>
      <c r="AF75" s="257"/>
      <c r="AG75" s="257"/>
      <c r="AJ75" t="s">
        <v>2191</v>
      </c>
      <c r="AK75" s="257"/>
      <c r="AL75" s="257" t="s">
        <v>2190</v>
      </c>
      <c r="AM75" t="s">
        <v>1975</v>
      </c>
      <c r="AN75" t="b">
        <v>0</v>
      </c>
      <c r="AP75" s="257"/>
      <c r="AQ75" s="257"/>
      <c r="AR75" s="257"/>
      <c r="AT75" s="257"/>
      <c r="AU75" s="257"/>
      <c r="AZ75" s="257"/>
      <c r="BA75" t="s">
        <v>373</v>
      </c>
      <c r="BB75" t="s">
        <v>139</v>
      </c>
      <c r="BC75" t="s">
        <v>2861</v>
      </c>
      <c r="BF75" s="257"/>
      <c r="BG75" s="257"/>
    </row>
    <row r="76" spans="1:59">
      <c r="A76">
        <v>645</v>
      </c>
      <c r="B76" t="s">
        <v>3886</v>
      </c>
      <c r="C76" t="s">
        <v>3887</v>
      </c>
      <c r="D76" t="s">
        <v>8</v>
      </c>
      <c r="E76" t="s">
        <v>13</v>
      </c>
      <c r="F76" t="s">
        <v>1575</v>
      </c>
      <c r="G76" s="257">
        <v>45085</v>
      </c>
      <c r="H76" s="257"/>
      <c r="I76" s="257"/>
      <c r="K76" s="368" t="s">
        <v>3987</v>
      </c>
      <c r="L76" t="s">
        <v>2193</v>
      </c>
      <c r="M76" t="s">
        <v>114</v>
      </c>
      <c r="P76" t="s">
        <v>1555</v>
      </c>
      <c r="Q76" t="s">
        <v>2198</v>
      </c>
      <c r="R76" s="257">
        <v>44992.605347222219</v>
      </c>
      <c r="S76">
        <v>2023</v>
      </c>
      <c r="T76" t="s">
        <v>2194</v>
      </c>
      <c r="U76" t="s">
        <v>678</v>
      </c>
      <c r="V76" t="s">
        <v>679</v>
      </c>
      <c r="W76" t="s">
        <v>145</v>
      </c>
      <c r="X76" t="s">
        <v>309</v>
      </c>
      <c r="Y76" s="371">
        <v>45078</v>
      </c>
      <c r="Z76" t="s">
        <v>1875</v>
      </c>
      <c r="AA76" s="257"/>
      <c r="AB76" t="s">
        <v>139</v>
      </c>
      <c r="AC76" t="s">
        <v>1875</v>
      </c>
      <c r="AD76" t="s">
        <v>1805</v>
      </c>
      <c r="AE76" s="257" t="s">
        <v>1805</v>
      </c>
      <c r="AF76" s="257"/>
      <c r="AG76" s="257"/>
      <c r="AJ76" t="s">
        <v>2191</v>
      </c>
      <c r="AK76" s="257"/>
      <c r="AL76" s="257" t="s">
        <v>2190</v>
      </c>
      <c r="AM76" t="s">
        <v>1975</v>
      </c>
      <c r="AN76" t="b">
        <v>0</v>
      </c>
      <c r="AP76" s="257"/>
      <c r="AQ76" s="257"/>
      <c r="AR76" s="257"/>
      <c r="AT76" s="257"/>
      <c r="AU76" s="257"/>
      <c r="AZ76" s="257"/>
      <c r="BA76" t="s">
        <v>373</v>
      </c>
      <c r="BB76" t="s">
        <v>139</v>
      </c>
      <c r="BC76" t="s">
        <v>2862</v>
      </c>
      <c r="BF76" s="257"/>
      <c r="BG76" s="257"/>
    </row>
    <row r="77" spans="1:59">
      <c r="A77">
        <v>646</v>
      </c>
      <c r="B77" t="s">
        <v>3888</v>
      </c>
      <c r="C77" t="s">
        <v>3889</v>
      </c>
      <c r="D77" t="s">
        <v>8</v>
      </c>
      <c r="E77" t="s">
        <v>13</v>
      </c>
      <c r="F77" t="s">
        <v>1575</v>
      </c>
      <c r="G77" s="257">
        <v>45086</v>
      </c>
      <c r="H77" s="257"/>
      <c r="I77" s="257"/>
      <c r="K77" s="368" t="s">
        <v>3991</v>
      </c>
      <c r="L77" t="s">
        <v>2193</v>
      </c>
      <c r="M77" t="s">
        <v>114</v>
      </c>
      <c r="P77" t="s">
        <v>1555</v>
      </c>
      <c r="Q77" t="s">
        <v>2198</v>
      </c>
      <c r="R77" s="257">
        <v>44992.583425925928</v>
      </c>
      <c r="S77">
        <v>2023</v>
      </c>
      <c r="T77" t="s">
        <v>2194</v>
      </c>
      <c r="U77" t="s">
        <v>678</v>
      </c>
      <c r="V77" t="s">
        <v>679</v>
      </c>
      <c r="W77" t="s">
        <v>145</v>
      </c>
      <c r="X77" t="s">
        <v>309</v>
      </c>
      <c r="Y77" s="371">
        <v>45078</v>
      </c>
      <c r="Z77" t="s">
        <v>1875</v>
      </c>
      <c r="AA77" s="257"/>
      <c r="AB77" t="s">
        <v>139</v>
      </c>
      <c r="AC77" t="s">
        <v>1875</v>
      </c>
      <c r="AD77" t="s">
        <v>1805</v>
      </c>
      <c r="AE77" s="257" t="s">
        <v>1805</v>
      </c>
      <c r="AF77" s="257"/>
      <c r="AG77" s="257"/>
      <c r="AJ77" t="s">
        <v>2191</v>
      </c>
      <c r="AL77" s="257" t="s">
        <v>2190</v>
      </c>
      <c r="AM77" t="s">
        <v>1975</v>
      </c>
      <c r="AN77" t="b">
        <v>0</v>
      </c>
      <c r="AZ77" s="257"/>
      <c r="BA77" t="s">
        <v>373</v>
      </c>
      <c r="BB77" t="s">
        <v>139</v>
      </c>
      <c r="BC77" t="s">
        <v>2861</v>
      </c>
      <c r="BF77" s="257"/>
      <c r="BG77" s="257"/>
    </row>
    <row r="78" spans="1:59">
      <c r="A78">
        <v>647</v>
      </c>
      <c r="B78" t="s">
        <v>3890</v>
      </c>
      <c r="C78" t="s">
        <v>3891</v>
      </c>
      <c r="D78" t="s">
        <v>8</v>
      </c>
      <c r="E78" t="s">
        <v>13</v>
      </c>
      <c r="F78" t="s">
        <v>1575</v>
      </c>
      <c r="G78" s="257">
        <v>45086</v>
      </c>
      <c r="H78" s="257"/>
      <c r="I78" s="257"/>
      <c r="K78" s="368" t="s">
        <v>3999</v>
      </c>
      <c r="L78" t="s">
        <v>2193</v>
      </c>
      <c r="M78" t="s">
        <v>114</v>
      </c>
      <c r="P78" t="s">
        <v>1555</v>
      </c>
      <c r="Q78" t="s">
        <v>2198</v>
      </c>
      <c r="R78" s="257">
        <v>44992.574907407405</v>
      </c>
      <c r="S78">
        <v>2023</v>
      </c>
      <c r="T78" t="s">
        <v>2194</v>
      </c>
      <c r="U78" t="s">
        <v>678</v>
      </c>
      <c r="V78" t="s">
        <v>679</v>
      </c>
      <c r="W78" t="s">
        <v>145</v>
      </c>
      <c r="X78" t="s">
        <v>309</v>
      </c>
      <c r="Y78" s="371">
        <v>45078</v>
      </c>
      <c r="Z78" t="s">
        <v>1875</v>
      </c>
      <c r="AA78" s="257"/>
      <c r="AB78" t="s">
        <v>139</v>
      </c>
      <c r="AC78" t="s">
        <v>1875</v>
      </c>
      <c r="AD78" t="s">
        <v>1805</v>
      </c>
      <c r="AE78" s="257" t="s">
        <v>1805</v>
      </c>
      <c r="AF78" s="257"/>
      <c r="AG78" s="257"/>
      <c r="AJ78" t="s">
        <v>2191</v>
      </c>
      <c r="AL78" s="257" t="s">
        <v>2190</v>
      </c>
      <c r="AM78" t="s">
        <v>1975</v>
      </c>
      <c r="AN78" t="b">
        <v>0</v>
      </c>
      <c r="AZ78" s="257"/>
      <c r="BA78" t="s">
        <v>373</v>
      </c>
      <c r="BB78" t="s">
        <v>139</v>
      </c>
      <c r="BC78" t="s">
        <v>2861</v>
      </c>
      <c r="BF78" s="257"/>
      <c r="BG78" s="257"/>
    </row>
    <row r="79" spans="1:59">
      <c r="A79">
        <v>651</v>
      </c>
      <c r="B79" t="s">
        <v>3898</v>
      </c>
      <c r="C79" t="s">
        <v>3899</v>
      </c>
      <c r="D79" t="s">
        <v>8</v>
      </c>
      <c r="E79" t="s">
        <v>13</v>
      </c>
      <c r="F79" t="s">
        <v>1575</v>
      </c>
      <c r="G79" s="257">
        <v>45093</v>
      </c>
      <c r="H79" s="257"/>
      <c r="I79" s="257"/>
      <c r="K79" s="368" t="s">
        <v>3992</v>
      </c>
      <c r="L79" t="s">
        <v>2193</v>
      </c>
      <c r="M79" t="s">
        <v>116</v>
      </c>
      <c r="P79" t="s">
        <v>1555</v>
      </c>
      <c r="Q79" t="s">
        <v>2198</v>
      </c>
      <c r="R79" s="257">
        <v>44992.606215277781</v>
      </c>
      <c r="S79">
        <v>2023</v>
      </c>
      <c r="T79" t="s">
        <v>2194</v>
      </c>
      <c r="U79" t="s">
        <v>678</v>
      </c>
      <c r="V79" t="s">
        <v>679</v>
      </c>
      <c r="W79" t="s">
        <v>145</v>
      </c>
      <c r="X79" t="s">
        <v>309</v>
      </c>
      <c r="Y79" s="371">
        <v>45078</v>
      </c>
      <c r="Z79" t="s">
        <v>1875</v>
      </c>
      <c r="AA79" s="257"/>
      <c r="AB79" t="s">
        <v>139</v>
      </c>
      <c r="AC79" t="s">
        <v>1875</v>
      </c>
      <c r="AD79" t="s">
        <v>1805</v>
      </c>
      <c r="AE79" s="257" t="s">
        <v>1805</v>
      </c>
      <c r="AF79" s="257"/>
      <c r="AG79" s="257"/>
      <c r="AJ79" t="s">
        <v>2191</v>
      </c>
      <c r="AL79" s="257" t="s">
        <v>2190</v>
      </c>
      <c r="AM79" t="s">
        <v>1975</v>
      </c>
      <c r="AN79" t="b">
        <v>0</v>
      </c>
      <c r="AZ79" s="257"/>
      <c r="BA79" t="s">
        <v>373</v>
      </c>
      <c r="BB79" t="s">
        <v>139</v>
      </c>
      <c r="BC79" t="s">
        <v>2862</v>
      </c>
      <c r="BF79" s="257"/>
      <c r="BG79" s="257"/>
    </row>
    <row r="80" spans="1:59">
      <c r="A80">
        <v>655</v>
      </c>
      <c r="B80" t="s">
        <v>3905</v>
      </c>
      <c r="C80" t="s">
        <v>3906</v>
      </c>
      <c r="D80" t="s">
        <v>8</v>
      </c>
      <c r="E80" t="s">
        <v>13</v>
      </c>
      <c r="F80" t="s">
        <v>1575</v>
      </c>
      <c r="G80" s="257">
        <v>45096</v>
      </c>
      <c r="H80" s="257"/>
      <c r="I80" s="257"/>
      <c r="K80" s="368" t="s">
        <v>3987</v>
      </c>
      <c r="L80" t="s">
        <v>2193</v>
      </c>
      <c r="M80" t="s">
        <v>114</v>
      </c>
      <c r="P80" t="s">
        <v>1555</v>
      </c>
      <c r="Q80" t="s">
        <v>2198</v>
      </c>
      <c r="R80" s="257">
        <v>44992.606516203705</v>
      </c>
      <c r="S80">
        <v>2023</v>
      </c>
      <c r="T80" t="s">
        <v>2194</v>
      </c>
      <c r="U80" t="s">
        <v>678</v>
      </c>
      <c r="V80" t="s">
        <v>679</v>
      </c>
      <c r="W80" t="s">
        <v>145</v>
      </c>
      <c r="X80" t="s">
        <v>309</v>
      </c>
      <c r="Y80" s="371">
        <v>45078</v>
      </c>
      <c r="Z80" t="s">
        <v>1875</v>
      </c>
      <c r="AA80" s="257"/>
      <c r="AB80" t="s">
        <v>139</v>
      </c>
      <c r="AC80" t="s">
        <v>1875</v>
      </c>
      <c r="AD80" t="s">
        <v>1805</v>
      </c>
      <c r="AE80" s="257" t="s">
        <v>1805</v>
      </c>
      <c r="AF80" s="257"/>
      <c r="AG80" s="257"/>
      <c r="AJ80" t="s">
        <v>2191</v>
      </c>
      <c r="AL80" s="257" t="s">
        <v>2190</v>
      </c>
      <c r="AM80" t="s">
        <v>1975</v>
      </c>
      <c r="AN80" t="b">
        <v>0</v>
      </c>
      <c r="AZ80" s="257"/>
      <c r="BA80" t="s">
        <v>373</v>
      </c>
      <c r="BB80" t="s">
        <v>139</v>
      </c>
      <c r="BC80" t="s">
        <v>2862</v>
      </c>
      <c r="BF80" s="257"/>
      <c r="BG80" s="257"/>
    </row>
    <row r="81" spans="1:59">
      <c r="A81">
        <v>656</v>
      </c>
      <c r="B81" t="s">
        <v>3907</v>
      </c>
      <c r="C81" t="s">
        <v>3908</v>
      </c>
      <c r="D81" t="s">
        <v>8</v>
      </c>
      <c r="E81" t="s">
        <v>13</v>
      </c>
      <c r="F81" t="s">
        <v>1575</v>
      </c>
      <c r="G81" s="257">
        <v>45093</v>
      </c>
      <c r="H81" s="257"/>
      <c r="I81" s="257"/>
      <c r="K81" s="368" t="s">
        <v>3978</v>
      </c>
      <c r="L81" t="s">
        <v>2193</v>
      </c>
      <c r="M81" t="s">
        <v>114</v>
      </c>
      <c r="P81" t="s">
        <v>1555</v>
      </c>
      <c r="Q81" t="s">
        <v>2198</v>
      </c>
      <c r="R81" s="257">
        <v>44992.583831018521</v>
      </c>
      <c r="S81">
        <v>2023</v>
      </c>
      <c r="T81" t="s">
        <v>2194</v>
      </c>
      <c r="U81" t="s">
        <v>678</v>
      </c>
      <c r="V81" t="s">
        <v>679</v>
      </c>
      <c r="W81" t="s">
        <v>145</v>
      </c>
      <c r="X81" t="s">
        <v>309</v>
      </c>
      <c r="Y81" s="371">
        <v>45078</v>
      </c>
      <c r="Z81" t="s">
        <v>1875</v>
      </c>
      <c r="AA81" s="257"/>
      <c r="AB81" t="s">
        <v>139</v>
      </c>
      <c r="AC81" t="s">
        <v>1875</v>
      </c>
      <c r="AD81" t="s">
        <v>1805</v>
      </c>
      <c r="AE81" s="257" t="s">
        <v>1805</v>
      </c>
      <c r="AF81" s="257"/>
      <c r="AG81" s="257"/>
      <c r="AJ81" t="s">
        <v>2191</v>
      </c>
      <c r="AL81" s="257" t="s">
        <v>2190</v>
      </c>
      <c r="AM81" t="s">
        <v>1975</v>
      </c>
      <c r="AN81" t="b">
        <v>0</v>
      </c>
      <c r="AZ81" s="257"/>
      <c r="BA81" t="s">
        <v>373</v>
      </c>
      <c r="BB81" t="s">
        <v>139</v>
      </c>
      <c r="BC81" t="s">
        <v>2861</v>
      </c>
      <c r="BF81" s="257"/>
      <c r="BG81" s="257"/>
    </row>
    <row r="82" spans="1:59">
      <c r="A82">
        <v>657</v>
      </c>
      <c r="B82" t="s">
        <v>3909</v>
      </c>
      <c r="C82" t="s">
        <v>3910</v>
      </c>
      <c r="D82" t="s">
        <v>8</v>
      </c>
      <c r="E82" t="s">
        <v>13</v>
      </c>
      <c r="F82" t="s">
        <v>1575</v>
      </c>
      <c r="G82" s="257">
        <v>45093</v>
      </c>
      <c r="H82" s="257"/>
      <c r="I82" s="257"/>
      <c r="K82" s="368" t="s">
        <v>3978</v>
      </c>
      <c r="L82" t="s">
        <v>2193</v>
      </c>
      <c r="M82" t="s">
        <v>114</v>
      </c>
      <c r="P82" t="s">
        <v>1555</v>
      </c>
      <c r="Q82" t="s">
        <v>2198</v>
      </c>
      <c r="R82" s="257">
        <v>44992.58421296296</v>
      </c>
      <c r="S82">
        <v>2023</v>
      </c>
      <c r="T82" t="s">
        <v>2194</v>
      </c>
      <c r="U82" t="s">
        <v>678</v>
      </c>
      <c r="V82" t="s">
        <v>679</v>
      </c>
      <c r="W82" t="s">
        <v>145</v>
      </c>
      <c r="X82" t="s">
        <v>309</v>
      </c>
      <c r="Y82" s="371">
        <v>45078</v>
      </c>
      <c r="Z82" t="s">
        <v>1875</v>
      </c>
      <c r="AA82" s="257"/>
      <c r="AB82" t="s">
        <v>139</v>
      </c>
      <c r="AC82" t="s">
        <v>1875</v>
      </c>
      <c r="AD82" t="s">
        <v>1805</v>
      </c>
      <c r="AE82" s="257" t="s">
        <v>1805</v>
      </c>
      <c r="AF82" s="257"/>
      <c r="AG82" s="257"/>
      <c r="AJ82" t="s">
        <v>2191</v>
      </c>
      <c r="AL82" s="257" t="s">
        <v>2190</v>
      </c>
      <c r="AM82" t="s">
        <v>1975</v>
      </c>
      <c r="AN82" t="b">
        <v>0</v>
      </c>
      <c r="AZ82" s="257"/>
      <c r="BA82" t="s">
        <v>373</v>
      </c>
      <c r="BB82" t="s">
        <v>139</v>
      </c>
      <c r="BC82" t="s">
        <v>2862</v>
      </c>
      <c r="BF82" s="257"/>
      <c r="BG82" s="257"/>
    </row>
    <row r="83" spans="1:59">
      <c r="A83">
        <v>658</v>
      </c>
      <c r="B83" t="s">
        <v>3911</v>
      </c>
      <c r="C83" t="s">
        <v>3912</v>
      </c>
      <c r="D83" t="s">
        <v>8</v>
      </c>
      <c r="E83" t="s">
        <v>13</v>
      </c>
      <c r="F83" t="s">
        <v>1575</v>
      </c>
      <c r="G83" s="257">
        <v>45093</v>
      </c>
      <c r="H83" s="257"/>
      <c r="I83" s="257"/>
      <c r="K83" s="368" t="s">
        <v>3978</v>
      </c>
      <c r="L83" t="s">
        <v>2193</v>
      </c>
      <c r="M83" t="s">
        <v>114</v>
      </c>
      <c r="P83" t="s">
        <v>1555</v>
      </c>
      <c r="Q83" t="s">
        <v>2198</v>
      </c>
      <c r="R83" s="257">
        <v>44992.584629629629</v>
      </c>
      <c r="S83">
        <v>2023</v>
      </c>
      <c r="T83" t="s">
        <v>2194</v>
      </c>
      <c r="U83" t="s">
        <v>678</v>
      </c>
      <c r="V83" t="s">
        <v>679</v>
      </c>
      <c r="W83" t="s">
        <v>145</v>
      </c>
      <c r="X83" t="s">
        <v>309</v>
      </c>
      <c r="Y83" s="371">
        <v>45078</v>
      </c>
      <c r="Z83" t="s">
        <v>1875</v>
      </c>
      <c r="AA83" s="257"/>
      <c r="AB83" t="s">
        <v>139</v>
      </c>
      <c r="AC83" t="s">
        <v>1875</v>
      </c>
      <c r="AD83" t="s">
        <v>1805</v>
      </c>
      <c r="AE83" s="257" t="s">
        <v>1805</v>
      </c>
      <c r="AF83" s="257"/>
      <c r="AG83" s="257"/>
      <c r="AJ83" t="s">
        <v>2191</v>
      </c>
      <c r="AL83" s="257" t="s">
        <v>2190</v>
      </c>
      <c r="AM83" t="s">
        <v>1975</v>
      </c>
      <c r="AN83" t="b">
        <v>0</v>
      </c>
      <c r="AZ83" s="257"/>
      <c r="BA83" t="s">
        <v>373</v>
      </c>
      <c r="BB83" t="s">
        <v>139</v>
      </c>
      <c r="BC83" t="s">
        <v>2861</v>
      </c>
      <c r="BF83" s="257"/>
      <c r="BG83" s="257"/>
    </row>
    <row r="84" spans="1:59">
      <c r="A84">
        <v>668</v>
      </c>
      <c r="B84" t="s">
        <v>3930</v>
      </c>
      <c r="C84" t="s">
        <v>3424</v>
      </c>
      <c r="D84" t="s">
        <v>8</v>
      </c>
      <c r="E84" t="s">
        <v>13</v>
      </c>
      <c r="F84" t="s">
        <v>1575</v>
      </c>
      <c r="G84" s="257">
        <v>45099</v>
      </c>
      <c r="H84" s="257"/>
      <c r="I84" s="257"/>
      <c r="K84" s="368" t="s">
        <v>3979</v>
      </c>
      <c r="L84" t="s">
        <v>2193</v>
      </c>
      <c r="M84" t="s">
        <v>114</v>
      </c>
      <c r="P84" t="s">
        <v>1555</v>
      </c>
      <c r="Q84" t="s">
        <v>2198</v>
      </c>
      <c r="R84" s="257">
        <v>44992.604386574072</v>
      </c>
      <c r="S84">
        <v>2023</v>
      </c>
      <c r="T84" t="s">
        <v>2194</v>
      </c>
      <c r="U84" t="s">
        <v>678</v>
      </c>
      <c r="V84" t="s">
        <v>679</v>
      </c>
      <c r="W84" t="s">
        <v>145</v>
      </c>
      <c r="X84" t="s">
        <v>309</v>
      </c>
      <c r="Y84" s="371">
        <v>45078</v>
      </c>
      <c r="Z84" t="s">
        <v>1875</v>
      </c>
      <c r="AA84" s="257"/>
      <c r="AB84" t="s">
        <v>139</v>
      </c>
      <c r="AC84" t="s">
        <v>1875</v>
      </c>
      <c r="AD84" t="s">
        <v>1805</v>
      </c>
      <c r="AE84" s="257" t="s">
        <v>1805</v>
      </c>
      <c r="AF84" s="257"/>
      <c r="AG84" s="257"/>
      <c r="AJ84" t="s">
        <v>2191</v>
      </c>
      <c r="AL84" s="257" t="s">
        <v>2190</v>
      </c>
      <c r="AM84" t="s">
        <v>1975</v>
      </c>
      <c r="AN84" t="b">
        <v>0</v>
      </c>
      <c r="AZ84" s="257"/>
      <c r="BA84" t="s">
        <v>373</v>
      </c>
      <c r="BB84" t="s">
        <v>139</v>
      </c>
      <c r="BC84" t="s">
        <v>2861</v>
      </c>
      <c r="BF84" s="257"/>
      <c r="BG84" s="257"/>
    </row>
    <row r="85" spans="1:59">
      <c r="A85">
        <v>671</v>
      </c>
      <c r="B85" t="s">
        <v>2785</v>
      </c>
      <c r="C85" t="s">
        <v>3718</v>
      </c>
      <c r="D85" t="s">
        <v>8</v>
      </c>
      <c r="E85" t="s">
        <v>13</v>
      </c>
      <c r="F85" t="s">
        <v>1576</v>
      </c>
      <c r="G85" s="257">
        <v>45083</v>
      </c>
      <c r="H85" s="257"/>
      <c r="I85" s="257"/>
      <c r="K85" s="368" t="s">
        <v>3986</v>
      </c>
      <c r="L85" t="s">
        <v>2193</v>
      </c>
      <c r="M85" t="s">
        <v>114</v>
      </c>
      <c r="P85" t="s">
        <v>1555</v>
      </c>
      <c r="Q85" t="s">
        <v>2198</v>
      </c>
      <c r="R85" s="257">
        <v>44992.580254629633</v>
      </c>
      <c r="S85">
        <v>2023</v>
      </c>
      <c r="T85" t="s">
        <v>2194</v>
      </c>
      <c r="U85" t="s">
        <v>678</v>
      </c>
      <c r="V85" t="s">
        <v>679</v>
      </c>
      <c r="W85" t="s">
        <v>145</v>
      </c>
      <c r="X85" t="s">
        <v>309</v>
      </c>
      <c r="Y85" s="371">
        <v>45078</v>
      </c>
      <c r="Z85" t="s">
        <v>1875</v>
      </c>
      <c r="AA85" s="257"/>
      <c r="AB85" t="s">
        <v>139</v>
      </c>
      <c r="AC85" t="s">
        <v>1875</v>
      </c>
      <c r="AD85" t="s">
        <v>1805</v>
      </c>
      <c r="AE85" s="257" t="s">
        <v>1805</v>
      </c>
      <c r="AF85" s="257"/>
      <c r="AG85" s="257"/>
      <c r="AJ85" t="s">
        <v>2191</v>
      </c>
      <c r="AL85" s="257" t="s">
        <v>2190</v>
      </c>
      <c r="AM85" t="s">
        <v>1975</v>
      </c>
      <c r="AN85" t="b">
        <v>0</v>
      </c>
      <c r="AZ85" s="257"/>
      <c r="BA85" t="s">
        <v>373</v>
      </c>
      <c r="BB85" t="s">
        <v>139</v>
      </c>
      <c r="BC85" t="s">
        <v>2861</v>
      </c>
      <c r="BF85" s="257"/>
      <c r="BG85" s="257"/>
    </row>
    <row r="86" spans="1:59">
      <c r="A86">
        <v>676</v>
      </c>
      <c r="B86" t="s">
        <v>3237</v>
      </c>
      <c r="C86" t="s">
        <v>3238</v>
      </c>
      <c r="D86" t="s">
        <v>8</v>
      </c>
      <c r="E86" t="s">
        <v>13</v>
      </c>
      <c r="F86" t="s">
        <v>1580</v>
      </c>
      <c r="G86" s="257">
        <v>44900</v>
      </c>
      <c r="H86" s="257"/>
      <c r="I86" s="257"/>
      <c r="K86" s="368" t="s">
        <v>3978</v>
      </c>
      <c r="L86" t="s">
        <v>2193</v>
      </c>
      <c r="M86" t="s">
        <v>114</v>
      </c>
      <c r="P86" t="s">
        <v>1554</v>
      </c>
      <c r="Q86" t="s">
        <v>2198</v>
      </c>
      <c r="R86" s="257">
        <v>44992.602187500001</v>
      </c>
      <c r="S86">
        <v>2022</v>
      </c>
      <c r="T86" t="s">
        <v>2194</v>
      </c>
      <c r="U86" t="s">
        <v>678</v>
      </c>
      <c r="V86" t="s">
        <v>679</v>
      </c>
      <c r="W86" t="s">
        <v>145</v>
      </c>
      <c r="X86" t="s">
        <v>309</v>
      </c>
      <c r="Y86" s="371">
        <v>45078</v>
      </c>
      <c r="Z86" t="s">
        <v>1875</v>
      </c>
      <c r="AA86" s="257"/>
      <c r="AB86" t="s">
        <v>139</v>
      </c>
      <c r="AC86" t="s">
        <v>1875</v>
      </c>
      <c r="AD86" t="s">
        <v>1805</v>
      </c>
      <c r="AE86" s="257" t="s">
        <v>1805</v>
      </c>
      <c r="AF86" s="257"/>
      <c r="AG86" s="257"/>
      <c r="AJ86" t="s">
        <v>2191</v>
      </c>
      <c r="AL86" s="257" t="s">
        <v>2190</v>
      </c>
      <c r="AM86" t="s">
        <v>1975</v>
      </c>
      <c r="AN86" t="b">
        <v>0</v>
      </c>
      <c r="AZ86" s="257"/>
      <c r="BA86" t="s">
        <v>373</v>
      </c>
      <c r="BB86" t="s">
        <v>139</v>
      </c>
      <c r="BC86" t="s">
        <v>2862</v>
      </c>
      <c r="BF86" s="257"/>
      <c r="BG86" s="257"/>
    </row>
    <row r="87" spans="1:59">
      <c r="A87">
        <v>678</v>
      </c>
      <c r="B87" t="s">
        <v>3967</v>
      </c>
      <c r="C87" t="s">
        <v>3968</v>
      </c>
      <c r="D87" t="s">
        <v>8</v>
      </c>
      <c r="E87" t="s">
        <v>13</v>
      </c>
      <c r="F87" t="s">
        <v>1580</v>
      </c>
      <c r="G87" s="257">
        <v>44884</v>
      </c>
      <c r="H87" s="257"/>
      <c r="I87" s="257"/>
      <c r="K87" s="368" t="s">
        <v>3992</v>
      </c>
      <c r="L87" t="s">
        <v>2193</v>
      </c>
      <c r="M87" t="s">
        <v>114</v>
      </c>
      <c r="P87" t="s">
        <v>1554</v>
      </c>
      <c r="Q87" t="s">
        <v>2198</v>
      </c>
      <c r="R87" s="257">
        <v>44992.604050925926</v>
      </c>
      <c r="S87">
        <v>2022</v>
      </c>
      <c r="T87" t="s">
        <v>2194</v>
      </c>
      <c r="U87" t="s">
        <v>678</v>
      </c>
      <c r="V87" t="s">
        <v>679</v>
      </c>
      <c r="W87" t="s">
        <v>145</v>
      </c>
      <c r="X87" t="s">
        <v>309</v>
      </c>
      <c r="Y87" s="371">
        <v>45078</v>
      </c>
      <c r="Z87" t="s">
        <v>1875</v>
      </c>
      <c r="AA87" s="257"/>
      <c r="AB87" t="s">
        <v>139</v>
      </c>
      <c r="AC87" t="s">
        <v>1875</v>
      </c>
      <c r="AD87" t="s">
        <v>1805</v>
      </c>
      <c r="AE87" s="257" t="s">
        <v>1805</v>
      </c>
      <c r="AF87" s="257"/>
      <c r="AG87" s="257"/>
      <c r="AJ87" t="s">
        <v>2191</v>
      </c>
      <c r="AL87" s="257" t="s">
        <v>2190</v>
      </c>
      <c r="AM87" t="s">
        <v>1975</v>
      </c>
      <c r="AN87" t="b">
        <v>0</v>
      </c>
      <c r="AZ87" s="257"/>
      <c r="BA87" t="s">
        <v>373</v>
      </c>
      <c r="BB87" t="s">
        <v>139</v>
      </c>
      <c r="BC87" t="s">
        <v>2861</v>
      </c>
      <c r="BF87" s="257"/>
      <c r="BG87" s="257"/>
    </row>
    <row r="88" spans="1:59">
      <c r="A88">
        <v>679</v>
      </c>
      <c r="B88" t="s">
        <v>3306</v>
      </c>
      <c r="C88" t="s">
        <v>3307</v>
      </c>
      <c r="D88" t="s">
        <v>8</v>
      </c>
      <c r="E88" t="s">
        <v>13</v>
      </c>
      <c r="F88" t="s">
        <v>1580</v>
      </c>
      <c r="G88" s="257">
        <v>44949</v>
      </c>
      <c r="H88" s="257"/>
      <c r="I88" s="257"/>
      <c r="K88" s="368" t="s">
        <v>3986</v>
      </c>
      <c r="L88" t="s">
        <v>2193</v>
      </c>
      <c r="M88" t="s">
        <v>114</v>
      </c>
      <c r="P88" t="s">
        <v>1554</v>
      </c>
      <c r="Q88" t="s">
        <v>2198</v>
      </c>
      <c r="R88" s="257">
        <v>44992.580972222226</v>
      </c>
      <c r="S88">
        <v>2023</v>
      </c>
      <c r="T88" t="s">
        <v>2194</v>
      </c>
      <c r="U88" t="s">
        <v>678</v>
      </c>
      <c r="V88" t="s">
        <v>679</v>
      </c>
      <c r="W88" t="s">
        <v>145</v>
      </c>
      <c r="X88" t="s">
        <v>309</v>
      </c>
      <c r="Y88" s="371">
        <v>45078</v>
      </c>
      <c r="Z88" t="s">
        <v>1875</v>
      </c>
      <c r="AA88" s="257"/>
      <c r="AB88" t="s">
        <v>139</v>
      </c>
      <c r="AC88" t="s">
        <v>1875</v>
      </c>
      <c r="AD88" t="s">
        <v>1805</v>
      </c>
      <c r="AE88" s="257" t="s">
        <v>1805</v>
      </c>
      <c r="AF88" s="257"/>
      <c r="AG88" s="257"/>
      <c r="AJ88" t="s">
        <v>2191</v>
      </c>
      <c r="AL88" s="257" t="s">
        <v>2190</v>
      </c>
      <c r="AM88" t="s">
        <v>1975</v>
      </c>
      <c r="AN88" t="b">
        <v>0</v>
      </c>
      <c r="AZ88" s="257"/>
      <c r="BA88" t="s">
        <v>373</v>
      </c>
      <c r="BB88" t="s">
        <v>139</v>
      </c>
      <c r="BC88" t="s">
        <v>2861</v>
      </c>
      <c r="BF88" s="257"/>
      <c r="BG88" s="257"/>
    </row>
    <row r="89" spans="1:59">
      <c r="A89">
        <v>684</v>
      </c>
      <c r="B89" t="s">
        <v>3546</v>
      </c>
      <c r="C89" t="s">
        <v>3547</v>
      </c>
      <c r="D89" t="s">
        <v>8</v>
      </c>
      <c r="E89" t="s">
        <v>13</v>
      </c>
      <c r="F89" t="s">
        <v>1580</v>
      </c>
      <c r="G89" s="257">
        <v>45007</v>
      </c>
      <c r="H89" s="257"/>
      <c r="I89" s="257"/>
      <c r="K89" s="368" t="s">
        <v>3988</v>
      </c>
      <c r="L89" t="s">
        <v>2193</v>
      </c>
      <c r="M89" t="s">
        <v>114</v>
      </c>
      <c r="P89" t="s">
        <v>1554</v>
      </c>
      <c r="Q89" t="s">
        <v>2198</v>
      </c>
      <c r="R89" s="257">
        <v>44992.601018518515</v>
      </c>
      <c r="S89">
        <v>2023</v>
      </c>
      <c r="T89" t="s">
        <v>2194</v>
      </c>
      <c r="U89" t="s">
        <v>678</v>
      </c>
      <c r="V89" t="s">
        <v>679</v>
      </c>
      <c r="W89" t="s">
        <v>145</v>
      </c>
      <c r="X89" t="s">
        <v>309</v>
      </c>
      <c r="Y89" s="371">
        <v>45078</v>
      </c>
      <c r="Z89" t="s">
        <v>1875</v>
      </c>
      <c r="AA89" s="257"/>
      <c r="AB89" t="s">
        <v>139</v>
      </c>
      <c r="AC89" t="s">
        <v>1875</v>
      </c>
      <c r="AD89" t="s">
        <v>1805</v>
      </c>
      <c r="AE89" s="257" t="s">
        <v>1805</v>
      </c>
      <c r="AJ89" t="s">
        <v>2191</v>
      </c>
      <c r="AL89" t="s">
        <v>2190</v>
      </c>
      <c r="AM89" t="s">
        <v>1975</v>
      </c>
      <c r="AN89" t="b">
        <v>0</v>
      </c>
      <c r="BA89" t="s">
        <v>373</v>
      </c>
      <c r="BB89" t="s">
        <v>139</v>
      </c>
      <c r="BC89" t="s">
        <v>2862</v>
      </c>
    </row>
    <row r="90" spans="1:59">
      <c r="A90">
        <v>685</v>
      </c>
      <c r="B90" t="s">
        <v>3548</v>
      </c>
      <c r="C90" t="s">
        <v>3549</v>
      </c>
      <c r="D90" t="s">
        <v>8</v>
      </c>
      <c r="E90" t="s">
        <v>13</v>
      </c>
      <c r="F90" t="s">
        <v>1580</v>
      </c>
      <c r="G90" s="257">
        <v>45007</v>
      </c>
      <c r="H90" s="257"/>
      <c r="I90" s="257"/>
      <c r="K90" s="368" t="s">
        <v>3988</v>
      </c>
      <c r="L90" t="s">
        <v>2193</v>
      </c>
      <c r="M90" t="s">
        <v>114</v>
      </c>
      <c r="P90" t="s">
        <v>1554</v>
      </c>
      <c r="Q90" t="s">
        <v>2198</v>
      </c>
      <c r="R90" s="257">
        <v>44992.601412037038</v>
      </c>
      <c r="S90">
        <v>2023</v>
      </c>
      <c r="T90" t="s">
        <v>2194</v>
      </c>
      <c r="U90" t="s">
        <v>678</v>
      </c>
      <c r="V90" t="s">
        <v>679</v>
      </c>
      <c r="W90" t="s">
        <v>145</v>
      </c>
      <c r="X90" t="s">
        <v>309</v>
      </c>
      <c r="Y90" s="371">
        <v>45078</v>
      </c>
      <c r="Z90" t="s">
        <v>1875</v>
      </c>
      <c r="AA90" s="257"/>
      <c r="AB90" t="s">
        <v>139</v>
      </c>
      <c r="AC90" t="s">
        <v>1875</v>
      </c>
      <c r="AD90" t="s">
        <v>1805</v>
      </c>
      <c r="AE90" s="257" t="s">
        <v>1805</v>
      </c>
      <c r="AJ90" t="s">
        <v>2191</v>
      </c>
      <c r="AL90" t="s">
        <v>2190</v>
      </c>
      <c r="AM90" t="s">
        <v>1975</v>
      </c>
      <c r="AN90" t="b">
        <v>0</v>
      </c>
      <c r="BA90" t="s">
        <v>373</v>
      </c>
      <c r="BB90" t="s">
        <v>139</v>
      </c>
      <c r="BC90" t="s">
        <v>2862</v>
      </c>
    </row>
    <row r="91" spans="1:59">
      <c r="A91">
        <v>686</v>
      </c>
      <c r="B91" t="s">
        <v>2392</v>
      </c>
      <c r="C91" t="s">
        <v>3651</v>
      </c>
      <c r="D91" t="s">
        <v>8</v>
      </c>
      <c r="E91" t="s">
        <v>13</v>
      </c>
      <c r="F91" t="s">
        <v>1580</v>
      </c>
      <c r="G91" s="257">
        <v>45028</v>
      </c>
      <c r="H91" s="257"/>
      <c r="I91" s="257"/>
      <c r="K91" s="368" t="s">
        <v>3986</v>
      </c>
      <c r="L91" t="s">
        <v>2193</v>
      </c>
      <c r="M91" t="s">
        <v>115</v>
      </c>
      <c r="P91" t="s">
        <v>1554</v>
      </c>
      <c r="Q91" t="s">
        <v>2198</v>
      </c>
      <c r="R91" s="257">
        <v>44992.579733796294</v>
      </c>
      <c r="S91">
        <v>2023</v>
      </c>
      <c r="T91" t="s">
        <v>2194</v>
      </c>
      <c r="U91" t="s">
        <v>678</v>
      </c>
      <c r="V91" t="s">
        <v>679</v>
      </c>
      <c r="W91" t="s">
        <v>145</v>
      </c>
      <c r="X91" t="s">
        <v>309</v>
      </c>
      <c r="Y91" s="371">
        <v>45078</v>
      </c>
      <c r="Z91" t="s">
        <v>1875</v>
      </c>
      <c r="AA91" s="257"/>
      <c r="AB91" t="s">
        <v>139</v>
      </c>
      <c r="AC91" t="s">
        <v>1875</v>
      </c>
      <c r="AD91" t="s">
        <v>1805</v>
      </c>
      <c r="AE91" s="257" t="s">
        <v>1805</v>
      </c>
      <c r="AJ91" t="s">
        <v>2191</v>
      </c>
      <c r="AL91" t="s">
        <v>2190</v>
      </c>
      <c r="AM91" t="s">
        <v>1975</v>
      </c>
      <c r="AN91" t="b">
        <v>0</v>
      </c>
      <c r="BA91" t="s">
        <v>373</v>
      </c>
      <c r="BB91" t="s">
        <v>139</v>
      </c>
      <c r="BC91" t="s">
        <v>2862</v>
      </c>
    </row>
    <row r="92" spans="1:59">
      <c r="A92">
        <v>687</v>
      </c>
      <c r="B92" t="s">
        <v>3750</v>
      </c>
      <c r="C92" t="s">
        <v>3751</v>
      </c>
      <c r="D92" t="s">
        <v>8</v>
      </c>
      <c r="E92" t="s">
        <v>13</v>
      </c>
      <c r="F92" t="s">
        <v>1580</v>
      </c>
      <c r="G92" s="257">
        <v>45064</v>
      </c>
      <c r="H92" s="257"/>
      <c r="I92" s="257"/>
      <c r="K92" s="368" t="s">
        <v>3991</v>
      </c>
      <c r="L92" t="s">
        <v>2193</v>
      </c>
      <c r="M92" t="s">
        <v>114</v>
      </c>
      <c r="P92" t="s">
        <v>1554</v>
      </c>
      <c r="Q92" t="s">
        <v>2198</v>
      </c>
      <c r="R92" s="257">
        <v>44992.601793981485</v>
      </c>
      <c r="S92">
        <v>2023</v>
      </c>
      <c r="T92" t="s">
        <v>2194</v>
      </c>
      <c r="U92" t="s">
        <v>678</v>
      </c>
      <c r="V92" t="s">
        <v>679</v>
      </c>
      <c r="W92" t="s">
        <v>145</v>
      </c>
      <c r="X92" t="s">
        <v>309</v>
      </c>
      <c r="Y92" s="371">
        <v>45078</v>
      </c>
      <c r="Z92" t="s">
        <v>1875</v>
      </c>
      <c r="AA92" s="257"/>
      <c r="AB92" t="s">
        <v>139</v>
      </c>
      <c r="AC92" t="s">
        <v>1875</v>
      </c>
      <c r="AD92" t="s">
        <v>1805</v>
      </c>
      <c r="AE92" s="257" t="s">
        <v>1805</v>
      </c>
      <c r="AJ92" t="s">
        <v>2191</v>
      </c>
      <c r="AL92" t="s">
        <v>2190</v>
      </c>
      <c r="AM92" t="s">
        <v>1975</v>
      </c>
      <c r="AN92" t="b">
        <v>0</v>
      </c>
      <c r="BA92" t="s">
        <v>373</v>
      </c>
      <c r="BB92" t="s">
        <v>139</v>
      </c>
      <c r="BC92" t="s">
        <v>2862</v>
      </c>
    </row>
    <row r="93" spans="1:59">
      <c r="A93">
        <v>690</v>
      </c>
      <c r="B93" t="s">
        <v>3971</v>
      </c>
      <c r="C93" t="s">
        <v>3860</v>
      </c>
      <c r="D93" t="s">
        <v>8</v>
      </c>
      <c r="E93" t="s">
        <v>9</v>
      </c>
      <c r="F93" t="s">
        <v>1765</v>
      </c>
      <c r="G93" s="257">
        <v>44377</v>
      </c>
      <c r="H93" s="257"/>
      <c r="I93" s="257">
        <v>45096</v>
      </c>
      <c r="J93" t="s">
        <v>2904</v>
      </c>
      <c r="K93" s="368" t="s">
        <v>3982</v>
      </c>
      <c r="L93" t="s">
        <v>2193</v>
      </c>
      <c r="M93" t="s">
        <v>115</v>
      </c>
      <c r="P93" t="s">
        <v>1556</v>
      </c>
      <c r="Q93" t="s">
        <v>2198</v>
      </c>
      <c r="R93" s="257">
        <v>44992.624652777777</v>
      </c>
      <c r="S93">
        <v>2021</v>
      </c>
      <c r="T93" t="s">
        <v>2194</v>
      </c>
      <c r="U93" t="s">
        <v>678</v>
      </c>
      <c r="V93" t="s">
        <v>679</v>
      </c>
      <c r="W93" t="s">
        <v>145</v>
      </c>
      <c r="X93" t="s">
        <v>309</v>
      </c>
      <c r="Y93" s="371">
        <v>45078</v>
      </c>
      <c r="Z93" t="s">
        <v>1875</v>
      </c>
      <c r="AA93" s="257"/>
      <c r="AB93" t="s">
        <v>139</v>
      </c>
      <c r="AC93" t="s">
        <v>1875</v>
      </c>
      <c r="AD93" t="s">
        <v>1805</v>
      </c>
      <c r="AE93" s="257" t="s">
        <v>1805</v>
      </c>
      <c r="AJ93" t="s">
        <v>2191</v>
      </c>
      <c r="AL93" t="s">
        <v>2190</v>
      </c>
      <c r="AM93" t="s">
        <v>1975</v>
      </c>
      <c r="AN93" t="b">
        <v>0</v>
      </c>
      <c r="BA93" t="s">
        <v>373</v>
      </c>
      <c r="BB93" t="s">
        <v>139</v>
      </c>
      <c r="BC93" t="s">
        <v>2192</v>
      </c>
    </row>
    <row r="94" spans="1:59">
      <c r="A94">
        <v>691</v>
      </c>
      <c r="B94" t="s">
        <v>3972</v>
      </c>
      <c r="C94" t="s">
        <v>3845</v>
      </c>
      <c r="D94" t="s">
        <v>8</v>
      </c>
      <c r="E94" t="s">
        <v>9</v>
      </c>
      <c r="F94" t="s">
        <v>1765</v>
      </c>
      <c r="G94" s="257">
        <v>44168</v>
      </c>
      <c r="H94" s="257"/>
      <c r="I94" s="257">
        <v>45092</v>
      </c>
      <c r="J94" t="s">
        <v>2904</v>
      </c>
      <c r="K94" s="368" t="s">
        <v>3982</v>
      </c>
      <c r="L94" t="s">
        <v>2193</v>
      </c>
      <c r="M94" t="s">
        <v>115</v>
      </c>
      <c r="P94" t="s">
        <v>1556</v>
      </c>
      <c r="Q94" t="s">
        <v>2198</v>
      </c>
      <c r="R94" s="257">
        <v>44992.634444444448</v>
      </c>
      <c r="S94">
        <v>2020</v>
      </c>
      <c r="T94" t="s">
        <v>2194</v>
      </c>
      <c r="U94" t="s">
        <v>678</v>
      </c>
      <c r="V94" t="s">
        <v>679</v>
      </c>
      <c r="W94" t="s">
        <v>145</v>
      </c>
      <c r="X94" t="s">
        <v>309</v>
      </c>
      <c r="Y94" s="371">
        <v>45078</v>
      </c>
      <c r="Z94" t="s">
        <v>1875</v>
      </c>
      <c r="AA94" s="257"/>
      <c r="AB94" t="s">
        <v>139</v>
      </c>
      <c r="AC94" t="s">
        <v>1875</v>
      </c>
      <c r="AD94" t="s">
        <v>1805</v>
      </c>
      <c r="AE94" s="257" t="s">
        <v>1805</v>
      </c>
      <c r="AJ94" t="s">
        <v>2191</v>
      </c>
      <c r="AL94" t="s">
        <v>2190</v>
      </c>
      <c r="AM94" t="s">
        <v>1975</v>
      </c>
      <c r="AN94" t="b">
        <v>0</v>
      </c>
      <c r="BA94" t="s">
        <v>373</v>
      </c>
      <c r="BB94" t="s">
        <v>139</v>
      </c>
      <c r="BC94" t="s">
        <v>2192</v>
      </c>
    </row>
    <row r="95" spans="1:59">
      <c r="A95">
        <v>692</v>
      </c>
      <c r="B95" t="s">
        <v>3973</v>
      </c>
      <c r="C95" t="s">
        <v>3974</v>
      </c>
      <c r="D95" t="s">
        <v>8</v>
      </c>
      <c r="E95" t="s">
        <v>9</v>
      </c>
      <c r="F95" t="s">
        <v>1765</v>
      </c>
      <c r="G95" s="257">
        <v>44208</v>
      </c>
      <c r="H95" s="257"/>
      <c r="I95" s="257">
        <v>45095</v>
      </c>
      <c r="J95" t="s">
        <v>2904</v>
      </c>
      <c r="K95" s="368" t="s">
        <v>3982</v>
      </c>
      <c r="L95" t="s">
        <v>2193</v>
      </c>
      <c r="M95" t="s">
        <v>115</v>
      </c>
      <c r="P95" t="s">
        <v>1556</v>
      </c>
      <c r="Q95" t="s">
        <v>2198</v>
      </c>
      <c r="R95" s="257">
        <v>44992.638298611113</v>
      </c>
      <c r="S95">
        <v>2021</v>
      </c>
      <c r="T95" t="s">
        <v>2194</v>
      </c>
      <c r="U95" t="s">
        <v>678</v>
      </c>
      <c r="V95" t="s">
        <v>679</v>
      </c>
      <c r="W95" t="s">
        <v>145</v>
      </c>
      <c r="X95" t="s">
        <v>309</v>
      </c>
      <c r="Y95" s="371">
        <v>45078</v>
      </c>
      <c r="Z95" t="s">
        <v>1875</v>
      </c>
      <c r="AA95" s="257"/>
      <c r="AB95" t="s">
        <v>139</v>
      </c>
      <c r="AC95" t="s">
        <v>1875</v>
      </c>
      <c r="AD95" t="s">
        <v>1805</v>
      </c>
      <c r="AE95" s="257" t="s">
        <v>1805</v>
      </c>
      <c r="AJ95" t="s">
        <v>2191</v>
      </c>
      <c r="AL95" t="s">
        <v>2190</v>
      </c>
      <c r="AM95" t="s">
        <v>1975</v>
      </c>
      <c r="AN95" t="b">
        <v>0</v>
      </c>
      <c r="BA95" t="s">
        <v>373</v>
      </c>
      <c r="BB95" t="s">
        <v>139</v>
      </c>
      <c r="BC95" t="s">
        <v>2192</v>
      </c>
    </row>
    <row r="96" spans="1:59">
      <c r="A96">
        <v>693</v>
      </c>
      <c r="B96" t="s">
        <v>3975</v>
      </c>
      <c r="C96" t="s">
        <v>3976</v>
      </c>
      <c r="D96" t="s">
        <v>8</v>
      </c>
      <c r="E96" t="s">
        <v>9</v>
      </c>
      <c r="F96" t="s">
        <v>1765</v>
      </c>
      <c r="G96" s="257">
        <v>44532</v>
      </c>
      <c r="H96" s="257"/>
      <c r="I96" s="257">
        <v>45081</v>
      </c>
      <c r="J96" t="s">
        <v>2904</v>
      </c>
      <c r="K96" s="368" t="s">
        <v>3982</v>
      </c>
      <c r="L96" t="s">
        <v>2193</v>
      </c>
      <c r="M96" t="s">
        <v>115</v>
      </c>
      <c r="P96" t="s">
        <v>1556</v>
      </c>
      <c r="Q96" t="s">
        <v>2198</v>
      </c>
      <c r="R96" s="257">
        <v>44992.640173611115</v>
      </c>
      <c r="S96">
        <v>2021</v>
      </c>
      <c r="T96" t="s">
        <v>2194</v>
      </c>
      <c r="U96" t="s">
        <v>678</v>
      </c>
      <c r="V96" t="s">
        <v>679</v>
      </c>
      <c r="W96" t="s">
        <v>145</v>
      </c>
      <c r="X96" t="s">
        <v>309</v>
      </c>
      <c r="Y96" s="371">
        <v>45078</v>
      </c>
      <c r="Z96" t="s">
        <v>1875</v>
      </c>
      <c r="AA96" s="257"/>
      <c r="AB96" t="s">
        <v>139</v>
      </c>
      <c r="AC96" t="s">
        <v>1875</v>
      </c>
      <c r="AD96" t="s">
        <v>1805</v>
      </c>
      <c r="AE96" s="257" t="s">
        <v>1805</v>
      </c>
      <c r="AJ96" t="s">
        <v>2191</v>
      </c>
      <c r="AL96" t="s">
        <v>2190</v>
      </c>
      <c r="AM96" t="s">
        <v>1975</v>
      </c>
      <c r="AN96" t="b">
        <v>0</v>
      </c>
      <c r="BA96" t="s">
        <v>373</v>
      </c>
      <c r="BB96" t="s">
        <v>139</v>
      </c>
      <c r="BC96" t="s">
        <v>2192</v>
      </c>
    </row>
    <row r="97" spans="7:33">
      <c r="G97" s="257"/>
      <c r="H97" s="257"/>
      <c r="I97" s="257"/>
      <c r="R97" s="257"/>
      <c r="AA97" s="257"/>
      <c r="AE97" s="257"/>
    </row>
    <row r="98" spans="7:33">
      <c r="G98" s="257"/>
      <c r="H98" s="257"/>
      <c r="I98" s="257"/>
      <c r="R98" s="257"/>
      <c r="AA98" s="257"/>
      <c r="AE98" s="257"/>
    </row>
    <row r="99" spans="7:33">
      <c r="G99" s="257"/>
      <c r="H99" s="257"/>
      <c r="I99" s="257"/>
      <c r="R99" s="257"/>
      <c r="AA99" s="257"/>
      <c r="AE99" s="257"/>
    </row>
    <row r="100" spans="7:33">
      <c r="G100" s="257"/>
      <c r="H100" s="257"/>
      <c r="I100" s="257"/>
      <c r="R100" s="257"/>
      <c r="AA100" s="257"/>
      <c r="AE100" s="257"/>
    </row>
    <row r="101" spans="7:33">
      <c r="G101" s="257"/>
      <c r="H101" s="257"/>
      <c r="I101" s="257"/>
      <c r="R101" s="257"/>
      <c r="AA101" s="257"/>
      <c r="AE101" s="257"/>
    </row>
    <row r="102" spans="7:33">
      <c r="G102" s="257"/>
      <c r="H102" s="257"/>
      <c r="I102" s="257"/>
      <c r="R102" s="257"/>
      <c r="AA102" s="257"/>
      <c r="AE102" s="257"/>
    </row>
    <row r="103" spans="7:33">
      <c r="G103" s="257"/>
      <c r="H103" s="257"/>
      <c r="I103" s="257"/>
      <c r="R103" s="257"/>
      <c r="AA103" s="257"/>
      <c r="AE103" s="257"/>
    </row>
    <row r="104" spans="7:33">
      <c r="G104" s="257"/>
      <c r="H104" s="257"/>
      <c r="I104" s="257"/>
      <c r="R104" s="257"/>
      <c r="AA104" s="257"/>
      <c r="AE104" s="257"/>
      <c r="AG104" s="259"/>
    </row>
    <row r="105" spans="7:33">
      <c r="G105" s="257"/>
      <c r="H105" s="257"/>
      <c r="I105" s="257"/>
      <c r="R105" s="257"/>
      <c r="AA105" s="257"/>
    </row>
    <row r="106" spans="7:33">
      <c r="G106" s="257"/>
      <c r="H106" s="257"/>
      <c r="I106" s="257"/>
      <c r="R106" s="257"/>
      <c r="AA106" s="257"/>
    </row>
    <row r="107" spans="7:33">
      <c r="G107" s="257"/>
      <c r="H107" s="257"/>
      <c r="I107" s="257"/>
      <c r="R107" s="257"/>
      <c r="AA107" s="257"/>
    </row>
    <row r="108" spans="7:33">
      <c r="G108" s="257"/>
      <c r="H108" s="257"/>
      <c r="I108" s="257"/>
      <c r="R108" s="257"/>
      <c r="AA108" s="257"/>
    </row>
    <row r="109" spans="7:33">
      <c r="G109" s="257"/>
      <c r="H109" s="257"/>
      <c r="I109" s="257"/>
      <c r="R109" s="257"/>
      <c r="AA109" s="257"/>
    </row>
    <row r="110" spans="7:33">
      <c r="G110" s="257"/>
      <c r="H110" s="257"/>
      <c r="I110" s="257"/>
      <c r="R110" s="257"/>
      <c r="AA110" s="257"/>
    </row>
    <row r="111" spans="7:33">
      <c r="G111" s="257"/>
      <c r="H111" s="257"/>
      <c r="I111" s="257"/>
      <c r="R111" s="257"/>
      <c r="AA111" s="257"/>
    </row>
    <row r="112" spans="7:33">
      <c r="G112" s="257"/>
      <c r="H112" s="257"/>
      <c r="I112" s="257"/>
      <c r="R112" s="257"/>
      <c r="AA112" s="257"/>
    </row>
    <row r="113" spans="7:27">
      <c r="G113" s="257"/>
      <c r="H113" s="257"/>
      <c r="I113" s="257"/>
      <c r="R113" s="257"/>
      <c r="AA113" s="257"/>
    </row>
    <row r="114" spans="7:27">
      <c r="G114" s="257"/>
      <c r="H114" s="257"/>
      <c r="I114" s="257"/>
      <c r="R114" s="257"/>
      <c r="AA114" s="257"/>
    </row>
    <row r="115" spans="7:27">
      <c r="G115" s="257"/>
      <c r="H115" s="257"/>
      <c r="I115" s="257"/>
      <c r="R115" s="257"/>
      <c r="AA115" s="257"/>
    </row>
    <row r="116" spans="7:27">
      <c r="G116" s="257"/>
      <c r="H116" s="257"/>
      <c r="I116" s="257"/>
      <c r="R116" s="257"/>
      <c r="AA116" s="257"/>
    </row>
    <row r="117" spans="7:27">
      <c r="G117" s="257"/>
      <c r="H117" s="257"/>
      <c r="I117" s="257"/>
      <c r="R117" s="257"/>
      <c r="AA117" s="257"/>
    </row>
    <row r="118" spans="7:27">
      <c r="G118" s="257"/>
      <c r="H118" s="257"/>
      <c r="I118" s="257"/>
      <c r="R118" s="257"/>
      <c r="AA118" s="257"/>
    </row>
    <row r="119" spans="7:27">
      <c r="G119" s="257"/>
      <c r="H119" s="257"/>
      <c r="I119" s="257"/>
      <c r="R119" s="257"/>
      <c r="AA119" s="257"/>
    </row>
    <row r="120" spans="7:27">
      <c r="G120" s="257"/>
      <c r="H120" s="257"/>
      <c r="I120" s="257"/>
      <c r="R120" s="257"/>
      <c r="AA120" s="257"/>
    </row>
    <row r="121" spans="7:27">
      <c r="G121" s="257"/>
      <c r="H121" s="257"/>
      <c r="I121" s="257"/>
      <c r="R121" s="257"/>
      <c r="AA121" s="257"/>
    </row>
    <row r="122" spans="7:27">
      <c r="G122" s="257"/>
      <c r="H122" s="257"/>
      <c r="I122" s="257"/>
      <c r="R122" s="257"/>
      <c r="AA122" s="257"/>
    </row>
    <row r="123" spans="7:27">
      <c r="G123" s="257"/>
      <c r="H123" s="257"/>
      <c r="I123" s="257"/>
      <c r="R123" s="257"/>
      <c r="AA123" s="257"/>
    </row>
    <row r="124" spans="7:27">
      <c r="G124" s="257"/>
      <c r="H124" s="257"/>
      <c r="I124" s="257"/>
      <c r="R124" s="257"/>
      <c r="AA124" s="257"/>
    </row>
    <row r="125" spans="7:27">
      <c r="G125" s="257"/>
      <c r="H125" s="257"/>
      <c r="I125" s="257"/>
      <c r="R125" s="257"/>
      <c r="AA125" s="257"/>
    </row>
    <row r="126" spans="7:27">
      <c r="G126" s="257"/>
      <c r="H126" s="257"/>
      <c r="I126" s="257"/>
      <c r="R126" s="257"/>
      <c r="AA126" s="257"/>
    </row>
    <row r="127" spans="7:27">
      <c r="G127" s="257"/>
      <c r="H127" s="257"/>
      <c r="I127" s="257"/>
      <c r="R127" s="257"/>
      <c r="AA127" s="257"/>
    </row>
    <row r="128" spans="7:27">
      <c r="G128" s="257"/>
      <c r="H128" s="257"/>
      <c r="I128" s="257"/>
      <c r="R128" s="257"/>
      <c r="AA128" s="257"/>
    </row>
    <row r="129" spans="7:27">
      <c r="G129" s="257"/>
      <c r="H129" s="257"/>
      <c r="I129" s="257"/>
      <c r="R129" s="257"/>
      <c r="AA129" s="257"/>
    </row>
    <row r="130" spans="7:27">
      <c r="G130" s="257"/>
      <c r="H130" s="257"/>
      <c r="I130" s="257"/>
      <c r="R130" s="257"/>
      <c r="AA130" s="257"/>
    </row>
    <row r="131" spans="7:27">
      <c r="G131" s="257"/>
      <c r="H131" s="257"/>
      <c r="I131" s="257"/>
      <c r="R131" s="257"/>
      <c r="AA131" s="257"/>
    </row>
    <row r="132" spans="7:27">
      <c r="G132" s="257"/>
      <c r="H132" s="257"/>
      <c r="I132" s="257"/>
      <c r="R132" s="257"/>
      <c r="AA132" s="257"/>
    </row>
    <row r="133" spans="7:27">
      <c r="G133" s="257"/>
      <c r="H133" s="257"/>
      <c r="I133" s="257"/>
      <c r="R133" s="257"/>
      <c r="AA133" s="257"/>
    </row>
    <row r="134" spans="7:27">
      <c r="G134" s="257"/>
      <c r="H134" s="257"/>
      <c r="I134" s="257"/>
      <c r="R134" s="257"/>
      <c r="AA134" s="257"/>
    </row>
    <row r="135" spans="7:27">
      <c r="G135" s="257"/>
      <c r="H135" s="257"/>
      <c r="I135" s="257"/>
      <c r="R135" s="257"/>
      <c r="AA135" s="257"/>
    </row>
    <row r="136" spans="7:27">
      <c r="G136" s="257"/>
      <c r="H136" s="257"/>
      <c r="I136" s="257"/>
      <c r="R136" s="257"/>
      <c r="AA136" s="257"/>
    </row>
    <row r="137" spans="7:27">
      <c r="G137" s="257"/>
      <c r="H137" s="257"/>
      <c r="I137" s="257"/>
      <c r="R137" s="257"/>
      <c r="AA137" s="257"/>
    </row>
    <row r="138" spans="7:27">
      <c r="G138" s="257"/>
      <c r="H138" s="257"/>
      <c r="I138" s="257"/>
      <c r="R138" s="257"/>
      <c r="AA138" s="257"/>
    </row>
    <row r="139" spans="7:27">
      <c r="G139" s="257"/>
      <c r="H139" s="257"/>
      <c r="I139" s="257"/>
      <c r="R139" s="257"/>
      <c r="AA139" s="257"/>
    </row>
    <row r="140" spans="7:27">
      <c r="G140" s="257"/>
      <c r="H140" s="257"/>
      <c r="I140" s="257"/>
      <c r="R140" s="257"/>
      <c r="AA140" s="257"/>
    </row>
    <row r="141" spans="7:27">
      <c r="G141" s="257"/>
      <c r="H141" s="257"/>
      <c r="I141" s="257"/>
      <c r="R141" s="257"/>
      <c r="AA141" s="257"/>
    </row>
    <row r="142" spans="7:27">
      <c r="G142" s="257"/>
      <c r="H142" s="257"/>
      <c r="I142" s="257"/>
      <c r="R142" s="257"/>
      <c r="AA142" s="257"/>
    </row>
    <row r="143" spans="7:27">
      <c r="G143" s="257"/>
      <c r="H143" s="257"/>
      <c r="I143" s="257"/>
      <c r="R143" s="257"/>
      <c r="AA143" s="257"/>
    </row>
    <row r="144" spans="7:27">
      <c r="G144" s="257"/>
      <c r="H144" s="257"/>
      <c r="I144" s="257"/>
      <c r="R144" s="257"/>
      <c r="AA144" s="257"/>
    </row>
    <row r="145" spans="7:27">
      <c r="G145" s="257"/>
      <c r="H145" s="257"/>
      <c r="I145" s="257"/>
      <c r="R145" s="257"/>
      <c r="AA145" s="257"/>
    </row>
    <row r="146" spans="7:27">
      <c r="G146" s="257"/>
      <c r="H146" s="257"/>
      <c r="I146" s="257"/>
      <c r="R146" s="257"/>
      <c r="AA146" s="257"/>
    </row>
    <row r="147" spans="7:27">
      <c r="G147" s="257"/>
      <c r="H147" s="257"/>
      <c r="I147" s="257"/>
      <c r="R147" s="257"/>
      <c r="AA147" s="257"/>
    </row>
    <row r="148" spans="7:27">
      <c r="G148" s="257"/>
      <c r="H148" s="257"/>
      <c r="I148" s="257"/>
      <c r="R148" s="257"/>
      <c r="AA148" s="257"/>
    </row>
    <row r="149" spans="7:27">
      <c r="G149" s="257"/>
      <c r="H149" s="257"/>
      <c r="I149" s="257"/>
      <c r="R149" s="257"/>
      <c r="AA149" s="257"/>
    </row>
    <row r="150" spans="7:27">
      <c r="G150" s="257"/>
      <c r="H150" s="257"/>
      <c r="I150" s="257"/>
      <c r="R150" s="257"/>
      <c r="AA150" s="257"/>
    </row>
    <row r="151" spans="7:27">
      <c r="G151" s="257"/>
      <c r="H151" s="257"/>
      <c r="I151" s="257"/>
      <c r="R151" s="257"/>
      <c r="AA151" s="257"/>
    </row>
    <row r="152" spans="7:27">
      <c r="G152" s="257"/>
      <c r="H152" s="257"/>
      <c r="I152" s="257"/>
      <c r="R152" s="257"/>
      <c r="AA152" s="257"/>
    </row>
    <row r="153" spans="7:27">
      <c r="G153" s="257"/>
      <c r="H153" s="257"/>
      <c r="I153" s="257"/>
      <c r="R153" s="257"/>
      <c r="AA153" s="257"/>
    </row>
    <row r="154" spans="7:27">
      <c r="G154" s="257"/>
      <c r="H154" s="257"/>
      <c r="I154" s="257"/>
      <c r="R154" s="257"/>
      <c r="AA154" s="257"/>
    </row>
    <row r="155" spans="7:27">
      <c r="G155" s="257"/>
      <c r="H155" s="257"/>
      <c r="I155" s="257"/>
      <c r="R155" s="257"/>
      <c r="AA155" s="257"/>
    </row>
    <row r="156" spans="7:27">
      <c r="G156" s="257"/>
      <c r="H156" s="257"/>
      <c r="I156" s="257"/>
      <c r="R156" s="257"/>
      <c r="AA156" s="257"/>
    </row>
    <row r="157" spans="7:27">
      <c r="G157" s="257"/>
      <c r="H157" s="257"/>
      <c r="I157" s="257"/>
      <c r="R157" s="257"/>
      <c r="AA157" s="257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B1"/>
  <sheetViews>
    <sheetView workbookViewId="0">
      <selection sqref="A1:BB1"/>
    </sheetView>
  </sheetViews>
  <sheetFormatPr defaultRowHeight="15"/>
  <sheetData>
    <row r="1" spans="1:54" ht="89.25">
      <c r="A1" s="174" t="s">
        <v>0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174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176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208" t="s">
        <v>1945</v>
      </c>
      <c r="AP1" s="209" t="s">
        <v>1946</v>
      </c>
      <c r="AQ1" s="209" t="s">
        <v>1947</v>
      </c>
      <c r="AR1" s="209" t="s">
        <v>1948</v>
      </c>
      <c r="AS1" s="209" t="s">
        <v>1957</v>
      </c>
      <c r="AT1" s="209" t="s">
        <v>1949</v>
      </c>
      <c r="AU1" s="208" t="s">
        <v>1950</v>
      </c>
      <c r="AV1" s="208" t="s">
        <v>1951</v>
      </c>
      <c r="AW1" s="208" t="s">
        <v>1952</v>
      </c>
      <c r="AX1" s="208" t="s">
        <v>1953</v>
      </c>
      <c r="AY1" s="208" t="s">
        <v>1954</v>
      </c>
      <c r="AZ1" s="213" t="s">
        <v>1955</v>
      </c>
      <c r="BA1" s="178" t="s">
        <v>1498</v>
      </c>
      <c r="BB1" s="178" t="s">
        <v>1621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I2"/>
  <sheetViews>
    <sheetView topLeftCell="K1" workbookViewId="0">
      <selection activeCell="R1" sqref="R1"/>
    </sheetView>
  </sheetViews>
  <sheetFormatPr defaultRowHeight="15"/>
  <cols>
    <col min="31" max="33" width="8.85546875" style="16"/>
  </cols>
  <sheetData>
    <row r="1" spans="1:35" ht="189">
      <c r="A1" s="110" t="s">
        <v>1483</v>
      </c>
      <c r="B1" s="110" t="s">
        <v>1484</v>
      </c>
      <c r="C1" s="110" t="s">
        <v>1485</v>
      </c>
      <c r="D1" s="110" t="s">
        <v>1486</v>
      </c>
      <c r="E1" s="110" t="s">
        <v>1487</v>
      </c>
      <c r="F1" s="110" t="s">
        <v>1488</v>
      </c>
      <c r="G1" s="110" t="s">
        <v>1489</v>
      </c>
      <c r="H1" s="111" t="s">
        <v>1490</v>
      </c>
      <c r="I1" s="110" t="s">
        <v>1491</v>
      </c>
      <c r="J1" s="110" t="s">
        <v>1581</v>
      </c>
      <c r="K1" s="110" t="s">
        <v>1492</v>
      </c>
      <c r="L1" s="110" t="s">
        <v>1493</v>
      </c>
      <c r="M1" s="110" t="s">
        <v>1494</v>
      </c>
      <c r="N1" s="110" t="s">
        <v>1495</v>
      </c>
      <c r="O1" s="110" t="s">
        <v>1496</v>
      </c>
      <c r="P1" s="110" t="s">
        <v>1497</v>
      </c>
      <c r="Q1" s="110" t="s">
        <v>1498</v>
      </c>
      <c r="R1" s="110" t="s">
        <v>1499</v>
      </c>
      <c r="S1" s="110" t="s">
        <v>1500</v>
      </c>
      <c r="T1" s="110" t="s">
        <v>1501</v>
      </c>
      <c r="U1" s="110" t="s">
        <v>1621</v>
      </c>
      <c r="V1" s="110" t="s">
        <v>1863</v>
      </c>
      <c r="W1" s="110" t="s">
        <v>1864</v>
      </c>
      <c r="X1" s="56" t="s">
        <v>2021</v>
      </c>
      <c r="Y1" s="56" t="s">
        <v>1887</v>
      </c>
      <c r="Z1" s="56" t="s">
        <v>1888</v>
      </c>
      <c r="AA1" s="56" t="s">
        <v>2020</v>
      </c>
      <c r="AB1" s="56" t="s">
        <v>1889</v>
      </c>
      <c r="AC1" s="56" t="s">
        <v>1890</v>
      </c>
      <c r="AD1" s="56" t="s">
        <v>1891</v>
      </c>
      <c r="AE1" s="56" t="s">
        <v>1982</v>
      </c>
      <c r="AF1" s="56" t="s">
        <v>1983</v>
      </c>
      <c r="AG1" s="56" t="s">
        <v>1931</v>
      </c>
      <c r="AH1" s="56" t="s">
        <v>1958</v>
      </c>
      <c r="AI1" s="250" t="s">
        <v>1993</v>
      </c>
    </row>
    <row r="2" spans="1:35" ht="120">
      <c r="A2" s="207">
        <f>JudgeProfile!A2</f>
        <v>1</v>
      </c>
      <c r="B2" s="207" t="str">
        <f>JudgeProfile!B2</f>
        <v>PHC0290-73-1</v>
      </c>
      <c r="C2" s="207" t="str">
        <f>JudgeProfile!C2</f>
        <v>Mr Amin Said</v>
      </c>
      <c r="D2" s="207" t="str">
        <f>JudgeProfile!D2</f>
        <v>Addl: District &amp; Sessions Judge</v>
      </c>
      <c r="E2" s="207" t="str">
        <f>JudgeProfile!E2</f>
        <v>ADSJ-1</v>
      </c>
      <c r="F2" s="207" t="str">
        <f>JudgeProfile!F2</f>
        <v>Lower Dir - Timergara</v>
      </c>
      <c r="G2" s="207" t="str">
        <f>JudgeProfile!G2</f>
        <v>Regular</v>
      </c>
      <c r="H2" s="112">
        <f>JudgeProfile!H2</f>
        <v>45078</v>
      </c>
      <c r="I2" s="207">
        <f>JudgeProfile!I2</f>
        <v>2023</v>
      </c>
      <c r="J2" s="207">
        <f>JudgeProfile!J2</f>
        <v>30</v>
      </c>
      <c r="K2" s="207">
        <f>JudgeProfile!K2</f>
        <v>4</v>
      </c>
      <c r="L2" s="207">
        <f>JudgeProfile!L2</f>
        <v>1</v>
      </c>
      <c r="M2" s="207">
        <f>JudgeProfile!M2</f>
        <v>4</v>
      </c>
      <c r="N2" s="207">
        <f>JudgeProfile!N2</f>
        <v>0</v>
      </c>
      <c r="O2" s="207">
        <f>JudgeProfile!O2</f>
        <v>2</v>
      </c>
      <c r="P2" s="207">
        <f>JudgeProfile!P2</f>
        <v>19</v>
      </c>
      <c r="Q2" s="207" t="str">
        <f>JudgeProfile!Q2</f>
        <v>1 - Remains in this court full month</v>
      </c>
      <c r="R2" s="207">
        <f>JudgeProfile!R2</f>
        <v>3.41</v>
      </c>
      <c r="S2" s="207">
        <f>JudgeProfile!S2</f>
        <v>0</v>
      </c>
      <c r="T2" s="207">
        <f>JudgeProfile!T2</f>
        <v>0</v>
      </c>
      <c r="U2" s="232" t="str">
        <f>JudgeProfile!U2</f>
        <v>Addl: District &amp; Sessions Judge (Both Civil and Criminal Matter)</v>
      </c>
      <c r="V2" s="207">
        <f>JudgeProfile!V2</f>
        <v>900</v>
      </c>
      <c r="W2" s="207">
        <f>JudgeProfile!W2</f>
        <v>900</v>
      </c>
      <c r="X2" s="17">
        <f>'Summary Sheet'!X4</f>
        <v>3</v>
      </c>
      <c r="Y2" s="17">
        <f>'Summary Sheet'!Y4</f>
        <v>194</v>
      </c>
      <c r="Z2" s="17">
        <f>'Summary Sheet'!Z4</f>
        <v>197</v>
      </c>
      <c r="AA2" s="17">
        <f>'Summary Sheet'!X5</f>
        <v>57</v>
      </c>
      <c r="AB2" s="17">
        <f>'Summary Sheet'!Y5</f>
        <v>343</v>
      </c>
      <c r="AC2" s="17">
        <f>'Summary Sheet'!Z5</f>
        <v>400</v>
      </c>
      <c r="AD2" s="17">
        <f>AC2+Z2</f>
        <v>597</v>
      </c>
      <c r="AE2" s="17">
        <f>'Summary Sheet'!AD4</f>
        <v>3</v>
      </c>
      <c r="AF2" s="17">
        <f>'Summary Sheet'!AD5</f>
        <v>52</v>
      </c>
      <c r="AG2" s="17">
        <f>AF2+AE2</f>
        <v>55</v>
      </c>
      <c r="AH2" s="17" t="str">
        <f>JudgeProfile!X2</f>
        <v>Zone B</v>
      </c>
      <c r="AI2" t="str">
        <f>JudgeProfile!Z2</f>
        <v>Sessions Court</v>
      </c>
    </row>
  </sheetData>
  <sheetProtection algorithmName="SHA-512" hashValue="3v8TJZfvhFe4yFIkf6HF0O4iFiVhLErQ9jEm+S5SuUzSMxalazPgG13akq+/1SrnAbj/zr433ucqbW347SBqgw==" saltValue="jr8izN3lZYx6JrafroYijA==" spinCount="100000" sheet="1" objects="1" scenarios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G32"/>
  <sheetViews>
    <sheetView topLeftCell="A28" workbookViewId="0">
      <selection sqref="A1:G29"/>
    </sheetView>
  </sheetViews>
  <sheetFormatPr defaultColWidth="8.85546875" defaultRowHeight="15"/>
  <cols>
    <col min="1" max="6" width="8.85546875" style="259"/>
    <col min="7" max="7" width="16" style="319" customWidth="1"/>
    <col min="8" max="9" width="8.85546875" style="319"/>
    <col min="10" max="10" width="8.85546875" style="259"/>
    <col min="11" max="11" width="21.28515625" style="364" customWidth="1"/>
    <col min="12" max="12" width="8.85546875" style="320"/>
    <col min="13" max="17" width="8.85546875" style="259"/>
    <col min="18" max="18" width="14" style="319" customWidth="1"/>
    <col min="19" max="19" width="8.85546875" style="321"/>
    <col min="20" max="24" width="8.85546875" style="259"/>
    <col min="25" max="25" width="8.85546875" style="365"/>
    <col min="26" max="35" width="8.85546875" style="259"/>
    <col min="36" max="36" width="8.85546875" style="319"/>
    <col min="37" max="37" width="8.85546875" style="320"/>
    <col min="38" max="38" width="8.85546875" style="319"/>
    <col min="39" max="40" width="8.85546875" style="259"/>
    <col min="41" max="41" width="8.85546875" style="364"/>
    <col min="42" max="44" width="8.85546875" style="321"/>
    <col min="45" max="45" width="8.85546875" style="323"/>
    <col min="46" max="47" width="8.85546875" style="321"/>
    <col min="48" max="48" width="8.85546875" style="319"/>
    <col min="49" max="16384" width="8.85546875" style="259"/>
  </cols>
  <sheetData>
    <row r="1" spans="1:59" ht="89.2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361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363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362" t="s">
        <v>1996</v>
      </c>
      <c r="AP1" s="209" t="s">
        <v>1946</v>
      </c>
      <c r="AQ1" s="209" t="s">
        <v>1947</v>
      </c>
      <c r="AR1" s="209" t="s">
        <v>1948</v>
      </c>
      <c r="AS1" s="317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  <c r="BD1" s="259" t="s">
        <v>2038</v>
      </c>
      <c r="BE1" s="259" t="s">
        <v>2039</v>
      </c>
      <c r="BF1" s="259" t="s">
        <v>2040</v>
      </c>
      <c r="BG1" s="259" t="s">
        <v>2041</v>
      </c>
    </row>
    <row r="2" spans="1:59" ht="135">
      <c r="A2" s="259">
        <v>89</v>
      </c>
      <c r="B2" s="259" t="s">
        <v>2647</v>
      </c>
      <c r="C2" s="259" t="s">
        <v>3380</v>
      </c>
      <c r="D2" s="259" t="s">
        <v>8</v>
      </c>
      <c r="E2" s="259" t="s">
        <v>13</v>
      </c>
      <c r="F2" s="259" t="s">
        <v>1560</v>
      </c>
      <c r="G2" s="274">
        <v>44218</v>
      </c>
      <c r="H2" s="274"/>
      <c r="I2" s="274"/>
      <c r="N2" s="259" t="s">
        <v>126</v>
      </c>
      <c r="P2" s="259" t="s">
        <v>1554</v>
      </c>
      <c r="Q2" s="259" t="s">
        <v>2198</v>
      </c>
      <c r="R2" s="274">
        <v>44959.428946759261</v>
      </c>
      <c r="S2" s="321">
        <v>2021</v>
      </c>
      <c r="T2" s="259" t="s">
        <v>2001</v>
      </c>
      <c r="U2" s="259" t="s">
        <v>678</v>
      </c>
      <c r="V2" s="259" t="s">
        <v>679</v>
      </c>
      <c r="W2" s="259" t="s">
        <v>145</v>
      </c>
      <c r="X2" s="259" t="s">
        <v>309</v>
      </c>
      <c r="Y2" s="365">
        <v>44986</v>
      </c>
      <c r="Z2" s="259" t="s">
        <v>1875</v>
      </c>
      <c r="AA2" s="274" t="s">
        <v>2868</v>
      </c>
      <c r="AB2" s="259" t="s">
        <v>139</v>
      </c>
      <c r="AC2" s="259" t="s">
        <v>1875</v>
      </c>
      <c r="AD2" s="259">
        <v>900</v>
      </c>
      <c r="AE2" s="274">
        <v>900</v>
      </c>
      <c r="AF2" s="274" t="s">
        <v>2975</v>
      </c>
      <c r="AG2" s="274" t="s">
        <v>3381</v>
      </c>
      <c r="AI2" s="259" t="s">
        <v>3382</v>
      </c>
      <c r="AJ2" s="319" t="s">
        <v>3394</v>
      </c>
      <c r="AK2" s="320" t="s">
        <v>3383</v>
      </c>
      <c r="AL2" s="319" t="s">
        <v>3068</v>
      </c>
      <c r="AM2" s="259" t="s">
        <v>1975</v>
      </c>
      <c r="AN2" s="259" t="b">
        <v>1</v>
      </c>
      <c r="AO2" s="364" t="s">
        <v>3395</v>
      </c>
      <c r="AP2" s="321" t="s">
        <v>2983</v>
      </c>
      <c r="AQ2" s="321" t="s">
        <v>2982</v>
      </c>
      <c r="AR2" s="321" t="s">
        <v>2982</v>
      </c>
      <c r="AS2" s="323">
        <v>2</v>
      </c>
      <c r="AT2" s="321" t="s">
        <v>2982</v>
      </c>
      <c r="AU2" s="321" t="s">
        <v>3023</v>
      </c>
      <c r="AV2" s="319" t="s">
        <v>3365</v>
      </c>
      <c r="AW2" s="275" t="s">
        <v>2985</v>
      </c>
      <c r="AX2" s="275" t="s">
        <v>2989</v>
      </c>
      <c r="AZ2" s="274"/>
      <c r="BA2" s="259" t="s">
        <v>373</v>
      </c>
      <c r="BB2" s="259" t="s">
        <v>1610</v>
      </c>
      <c r="BC2" s="259" t="s">
        <v>2192</v>
      </c>
      <c r="BD2" s="274"/>
      <c r="BF2" s="274"/>
      <c r="BG2" s="274"/>
    </row>
    <row r="3" spans="1:59" ht="135">
      <c r="A3" s="259">
        <v>101</v>
      </c>
      <c r="B3" s="259" t="s">
        <v>2641</v>
      </c>
      <c r="C3" s="259" t="s">
        <v>2642</v>
      </c>
      <c r="D3" s="259" t="s">
        <v>8</v>
      </c>
      <c r="E3" s="259" t="s">
        <v>13</v>
      </c>
      <c r="F3" s="259" t="s">
        <v>1560</v>
      </c>
      <c r="G3" s="274">
        <v>44274</v>
      </c>
      <c r="H3" s="274"/>
      <c r="I3" s="274"/>
      <c r="N3" s="259" t="s">
        <v>126</v>
      </c>
      <c r="P3" s="259" t="s">
        <v>1554</v>
      </c>
      <c r="Q3" s="259" t="s">
        <v>2198</v>
      </c>
      <c r="R3" s="274">
        <v>44959.459629629629</v>
      </c>
      <c r="S3" s="321">
        <v>2021</v>
      </c>
      <c r="T3" s="259" t="s">
        <v>2001</v>
      </c>
      <c r="U3" s="259" t="s">
        <v>678</v>
      </c>
      <c r="V3" s="259" t="s">
        <v>679</v>
      </c>
      <c r="W3" s="259" t="s">
        <v>145</v>
      </c>
      <c r="X3" s="259" t="s">
        <v>309</v>
      </c>
      <c r="Y3" s="365">
        <v>44986</v>
      </c>
      <c r="Z3" s="259" t="s">
        <v>1875</v>
      </c>
      <c r="AA3" s="274" t="s">
        <v>2868</v>
      </c>
      <c r="AB3" s="259" t="s">
        <v>139</v>
      </c>
      <c r="AC3" s="259" t="s">
        <v>1875</v>
      </c>
      <c r="AD3" s="259">
        <v>900</v>
      </c>
      <c r="AE3" s="274">
        <v>900</v>
      </c>
      <c r="AF3" s="274" t="s">
        <v>3038</v>
      </c>
      <c r="AG3" s="274" t="s">
        <v>3039</v>
      </c>
      <c r="AI3" s="259" t="s">
        <v>3040</v>
      </c>
      <c r="AJ3" s="319" t="s">
        <v>3396</v>
      </c>
      <c r="AK3" s="320" t="s">
        <v>3041</v>
      </c>
      <c r="AL3" s="319" t="s">
        <v>3045</v>
      </c>
      <c r="AM3" s="259" t="s">
        <v>1975</v>
      </c>
      <c r="AN3" s="259" t="b">
        <v>1</v>
      </c>
      <c r="AO3" s="364" t="s">
        <v>3046</v>
      </c>
      <c r="AP3" s="321" t="s">
        <v>2983</v>
      </c>
      <c r="AQ3" s="321" t="s">
        <v>2982</v>
      </c>
      <c r="AR3" s="321" t="s">
        <v>2982</v>
      </c>
      <c r="AS3" s="323">
        <v>2</v>
      </c>
      <c r="AT3" s="321" t="s">
        <v>2982</v>
      </c>
      <c r="AU3" s="321" t="s">
        <v>2989</v>
      </c>
      <c r="AV3" s="319" t="s">
        <v>3365</v>
      </c>
      <c r="AW3" s="275" t="s">
        <v>3397</v>
      </c>
      <c r="AX3" s="275" t="s">
        <v>3023</v>
      </c>
      <c r="AY3" s="259" t="s">
        <v>1989</v>
      </c>
      <c r="AZ3" s="274"/>
      <c r="BA3" s="259" t="s">
        <v>373</v>
      </c>
      <c r="BB3" s="259" t="s">
        <v>1610</v>
      </c>
      <c r="BC3" s="259" t="s">
        <v>2192</v>
      </c>
      <c r="BD3" s="274"/>
      <c r="BF3" s="274"/>
      <c r="BG3" s="274"/>
    </row>
    <row r="4" spans="1:59" ht="135">
      <c r="A4" s="259">
        <v>135</v>
      </c>
      <c r="B4" s="259" t="s">
        <v>2649</v>
      </c>
      <c r="C4" s="259" t="s">
        <v>2650</v>
      </c>
      <c r="D4" s="259" t="s">
        <v>8</v>
      </c>
      <c r="E4" s="259" t="s">
        <v>13</v>
      </c>
      <c r="F4" s="259" t="s">
        <v>1560</v>
      </c>
      <c r="G4" s="274">
        <v>44373</v>
      </c>
      <c r="H4" s="274"/>
      <c r="I4" s="274"/>
      <c r="N4" s="259" t="s">
        <v>126</v>
      </c>
      <c r="P4" s="259" t="s">
        <v>1554</v>
      </c>
      <c r="Q4" s="259" t="s">
        <v>2198</v>
      </c>
      <c r="R4" s="274">
        <v>44959.439768518518</v>
      </c>
      <c r="S4" s="321">
        <v>2021</v>
      </c>
      <c r="T4" s="259" t="s">
        <v>2001</v>
      </c>
      <c r="U4" s="259" t="s">
        <v>678</v>
      </c>
      <c r="V4" s="259" t="s">
        <v>679</v>
      </c>
      <c r="W4" s="259" t="s">
        <v>145</v>
      </c>
      <c r="X4" s="259" t="s">
        <v>309</v>
      </c>
      <c r="Y4" s="365">
        <v>44986</v>
      </c>
      <c r="Z4" s="259" t="s">
        <v>1875</v>
      </c>
      <c r="AA4" s="274" t="s">
        <v>2876</v>
      </c>
      <c r="AB4" s="259" t="s">
        <v>139</v>
      </c>
      <c r="AC4" s="259" t="s">
        <v>1875</v>
      </c>
      <c r="AD4" s="259">
        <v>900</v>
      </c>
      <c r="AE4" s="274">
        <v>900</v>
      </c>
      <c r="AF4" s="274" t="s">
        <v>3030</v>
      </c>
      <c r="AG4" s="274" t="s">
        <v>3031</v>
      </c>
      <c r="AI4" s="259" t="s">
        <v>2897</v>
      </c>
      <c r="AJ4" s="319" t="s">
        <v>3398</v>
      </c>
      <c r="AK4" s="320" t="s">
        <v>3032</v>
      </c>
      <c r="AL4" s="319" t="s">
        <v>3049</v>
      </c>
      <c r="AM4" s="259" t="s">
        <v>1975</v>
      </c>
      <c r="AN4" s="259" t="b">
        <v>1</v>
      </c>
      <c r="AO4" s="364" t="s">
        <v>3050</v>
      </c>
      <c r="AP4" s="321" t="s">
        <v>2983</v>
      </c>
      <c r="AQ4" s="321" t="s">
        <v>2982</v>
      </c>
      <c r="AR4" s="321" t="s">
        <v>2982</v>
      </c>
      <c r="AS4" s="323">
        <v>2</v>
      </c>
      <c r="AT4" s="321" t="s">
        <v>2982</v>
      </c>
      <c r="AU4" s="321" t="s">
        <v>3051</v>
      </c>
      <c r="AV4" s="319" t="s">
        <v>3365</v>
      </c>
      <c r="AW4" s="275" t="s">
        <v>3057</v>
      </c>
      <c r="AX4" s="275" t="s">
        <v>3018</v>
      </c>
      <c r="AY4" s="259" t="s">
        <v>1989</v>
      </c>
      <c r="AZ4" s="274"/>
      <c r="BA4" s="259" t="s">
        <v>373</v>
      </c>
      <c r="BB4" s="259" t="s">
        <v>1610</v>
      </c>
      <c r="BC4" s="259" t="s">
        <v>2192</v>
      </c>
      <c r="BD4" s="274"/>
      <c r="BF4" s="274"/>
      <c r="BG4" s="274"/>
    </row>
    <row r="5" spans="1:59" ht="135">
      <c r="A5" s="259">
        <v>136</v>
      </c>
      <c r="B5" s="259" t="s">
        <v>2703</v>
      </c>
      <c r="C5" s="259" t="s">
        <v>2650</v>
      </c>
      <c r="D5" s="259" t="s">
        <v>8</v>
      </c>
      <c r="E5" s="259" t="s">
        <v>13</v>
      </c>
      <c r="F5" s="259" t="s">
        <v>1563</v>
      </c>
      <c r="G5" s="274">
        <v>44373</v>
      </c>
      <c r="H5" s="274"/>
      <c r="I5" s="274"/>
      <c r="N5" s="259" t="s">
        <v>126</v>
      </c>
      <c r="P5" s="259" t="s">
        <v>1554</v>
      </c>
      <c r="Q5" s="259" t="s">
        <v>2198</v>
      </c>
      <c r="R5" s="274">
        <v>44572.473587962966</v>
      </c>
      <c r="S5" s="321">
        <v>2021</v>
      </c>
      <c r="T5" s="259" t="s">
        <v>2001</v>
      </c>
      <c r="U5" s="259" t="s">
        <v>678</v>
      </c>
      <c r="V5" s="259" t="s">
        <v>679</v>
      </c>
      <c r="W5" s="259" t="s">
        <v>145</v>
      </c>
      <c r="X5" s="259" t="s">
        <v>309</v>
      </c>
      <c r="Y5" s="365">
        <v>44986</v>
      </c>
      <c r="Z5" s="259" t="s">
        <v>1875</v>
      </c>
      <c r="AA5" s="274" t="s">
        <v>2876</v>
      </c>
      <c r="AB5" s="259" t="s">
        <v>139</v>
      </c>
      <c r="AC5" s="259" t="s">
        <v>1875</v>
      </c>
      <c r="AD5" s="259">
        <v>900</v>
      </c>
      <c r="AE5" s="274">
        <v>900</v>
      </c>
      <c r="AF5" s="274" t="s">
        <v>3013</v>
      </c>
      <c r="AG5" s="274" t="s">
        <v>3028</v>
      </c>
      <c r="AI5" s="259" t="s">
        <v>2965</v>
      </c>
      <c r="AJ5" s="319" t="s">
        <v>3048</v>
      </c>
      <c r="AK5" s="320" t="s">
        <v>3029</v>
      </c>
      <c r="AL5" s="319" t="s">
        <v>3069</v>
      </c>
      <c r="AM5" s="259" t="s">
        <v>1975</v>
      </c>
      <c r="AN5" s="259" t="b">
        <v>1</v>
      </c>
      <c r="AO5" s="364" t="s">
        <v>3050</v>
      </c>
      <c r="AP5" s="321" t="s">
        <v>2983</v>
      </c>
      <c r="AQ5" s="321" t="s">
        <v>2982</v>
      </c>
      <c r="AR5" s="321" t="s">
        <v>2982</v>
      </c>
      <c r="AS5" s="323">
        <v>2</v>
      </c>
      <c r="AT5" s="321" t="s">
        <v>2982</v>
      </c>
      <c r="AU5" s="321" t="s">
        <v>2981</v>
      </c>
      <c r="AV5" s="319" t="s">
        <v>3052</v>
      </c>
      <c r="AW5" s="275" t="s">
        <v>3001</v>
      </c>
      <c r="AX5" s="275" t="s">
        <v>2983</v>
      </c>
      <c r="AY5" s="259" t="s">
        <v>1989</v>
      </c>
      <c r="AZ5" s="274"/>
      <c r="BA5" s="259" t="s">
        <v>373</v>
      </c>
      <c r="BB5" s="259" t="s">
        <v>1610</v>
      </c>
      <c r="BC5" s="259" t="s">
        <v>2192</v>
      </c>
      <c r="BD5" s="274"/>
      <c r="BF5" s="274"/>
      <c r="BG5" s="274"/>
    </row>
    <row r="6" spans="1:59" ht="135">
      <c r="A6" s="259">
        <v>148</v>
      </c>
      <c r="B6" s="259" t="s">
        <v>2692</v>
      </c>
      <c r="C6" s="259" t="s">
        <v>2751</v>
      </c>
      <c r="D6" s="259" t="s">
        <v>8</v>
      </c>
      <c r="E6" s="259" t="s">
        <v>13</v>
      </c>
      <c r="F6" s="259" t="s">
        <v>1567</v>
      </c>
      <c r="G6" s="274">
        <v>44394</v>
      </c>
      <c r="H6" s="274"/>
      <c r="I6" s="274"/>
      <c r="N6" s="259" t="s">
        <v>126</v>
      </c>
      <c r="P6" s="259" t="s">
        <v>1554</v>
      </c>
      <c r="Q6" s="259" t="s">
        <v>2198</v>
      </c>
      <c r="R6" s="274">
        <v>44959.449305555558</v>
      </c>
      <c r="S6" s="321">
        <v>2021</v>
      </c>
      <c r="T6" s="259" t="s">
        <v>2001</v>
      </c>
      <c r="U6" s="259" t="s">
        <v>678</v>
      </c>
      <c r="V6" s="259" t="s">
        <v>679</v>
      </c>
      <c r="W6" s="259" t="s">
        <v>145</v>
      </c>
      <c r="X6" s="259" t="s">
        <v>309</v>
      </c>
      <c r="Y6" s="365">
        <v>44986</v>
      </c>
      <c r="Z6" s="259" t="s">
        <v>1875</v>
      </c>
      <c r="AA6" s="274" t="s">
        <v>2868</v>
      </c>
      <c r="AB6" s="259" t="s">
        <v>139</v>
      </c>
      <c r="AC6" s="259" t="s">
        <v>1875</v>
      </c>
      <c r="AD6" s="259">
        <v>900</v>
      </c>
      <c r="AE6" s="274">
        <v>900</v>
      </c>
      <c r="AF6" s="274" t="s">
        <v>3013</v>
      </c>
      <c r="AG6" s="274" t="s">
        <v>3034</v>
      </c>
      <c r="AI6" s="259" t="s">
        <v>3261</v>
      </c>
      <c r="AJ6" s="319" t="s">
        <v>3417</v>
      </c>
      <c r="AK6" s="320" t="s">
        <v>3389</v>
      </c>
      <c r="AL6" s="319" t="s">
        <v>3418</v>
      </c>
      <c r="AM6" s="259" t="s">
        <v>1975</v>
      </c>
      <c r="AN6" s="259" t="b">
        <v>1</v>
      </c>
      <c r="AO6" s="364" t="s">
        <v>3419</v>
      </c>
      <c r="AP6" s="321" t="s">
        <v>2983</v>
      </c>
      <c r="AQ6" s="321" t="s">
        <v>2982</v>
      </c>
      <c r="AR6" s="321" t="s">
        <v>2982</v>
      </c>
      <c r="AS6" s="323">
        <v>2</v>
      </c>
      <c r="AT6" s="321" t="s">
        <v>2982</v>
      </c>
      <c r="AU6" s="321" t="s">
        <v>3073</v>
      </c>
      <c r="AV6" s="319" t="s">
        <v>3411</v>
      </c>
      <c r="AW6" s="275" t="s">
        <v>2984</v>
      </c>
      <c r="AX6" s="275" t="s">
        <v>3018</v>
      </c>
      <c r="AY6" s="259" t="s">
        <v>1989</v>
      </c>
      <c r="AZ6" s="274"/>
      <c r="BA6" s="259" t="s">
        <v>373</v>
      </c>
      <c r="BB6" s="259" t="s">
        <v>1610</v>
      </c>
      <c r="BC6" s="259" t="s">
        <v>2192</v>
      </c>
      <c r="BD6" s="274"/>
      <c r="BF6" s="274"/>
      <c r="BG6" s="274"/>
    </row>
    <row r="7" spans="1:59" ht="135">
      <c r="A7" s="259">
        <v>154</v>
      </c>
      <c r="B7" s="259" t="s">
        <v>2654</v>
      </c>
      <c r="C7" s="259" t="s">
        <v>2655</v>
      </c>
      <c r="D7" s="259" t="s">
        <v>8</v>
      </c>
      <c r="E7" s="259" t="s">
        <v>13</v>
      </c>
      <c r="F7" s="259" t="s">
        <v>1560</v>
      </c>
      <c r="G7" s="274">
        <v>44445</v>
      </c>
      <c r="H7" s="274"/>
      <c r="I7" s="274"/>
      <c r="N7" s="259" t="s">
        <v>126</v>
      </c>
      <c r="P7" s="259" t="s">
        <v>1554</v>
      </c>
      <c r="Q7" s="259" t="s">
        <v>2198</v>
      </c>
      <c r="R7" s="274">
        <v>44572.448877314811</v>
      </c>
      <c r="S7" s="321">
        <v>2021</v>
      </c>
      <c r="T7" s="259" t="s">
        <v>2001</v>
      </c>
      <c r="U7" s="259" t="s">
        <v>678</v>
      </c>
      <c r="V7" s="259" t="s">
        <v>679</v>
      </c>
      <c r="W7" s="259" t="s">
        <v>145</v>
      </c>
      <c r="X7" s="259" t="s">
        <v>309</v>
      </c>
      <c r="Y7" s="365">
        <v>44986</v>
      </c>
      <c r="Z7" s="259" t="s">
        <v>1875</v>
      </c>
      <c r="AA7" s="274" t="s">
        <v>2873</v>
      </c>
      <c r="AB7" s="259" t="s">
        <v>139</v>
      </c>
      <c r="AC7" s="259" t="s">
        <v>1875</v>
      </c>
      <c r="AD7" s="259">
        <v>900</v>
      </c>
      <c r="AE7" s="274">
        <v>900</v>
      </c>
      <c r="AF7" s="274" t="s">
        <v>3005</v>
      </c>
      <c r="AG7" s="274" t="s">
        <v>2975</v>
      </c>
      <c r="AI7" s="259" t="s">
        <v>2897</v>
      </c>
      <c r="AJ7" s="319" t="s">
        <v>3053</v>
      </c>
      <c r="AK7" s="320" t="s">
        <v>3006</v>
      </c>
      <c r="AL7" s="319" t="s">
        <v>3054</v>
      </c>
      <c r="AM7" s="259" t="s">
        <v>1975</v>
      </c>
      <c r="AN7" s="259" t="b">
        <v>1</v>
      </c>
      <c r="AO7" s="364" t="s">
        <v>3055</v>
      </c>
      <c r="AP7" s="321" t="s">
        <v>2983</v>
      </c>
      <c r="AQ7" s="321" t="s">
        <v>2982</v>
      </c>
      <c r="AR7" s="321" t="s">
        <v>2982</v>
      </c>
      <c r="AS7" s="323">
        <v>2</v>
      </c>
      <c r="AT7" s="321" t="s">
        <v>2982</v>
      </c>
      <c r="AU7" s="321" t="s">
        <v>3056</v>
      </c>
      <c r="AV7" s="319" t="s">
        <v>2953</v>
      </c>
      <c r="AW7" s="275" t="s">
        <v>3057</v>
      </c>
      <c r="AX7" s="275" t="s">
        <v>2983</v>
      </c>
      <c r="AY7" s="259" t="s">
        <v>1989</v>
      </c>
      <c r="AZ7" s="274"/>
      <c r="BA7" s="259" t="s">
        <v>373</v>
      </c>
      <c r="BB7" s="259" t="s">
        <v>1610</v>
      </c>
      <c r="BC7" s="259" t="s">
        <v>2192</v>
      </c>
      <c r="BD7" s="274"/>
      <c r="BF7" s="274"/>
      <c r="BG7" s="274"/>
    </row>
    <row r="8" spans="1:59" ht="135">
      <c r="A8" s="259">
        <v>160</v>
      </c>
      <c r="B8" s="259" t="s">
        <v>2660</v>
      </c>
      <c r="C8" s="259" t="s">
        <v>3007</v>
      </c>
      <c r="D8" s="259" t="s">
        <v>8</v>
      </c>
      <c r="E8" s="259" t="s">
        <v>13</v>
      </c>
      <c r="F8" s="259" t="s">
        <v>1560</v>
      </c>
      <c r="G8" s="274">
        <v>44447</v>
      </c>
      <c r="H8" s="274"/>
      <c r="I8" s="274"/>
      <c r="N8" s="259" t="s">
        <v>126</v>
      </c>
      <c r="P8" s="259" t="s">
        <v>1554</v>
      </c>
      <c r="Q8" s="259" t="s">
        <v>2198</v>
      </c>
      <c r="R8" s="274">
        <v>44959.4374537037</v>
      </c>
      <c r="S8" s="321">
        <v>2021</v>
      </c>
      <c r="T8" s="259" t="s">
        <v>2001</v>
      </c>
      <c r="U8" s="259" t="s">
        <v>678</v>
      </c>
      <c r="V8" s="259" t="s">
        <v>679</v>
      </c>
      <c r="W8" s="259" t="s">
        <v>145</v>
      </c>
      <c r="X8" s="259" t="s">
        <v>309</v>
      </c>
      <c r="Y8" s="365">
        <v>44986</v>
      </c>
      <c r="Z8" s="259" t="s">
        <v>1875</v>
      </c>
      <c r="AA8" s="274" t="s">
        <v>2873</v>
      </c>
      <c r="AB8" s="259" t="s">
        <v>139</v>
      </c>
      <c r="AC8" s="259" t="s">
        <v>1875</v>
      </c>
      <c r="AD8" s="259">
        <v>900</v>
      </c>
      <c r="AE8" s="274">
        <v>900</v>
      </c>
      <c r="AF8" s="274" t="s">
        <v>3008</v>
      </c>
      <c r="AG8" s="274" t="s">
        <v>3009</v>
      </c>
      <c r="AI8" s="259" t="s">
        <v>3010</v>
      </c>
      <c r="AJ8" s="319" t="s">
        <v>3399</v>
      </c>
      <c r="AK8" s="320" t="s">
        <v>3011</v>
      </c>
      <c r="AL8" s="319" t="s">
        <v>3058</v>
      </c>
      <c r="AM8" s="259" t="s">
        <v>1975</v>
      </c>
      <c r="AN8" s="259" t="b">
        <v>1</v>
      </c>
      <c r="AO8" s="364" t="s">
        <v>3059</v>
      </c>
      <c r="AP8" s="321" t="s">
        <v>2983</v>
      </c>
      <c r="AQ8" s="321" t="s">
        <v>2982</v>
      </c>
      <c r="AR8" s="321" t="s">
        <v>2982</v>
      </c>
      <c r="AS8" s="323">
        <v>2</v>
      </c>
      <c r="AT8" s="321" t="s">
        <v>2982</v>
      </c>
      <c r="AU8" s="321" t="s">
        <v>3056</v>
      </c>
      <c r="AV8" s="319" t="s">
        <v>3400</v>
      </c>
      <c r="AW8" s="275" t="s">
        <v>3057</v>
      </c>
      <c r="AX8" s="275" t="s">
        <v>3018</v>
      </c>
      <c r="AY8" s="259" t="s">
        <v>1971</v>
      </c>
      <c r="AZ8" s="274"/>
      <c r="BA8" s="259" t="s">
        <v>373</v>
      </c>
      <c r="BB8" s="259" t="s">
        <v>1610</v>
      </c>
      <c r="BC8" s="259" t="s">
        <v>2192</v>
      </c>
      <c r="BD8" s="274"/>
      <c r="BF8" s="274"/>
      <c r="BG8" s="274"/>
    </row>
    <row r="9" spans="1:59" ht="135">
      <c r="A9" s="259">
        <v>162</v>
      </c>
      <c r="B9" s="259" t="s">
        <v>2664</v>
      </c>
      <c r="C9" s="259" t="s">
        <v>2665</v>
      </c>
      <c r="D9" s="259" t="s">
        <v>8</v>
      </c>
      <c r="E9" s="259" t="s">
        <v>13</v>
      </c>
      <c r="F9" s="259" t="s">
        <v>1561</v>
      </c>
      <c r="G9" s="274">
        <v>44461</v>
      </c>
      <c r="H9" s="274"/>
      <c r="I9" s="274"/>
      <c r="N9" s="259" t="s">
        <v>126</v>
      </c>
      <c r="P9" s="259" t="s">
        <v>1554</v>
      </c>
      <c r="Q9" s="259" t="s">
        <v>2198</v>
      </c>
      <c r="R9" s="274">
        <v>44959.455381944441</v>
      </c>
      <c r="S9" s="321">
        <v>2021</v>
      </c>
      <c r="T9" s="259" t="s">
        <v>2001</v>
      </c>
      <c r="U9" s="259" t="s">
        <v>678</v>
      </c>
      <c r="V9" s="259" t="s">
        <v>679</v>
      </c>
      <c r="W9" s="259" t="s">
        <v>145</v>
      </c>
      <c r="X9" s="259" t="s">
        <v>309</v>
      </c>
      <c r="Y9" s="365">
        <v>44986</v>
      </c>
      <c r="Z9" s="259" t="s">
        <v>1875</v>
      </c>
      <c r="AA9" s="274" t="s">
        <v>2873</v>
      </c>
      <c r="AB9" s="259" t="s">
        <v>139</v>
      </c>
      <c r="AC9" s="259" t="s">
        <v>1875</v>
      </c>
      <c r="AD9" s="259">
        <v>900</v>
      </c>
      <c r="AE9" s="274">
        <v>900</v>
      </c>
      <c r="AF9" s="274" t="s">
        <v>3033</v>
      </c>
      <c r="AG9" s="274" t="s">
        <v>3034</v>
      </c>
      <c r="AI9" s="259" t="s">
        <v>3035</v>
      </c>
      <c r="AJ9" s="319" t="s">
        <v>3408</v>
      </c>
      <c r="AK9" s="320" t="s">
        <v>3036</v>
      </c>
      <c r="AL9" s="319" t="s">
        <v>3065</v>
      </c>
      <c r="AM9" s="259" t="s">
        <v>1975</v>
      </c>
      <c r="AN9" s="259" t="b">
        <v>1</v>
      </c>
      <c r="AO9" s="364" t="s">
        <v>3066</v>
      </c>
      <c r="AP9" s="321" t="s">
        <v>2983</v>
      </c>
      <c r="AQ9" s="321" t="s">
        <v>2982</v>
      </c>
      <c r="AR9" s="321" t="s">
        <v>2982</v>
      </c>
      <c r="AS9" s="323">
        <v>2</v>
      </c>
      <c r="AT9" s="321" t="s">
        <v>2982</v>
      </c>
      <c r="AU9" s="321" t="s">
        <v>3004</v>
      </c>
      <c r="AV9" s="319" t="s">
        <v>3411</v>
      </c>
      <c r="AW9" s="275" t="s">
        <v>3067</v>
      </c>
      <c r="AX9" s="275" t="s">
        <v>2998</v>
      </c>
      <c r="AY9" s="259" t="s">
        <v>1989</v>
      </c>
      <c r="AZ9" s="274"/>
      <c r="BA9" s="259" t="s">
        <v>373</v>
      </c>
      <c r="BB9" s="259" t="s">
        <v>1610</v>
      </c>
      <c r="BC9" s="259" t="s">
        <v>2192</v>
      </c>
      <c r="BD9" s="274"/>
      <c r="BF9" s="274"/>
      <c r="BG9" s="274"/>
    </row>
    <row r="10" spans="1:59" ht="135">
      <c r="A10" s="259">
        <v>163</v>
      </c>
      <c r="B10" s="259" t="s">
        <v>2706</v>
      </c>
      <c r="C10" s="259" t="s">
        <v>2665</v>
      </c>
      <c r="D10" s="259" t="s">
        <v>8</v>
      </c>
      <c r="E10" s="259" t="s">
        <v>13</v>
      </c>
      <c r="F10" s="259" t="s">
        <v>1563</v>
      </c>
      <c r="G10" s="274">
        <v>44461</v>
      </c>
      <c r="H10" s="274"/>
      <c r="I10" s="274"/>
      <c r="N10" s="259" t="s">
        <v>126</v>
      </c>
      <c r="P10" s="259" t="s">
        <v>1554</v>
      </c>
      <c r="Q10" s="259" t="s">
        <v>2198</v>
      </c>
      <c r="R10" s="274">
        <v>44959.452835648146</v>
      </c>
      <c r="S10" s="321">
        <v>2021</v>
      </c>
      <c r="T10" s="259" t="s">
        <v>2001</v>
      </c>
      <c r="U10" s="259" t="s">
        <v>678</v>
      </c>
      <c r="V10" s="259" t="s">
        <v>679</v>
      </c>
      <c r="W10" s="259" t="s">
        <v>145</v>
      </c>
      <c r="X10" s="259" t="s">
        <v>309</v>
      </c>
      <c r="Y10" s="365">
        <v>44986</v>
      </c>
      <c r="Z10" s="259" t="s">
        <v>1875</v>
      </c>
      <c r="AA10" s="274" t="s">
        <v>2873</v>
      </c>
      <c r="AB10" s="259" t="s">
        <v>139</v>
      </c>
      <c r="AC10" s="259" t="s">
        <v>1875</v>
      </c>
      <c r="AD10" s="259">
        <v>900</v>
      </c>
      <c r="AE10" s="274">
        <v>900</v>
      </c>
      <c r="AF10" s="274" t="s">
        <v>3033</v>
      </c>
      <c r="AG10" s="274" t="s">
        <v>3034</v>
      </c>
      <c r="AI10" s="259" t="s">
        <v>2965</v>
      </c>
      <c r="AJ10" s="319" t="s">
        <v>3408</v>
      </c>
      <c r="AK10" s="320" t="s">
        <v>3037</v>
      </c>
      <c r="AL10" s="319" t="s">
        <v>3065</v>
      </c>
      <c r="AM10" s="259" t="s">
        <v>1975</v>
      </c>
      <c r="AN10" s="259" t="b">
        <v>1</v>
      </c>
      <c r="AO10" s="364" t="s">
        <v>3070</v>
      </c>
      <c r="AP10" s="321" t="s">
        <v>2983</v>
      </c>
      <c r="AQ10" s="321" t="s">
        <v>2982</v>
      </c>
      <c r="AR10" s="321" t="s">
        <v>2982</v>
      </c>
      <c r="AS10" s="323">
        <v>2</v>
      </c>
      <c r="AT10" s="321" t="s">
        <v>2982</v>
      </c>
      <c r="AU10" s="321" t="s">
        <v>3071</v>
      </c>
      <c r="AV10" s="319" t="s">
        <v>3411</v>
      </c>
      <c r="AW10" s="275" t="s">
        <v>3001</v>
      </c>
      <c r="AX10" s="275" t="s">
        <v>3402</v>
      </c>
      <c r="AY10" s="259" t="s">
        <v>1989</v>
      </c>
      <c r="AZ10" s="274"/>
      <c r="BA10" s="259" t="s">
        <v>373</v>
      </c>
      <c r="BB10" s="259" t="s">
        <v>1610</v>
      </c>
      <c r="BC10" s="259" t="s">
        <v>2192</v>
      </c>
      <c r="BD10" s="274"/>
      <c r="BF10" s="274"/>
      <c r="BG10" s="274"/>
    </row>
    <row r="11" spans="1:59" ht="135">
      <c r="A11" s="259">
        <v>182</v>
      </c>
      <c r="B11" s="259" t="s">
        <v>2668</v>
      </c>
      <c r="C11" s="259" t="s">
        <v>2971</v>
      </c>
      <c r="D11" s="259" t="s">
        <v>8</v>
      </c>
      <c r="E11" s="259" t="s">
        <v>13</v>
      </c>
      <c r="F11" s="259" t="s">
        <v>1560</v>
      </c>
      <c r="G11" s="274">
        <v>44553</v>
      </c>
      <c r="H11" s="274"/>
      <c r="I11" s="274"/>
      <c r="N11" s="259" t="s">
        <v>126</v>
      </c>
      <c r="P11" s="259" t="s">
        <v>1554</v>
      </c>
      <c r="Q11" s="259" t="s">
        <v>2198</v>
      </c>
      <c r="R11" s="274">
        <v>44959.430578703701</v>
      </c>
      <c r="S11" s="321">
        <v>2021</v>
      </c>
      <c r="T11" s="259" t="s">
        <v>2001</v>
      </c>
      <c r="U11" s="259" t="s">
        <v>678</v>
      </c>
      <c r="V11" s="259" t="s">
        <v>679</v>
      </c>
      <c r="W11" s="259" t="s">
        <v>145</v>
      </c>
      <c r="X11" s="259" t="s">
        <v>309</v>
      </c>
      <c r="Y11" s="365">
        <v>44986</v>
      </c>
      <c r="Z11" s="259" t="s">
        <v>1875</v>
      </c>
      <c r="AA11" s="274" t="s">
        <v>2876</v>
      </c>
      <c r="AB11" s="259" t="s">
        <v>139</v>
      </c>
      <c r="AC11" s="259" t="s">
        <v>1875</v>
      </c>
      <c r="AD11" s="259">
        <v>900</v>
      </c>
      <c r="AE11" s="274">
        <v>900</v>
      </c>
      <c r="AF11" s="274" t="s">
        <v>2975</v>
      </c>
      <c r="AG11" s="274" t="s">
        <v>2973</v>
      </c>
      <c r="AI11" s="259" t="s">
        <v>2976</v>
      </c>
      <c r="AJ11" s="319" t="s">
        <v>3366</v>
      </c>
      <c r="AK11" s="320" t="s">
        <v>2977</v>
      </c>
      <c r="AL11" s="319" t="s">
        <v>2979</v>
      </c>
      <c r="AM11" s="259" t="s">
        <v>1975</v>
      </c>
      <c r="AN11" s="259" t="b">
        <v>1</v>
      </c>
      <c r="AO11" s="364" t="s">
        <v>2980</v>
      </c>
      <c r="AP11" s="321" t="s">
        <v>2981</v>
      </c>
      <c r="AQ11" s="321" t="s">
        <v>2982</v>
      </c>
      <c r="AR11" s="321" t="s">
        <v>2982</v>
      </c>
      <c r="AS11" s="323">
        <v>5</v>
      </c>
      <c r="AT11" s="321" t="s">
        <v>2983</v>
      </c>
      <c r="AU11" s="321" t="s">
        <v>2984</v>
      </c>
      <c r="AV11" s="319" t="s">
        <v>3401</v>
      </c>
      <c r="AW11" s="275" t="s">
        <v>2985</v>
      </c>
      <c r="AX11" s="275" t="s">
        <v>2983</v>
      </c>
      <c r="AY11" s="259" t="s">
        <v>1989</v>
      </c>
      <c r="AZ11" s="274"/>
      <c r="BA11" s="259" t="s">
        <v>373</v>
      </c>
      <c r="BB11" s="259" t="s">
        <v>1610</v>
      </c>
      <c r="BC11" s="259" t="s">
        <v>2192</v>
      </c>
      <c r="BD11" s="274"/>
      <c r="BF11" s="274"/>
      <c r="BG11" s="274"/>
    </row>
    <row r="12" spans="1:59" ht="135">
      <c r="A12" s="259">
        <v>183</v>
      </c>
      <c r="B12" s="259" t="s">
        <v>2670</v>
      </c>
      <c r="C12" s="259" t="s">
        <v>3012</v>
      </c>
      <c r="D12" s="259" t="s">
        <v>8</v>
      </c>
      <c r="E12" s="259" t="s">
        <v>13</v>
      </c>
      <c r="F12" s="259" t="s">
        <v>1560</v>
      </c>
      <c r="G12" s="274">
        <v>44553</v>
      </c>
      <c r="H12" s="274"/>
      <c r="I12" s="274"/>
      <c r="N12" s="259" t="s">
        <v>126</v>
      </c>
      <c r="P12" s="259" t="s">
        <v>1554</v>
      </c>
      <c r="Q12" s="259" t="s">
        <v>2198</v>
      </c>
      <c r="R12" s="274">
        <v>44572.457789351851</v>
      </c>
      <c r="S12" s="321">
        <v>2021</v>
      </c>
      <c r="T12" s="259" t="s">
        <v>2001</v>
      </c>
      <c r="U12" s="259" t="s">
        <v>678</v>
      </c>
      <c r="V12" s="259" t="s">
        <v>679</v>
      </c>
      <c r="W12" s="259" t="s">
        <v>145</v>
      </c>
      <c r="X12" s="259" t="s">
        <v>309</v>
      </c>
      <c r="Y12" s="365">
        <v>44986</v>
      </c>
      <c r="Z12" s="259" t="s">
        <v>1875</v>
      </c>
      <c r="AA12" s="274" t="s">
        <v>2876</v>
      </c>
      <c r="AB12" s="259" t="s">
        <v>139</v>
      </c>
      <c r="AC12" s="259" t="s">
        <v>1875</v>
      </c>
      <c r="AD12" s="259">
        <v>900</v>
      </c>
      <c r="AE12" s="274">
        <v>900</v>
      </c>
      <c r="AF12" s="274" t="s">
        <v>3013</v>
      </c>
      <c r="AG12" s="274" t="s">
        <v>3014</v>
      </c>
      <c r="AI12" s="259" t="s">
        <v>3015</v>
      </c>
      <c r="AJ12" s="319" t="s">
        <v>3053</v>
      </c>
      <c r="AK12" s="320" t="s">
        <v>3016</v>
      </c>
      <c r="AL12" s="319" t="s">
        <v>3060</v>
      </c>
      <c r="AM12" s="259" t="s">
        <v>1975</v>
      </c>
      <c r="AN12" s="259" t="b">
        <v>1</v>
      </c>
      <c r="AO12" s="364" t="s">
        <v>3061</v>
      </c>
      <c r="AP12" s="321" t="s">
        <v>2983</v>
      </c>
      <c r="AQ12" s="321" t="s">
        <v>2982</v>
      </c>
      <c r="AR12" s="321" t="s">
        <v>2982</v>
      </c>
      <c r="AS12" s="323">
        <v>2</v>
      </c>
      <c r="AT12" s="321" t="s">
        <v>2982</v>
      </c>
      <c r="AU12" s="321" t="s">
        <v>3004</v>
      </c>
      <c r="AV12" s="319" t="s">
        <v>3052</v>
      </c>
      <c r="AW12" s="275" t="s">
        <v>3062</v>
      </c>
      <c r="AX12" s="275" t="s">
        <v>2983</v>
      </c>
      <c r="AY12" s="259" t="s">
        <v>1971</v>
      </c>
      <c r="AZ12" s="274"/>
      <c r="BA12" s="259" t="s">
        <v>373</v>
      </c>
      <c r="BB12" s="259" t="s">
        <v>1610</v>
      </c>
      <c r="BC12" s="259" t="s">
        <v>2192</v>
      </c>
      <c r="BD12" s="274"/>
      <c r="BF12" s="274"/>
      <c r="BG12" s="274"/>
    </row>
    <row r="13" spans="1:59" ht="135">
      <c r="A13" s="259">
        <v>184</v>
      </c>
      <c r="B13" s="259" t="s">
        <v>2707</v>
      </c>
      <c r="C13" s="259" t="s">
        <v>2971</v>
      </c>
      <c r="D13" s="259" t="s">
        <v>8</v>
      </c>
      <c r="E13" s="259" t="s">
        <v>13</v>
      </c>
      <c r="F13" s="259" t="s">
        <v>1563</v>
      </c>
      <c r="G13" s="274">
        <v>44553</v>
      </c>
      <c r="H13" s="274"/>
      <c r="I13" s="274"/>
      <c r="N13" s="259" t="s">
        <v>126</v>
      </c>
      <c r="P13" s="259" t="s">
        <v>1554</v>
      </c>
      <c r="Q13" s="259" t="s">
        <v>2198</v>
      </c>
      <c r="R13" s="274">
        <v>44572.441493055558</v>
      </c>
      <c r="S13" s="321">
        <v>2021</v>
      </c>
      <c r="T13" s="259" t="s">
        <v>2001</v>
      </c>
      <c r="U13" s="259" t="s">
        <v>678</v>
      </c>
      <c r="V13" s="259" t="s">
        <v>679</v>
      </c>
      <c r="W13" s="259" t="s">
        <v>145</v>
      </c>
      <c r="X13" s="259" t="s">
        <v>309</v>
      </c>
      <c r="Y13" s="365">
        <v>44986</v>
      </c>
      <c r="Z13" s="259" t="s">
        <v>1875</v>
      </c>
      <c r="AA13" s="274" t="s">
        <v>2876</v>
      </c>
      <c r="AB13" s="259" t="s">
        <v>139</v>
      </c>
      <c r="AC13" s="259" t="s">
        <v>1875</v>
      </c>
      <c r="AD13" s="259">
        <v>900</v>
      </c>
      <c r="AE13" s="274">
        <v>900</v>
      </c>
      <c r="AF13" s="274" t="s">
        <v>2972</v>
      </c>
      <c r="AG13" s="274" t="s">
        <v>2973</v>
      </c>
      <c r="AI13" s="259" t="s">
        <v>2965</v>
      </c>
      <c r="AJ13" s="319" t="s">
        <v>2978</v>
      </c>
      <c r="AK13" s="320" t="s">
        <v>2974</v>
      </c>
      <c r="AL13" s="319" t="s">
        <v>2995</v>
      </c>
      <c r="AM13" s="259" t="s">
        <v>1975</v>
      </c>
      <c r="AN13" s="259" t="b">
        <v>1</v>
      </c>
      <c r="AO13" s="364" t="s">
        <v>2996</v>
      </c>
      <c r="AP13" s="321" t="s">
        <v>2997</v>
      </c>
      <c r="AQ13" s="321" t="s">
        <v>2982</v>
      </c>
      <c r="AR13" s="321" t="s">
        <v>2982</v>
      </c>
      <c r="AS13" s="323">
        <v>3</v>
      </c>
      <c r="AT13" s="321" t="s">
        <v>2982</v>
      </c>
      <c r="AU13" s="321" t="s">
        <v>2998</v>
      </c>
      <c r="AV13" s="319" t="s">
        <v>2957</v>
      </c>
      <c r="AW13" s="275" t="s">
        <v>2985</v>
      </c>
      <c r="AX13" s="275" t="s">
        <v>2983</v>
      </c>
      <c r="AY13" s="259" t="s">
        <v>1989</v>
      </c>
      <c r="AZ13" s="274"/>
      <c r="BA13" s="259" t="s">
        <v>373</v>
      </c>
      <c r="BB13" s="259" t="s">
        <v>1610</v>
      </c>
      <c r="BC13" s="259" t="s">
        <v>2192</v>
      </c>
      <c r="BD13" s="274"/>
      <c r="BF13" s="274"/>
      <c r="BG13" s="274"/>
    </row>
    <row r="14" spans="1:59" ht="135">
      <c r="A14" s="259">
        <v>185</v>
      </c>
      <c r="B14" s="259" t="s">
        <v>2709</v>
      </c>
      <c r="C14" s="259" t="s">
        <v>2671</v>
      </c>
      <c r="D14" s="259" t="s">
        <v>8</v>
      </c>
      <c r="E14" s="259" t="s">
        <v>13</v>
      </c>
      <c r="F14" s="259" t="s">
        <v>1563</v>
      </c>
      <c r="G14" s="274">
        <v>44553</v>
      </c>
      <c r="H14" s="274"/>
      <c r="I14" s="274"/>
      <c r="N14" s="259" t="s">
        <v>126</v>
      </c>
      <c r="P14" s="259" t="s">
        <v>1554</v>
      </c>
      <c r="Q14" s="259" t="s">
        <v>2198</v>
      </c>
      <c r="R14" s="274">
        <v>44572.461226851854</v>
      </c>
      <c r="S14" s="321">
        <v>2021</v>
      </c>
      <c r="T14" s="259" t="s">
        <v>2001</v>
      </c>
      <c r="U14" s="259" t="s">
        <v>678</v>
      </c>
      <c r="V14" s="259" t="s">
        <v>679</v>
      </c>
      <c r="W14" s="259" t="s">
        <v>145</v>
      </c>
      <c r="X14" s="259" t="s">
        <v>309</v>
      </c>
      <c r="Y14" s="365">
        <v>44986</v>
      </c>
      <c r="Z14" s="259" t="s">
        <v>1875</v>
      </c>
      <c r="AA14" s="274" t="s">
        <v>2876</v>
      </c>
      <c r="AB14" s="259" t="s">
        <v>139</v>
      </c>
      <c r="AC14" s="259" t="s">
        <v>1875</v>
      </c>
      <c r="AD14" s="259">
        <v>900</v>
      </c>
      <c r="AE14" s="274">
        <v>900</v>
      </c>
      <c r="AF14" s="274" t="s">
        <v>3013</v>
      </c>
      <c r="AG14" s="274" t="s">
        <v>3005</v>
      </c>
      <c r="AI14" s="259" t="s">
        <v>2965</v>
      </c>
      <c r="AJ14" s="319" t="s">
        <v>3053</v>
      </c>
      <c r="AK14" s="320" t="s">
        <v>3017</v>
      </c>
      <c r="AL14" s="319" t="s">
        <v>3072</v>
      </c>
      <c r="AM14" s="259" t="s">
        <v>1975</v>
      </c>
      <c r="AN14" s="259" t="b">
        <v>1</v>
      </c>
      <c r="AO14" s="364" t="s">
        <v>2980</v>
      </c>
      <c r="AP14" s="321" t="s">
        <v>2983</v>
      </c>
      <c r="AQ14" s="321" t="s">
        <v>2982</v>
      </c>
      <c r="AR14" s="321" t="s">
        <v>2982</v>
      </c>
      <c r="AS14" s="323">
        <v>2</v>
      </c>
      <c r="AT14" s="321" t="s">
        <v>2982</v>
      </c>
      <c r="AU14" s="321" t="s">
        <v>3073</v>
      </c>
      <c r="AV14" s="319" t="s">
        <v>3052</v>
      </c>
      <c r="AW14" s="275" t="s">
        <v>3062</v>
      </c>
      <c r="AX14" s="275" t="s">
        <v>2983</v>
      </c>
      <c r="AY14" s="259" t="s">
        <v>1971</v>
      </c>
      <c r="AZ14" s="274"/>
      <c r="BA14" s="259" t="s">
        <v>373</v>
      </c>
      <c r="BB14" s="259" t="s">
        <v>1610</v>
      </c>
      <c r="BC14" s="259" t="s">
        <v>2192</v>
      </c>
      <c r="BD14" s="274"/>
      <c r="BF14" s="274"/>
      <c r="BG14" s="274"/>
    </row>
    <row r="15" spans="1:59" ht="135">
      <c r="A15" s="259">
        <v>191</v>
      </c>
      <c r="B15" s="259" t="s">
        <v>2651</v>
      </c>
      <c r="C15" s="259" t="s">
        <v>2958</v>
      </c>
      <c r="D15" s="259" t="s">
        <v>8</v>
      </c>
      <c r="E15" s="259" t="s">
        <v>13</v>
      </c>
      <c r="F15" s="259" t="s">
        <v>1560</v>
      </c>
      <c r="G15" s="274">
        <v>44580</v>
      </c>
      <c r="H15" s="274"/>
      <c r="I15" s="274"/>
      <c r="N15" s="259" t="s">
        <v>126</v>
      </c>
      <c r="P15" s="259" t="s">
        <v>1554</v>
      </c>
      <c r="Q15" s="259" t="s">
        <v>2198</v>
      </c>
      <c r="R15" s="274">
        <v>44959.45857638889</v>
      </c>
      <c r="S15" s="321">
        <v>2022</v>
      </c>
      <c r="T15" s="259" t="s">
        <v>2001</v>
      </c>
      <c r="U15" s="259" t="s">
        <v>678</v>
      </c>
      <c r="V15" s="259" t="s">
        <v>679</v>
      </c>
      <c r="W15" s="259" t="s">
        <v>145</v>
      </c>
      <c r="X15" s="259" t="s">
        <v>309</v>
      </c>
      <c r="Y15" s="365">
        <v>44986</v>
      </c>
      <c r="Z15" s="259" t="s">
        <v>1875</v>
      </c>
      <c r="AA15" s="274" t="s">
        <v>2873</v>
      </c>
      <c r="AB15" s="259" t="s">
        <v>139</v>
      </c>
      <c r="AC15" s="259" t="s">
        <v>1875</v>
      </c>
      <c r="AD15" s="259">
        <v>900</v>
      </c>
      <c r="AE15" s="274">
        <v>900</v>
      </c>
      <c r="AF15" s="259" t="s">
        <v>2959</v>
      </c>
      <c r="AG15" s="259" t="s">
        <v>2960</v>
      </c>
      <c r="AI15" s="259" t="s">
        <v>2961</v>
      </c>
      <c r="AJ15" s="319" t="s">
        <v>3368</v>
      </c>
      <c r="AK15" s="320" t="s">
        <v>2962</v>
      </c>
      <c r="AL15" s="319" t="s">
        <v>2987</v>
      </c>
      <c r="AM15" s="259" t="s">
        <v>1975</v>
      </c>
      <c r="AN15" s="259" t="b">
        <v>1</v>
      </c>
      <c r="AO15" s="364" t="s">
        <v>2988</v>
      </c>
      <c r="AP15" s="321" t="s">
        <v>2989</v>
      </c>
      <c r="AQ15" s="321" t="s">
        <v>2982</v>
      </c>
      <c r="AR15" s="321" t="s">
        <v>2982</v>
      </c>
      <c r="AS15" s="323">
        <v>4</v>
      </c>
      <c r="AT15" s="321" t="s">
        <v>2982</v>
      </c>
      <c r="AU15" s="321" t="s">
        <v>3402</v>
      </c>
      <c r="AV15" s="319" t="s">
        <v>3403</v>
      </c>
      <c r="AW15" s="259" t="s">
        <v>3023</v>
      </c>
      <c r="AX15" s="259" t="s">
        <v>3056</v>
      </c>
      <c r="AY15" s="259" t="s">
        <v>1989</v>
      </c>
      <c r="BA15" s="259" t="s">
        <v>373</v>
      </c>
      <c r="BB15" s="259" t="s">
        <v>1610</v>
      </c>
      <c r="BC15" s="259" t="s">
        <v>2192</v>
      </c>
      <c r="BD15" s="274"/>
      <c r="BF15" s="274"/>
    </row>
    <row r="16" spans="1:59" ht="135">
      <c r="A16" s="259">
        <v>192</v>
      </c>
      <c r="B16" s="259" t="s">
        <v>2963</v>
      </c>
      <c r="C16" s="259" t="s">
        <v>2674</v>
      </c>
      <c r="D16" s="259" t="s">
        <v>8</v>
      </c>
      <c r="E16" s="259" t="s">
        <v>13</v>
      </c>
      <c r="F16" s="259" t="s">
        <v>1563</v>
      </c>
      <c r="G16" s="274">
        <v>44580</v>
      </c>
      <c r="H16" s="274"/>
      <c r="I16" s="274"/>
      <c r="N16" s="259" t="s">
        <v>126</v>
      </c>
      <c r="P16" s="259" t="s">
        <v>1554</v>
      </c>
      <c r="Q16" s="259" t="s">
        <v>2198</v>
      </c>
      <c r="R16" s="274">
        <v>44572.430706018517</v>
      </c>
      <c r="S16" s="321">
        <v>2022</v>
      </c>
      <c r="T16" s="259" t="s">
        <v>2001</v>
      </c>
      <c r="U16" s="259" t="s">
        <v>678</v>
      </c>
      <c r="V16" s="259" t="s">
        <v>679</v>
      </c>
      <c r="W16" s="259" t="s">
        <v>145</v>
      </c>
      <c r="X16" s="259" t="s">
        <v>309</v>
      </c>
      <c r="Y16" s="365">
        <v>44986</v>
      </c>
      <c r="Z16" s="259" t="s">
        <v>1875</v>
      </c>
      <c r="AA16" s="274" t="s">
        <v>2873</v>
      </c>
      <c r="AB16" s="259" t="s">
        <v>139</v>
      </c>
      <c r="AC16" s="259" t="s">
        <v>1875</v>
      </c>
      <c r="AD16" s="259">
        <v>900</v>
      </c>
      <c r="AE16" s="274">
        <v>900</v>
      </c>
      <c r="AF16" s="259" t="s">
        <v>2959</v>
      </c>
      <c r="AG16" s="259" t="s">
        <v>2964</v>
      </c>
      <c r="AI16" s="259" t="s">
        <v>2965</v>
      </c>
      <c r="AJ16" s="319" t="s">
        <v>2986</v>
      </c>
      <c r="AK16" s="320" t="s">
        <v>2966</v>
      </c>
      <c r="AL16" s="319" t="s">
        <v>2999</v>
      </c>
      <c r="AM16" s="259" t="s">
        <v>1975</v>
      </c>
      <c r="AN16" s="259" t="b">
        <v>1</v>
      </c>
      <c r="AO16" s="364" t="s">
        <v>2988</v>
      </c>
      <c r="AP16" s="321" t="s">
        <v>2997</v>
      </c>
      <c r="AQ16" s="321" t="s">
        <v>2982</v>
      </c>
      <c r="AR16" s="321" t="s">
        <v>2982</v>
      </c>
      <c r="AS16" s="323">
        <v>3</v>
      </c>
      <c r="AT16" s="321" t="s">
        <v>2982</v>
      </c>
      <c r="AU16" s="321" t="s">
        <v>2998</v>
      </c>
      <c r="AV16" s="319" t="s">
        <v>2990</v>
      </c>
      <c r="AW16" s="259" t="s">
        <v>3000</v>
      </c>
      <c r="AX16" s="259" t="s">
        <v>2983</v>
      </c>
      <c r="AY16" s="259" t="s">
        <v>1989</v>
      </c>
      <c r="BA16" s="259" t="s">
        <v>373</v>
      </c>
      <c r="BB16" s="259" t="s">
        <v>1610</v>
      </c>
      <c r="BC16" s="259" t="s">
        <v>2192</v>
      </c>
      <c r="BD16" s="274"/>
      <c r="BF16" s="274"/>
    </row>
    <row r="17" spans="1:58" ht="135">
      <c r="A17" s="259">
        <v>224</v>
      </c>
      <c r="B17" s="259" t="s">
        <v>2677</v>
      </c>
      <c r="C17" s="259" t="s">
        <v>3019</v>
      </c>
      <c r="D17" s="259" t="s">
        <v>8</v>
      </c>
      <c r="E17" s="259" t="s">
        <v>13</v>
      </c>
      <c r="F17" s="259" t="s">
        <v>1560</v>
      </c>
      <c r="G17" s="274">
        <v>44666</v>
      </c>
      <c r="H17" s="274"/>
      <c r="I17" s="274"/>
      <c r="N17" s="259" t="s">
        <v>126</v>
      </c>
      <c r="P17" s="259" t="s">
        <v>1554</v>
      </c>
      <c r="Q17" s="259" t="s">
        <v>2198</v>
      </c>
      <c r="R17" s="274">
        <v>44572.468553240738</v>
      </c>
      <c r="S17" s="321">
        <v>2022</v>
      </c>
      <c r="T17" s="259" t="s">
        <v>2001</v>
      </c>
      <c r="U17" s="259" t="s">
        <v>678</v>
      </c>
      <c r="V17" s="259" t="s">
        <v>679</v>
      </c>
      <c r="W17" s="259" t="s">
        <v>145</v>
      </c>
      <c r="X17" s="259" t="s">
        <v>309</v>
      </c>
      <c r="Y17" s="365">
        <v>44986</v>
      </c>
      <c r="Z17" s="259" t="s">
        <v>1875</v>
      </c>
      <c r="AA17" s="274" t="s">
        <v>2886</v>
      </c>
      <c r="AB17" s="259" t="s">
        <v>139</v>
      </c>
      <c r="AC17" s="259" t="s">
        <v>1875</v>
      </c>
      <c r="AD17" s="259">
        <v>900</v>
      </c>
      <c r="AE17" s="274">
        <v>900</v>
      </c>
      <c r="AF17" s="259" t="s">
        <v>3020</v>
      </c>
      <c r="AG17" s="259" t="s">
        <v>3021</v>
      </c>
      <c r="AI17" s="259" t="s">
        <v>3022</v>
      </c>
      <c r="AJ17" s="319" t="s">
        <v>3048</v>
      </c>
      <c r="AK17" s="320" t="s">
        <v>3023</v>
      </c>
      <c r="AL17" s="319" t="s">
        <v>3063</v>
      </c>
      <c r="AM17" s="259" t="s">
        <v>1975</v>
      </c>
      <c r="AN17" s="259" t="b">
        <v>1</v>
      </c>
      <c r="AO17" s="364" t="s">
        <v>3064</v>
      </c>
      <c r="AP17" s="321" t="s">
        <v>2983</v>
      </c>
      <c r="AQ17" s="321" t="s">
        <v>2982</v>
      </c>
      <c r="AR17" s="321" t="s">
        <v>2982</v>
      </c>
      <c r="AS17" s="323">
        <v>2</v>
      </c>
      <c r="AT17" s="321" t="s">
        <v>2982</v>
      </c>
      <c r="AU17" s="321" t="s">
        <v>3051</v>
      </c>
      <c r="AV17" s="319" t="s">
        <v>2956</v>
      </c>
      <c r="AW17" s="259" t="s">
        <v>2984</v>
      </c>
      <c r="AX17" s="259" t="s">
        <v>2983</v>
      </c>
      <c r="AY17" s="259" t="s">
        <v>1989</v>
      </c>
      <c r="BA17" s="259" t="s">
        <v>373</v>
      </c>
      <c r="BB17" s="259" t="s">
        <v>1610</v>
      </c>
      <c r="BC17" s="259" t="s">
        <v>2192</v>
      </c>
      <c r="BD17" s="274"/>
      <c r="BF17" s="274"/>
    </row>
    <row r="18" spans="1:58" ht="135">
      <c r="A18" s="259">
        <v>245</v>
      </c>
      <c r="B18" s="259" t="s">
        <v>2680</v>
      </c>
      <c r="C18" s="259" t="s">
        <v>2689</v>
      </c>
      <c r="D18" s="259" t="s">
        <v>8</v>
      </c>
      <c r="E18" s="259" t="s">
        <v>13</v>
      </c>
      <c r="F18" s="259" t="s">
        <v>1561</v>
      </c>
      <c r="G18" s="274">
        <v>44723</v>
      </c>
      <c r="H18" s="274"/>
      <c r="I18" s="274"/>
      <c r="N18" s="259" t="s">
        <v>126</v>
      </c>
      <c r="P18" s="259" t="s">
        <v>1554</v>
      </c>
      <c r="Q18" s="259" t="s">
        <v>2198</v>
      </c>
      <c r="R18" s="274">
        <v>44959.433865740742</v>
      </c>
      <c r="S18" s="321">
        <v>2022</v>
      </c>
      <c r="T18" s="259" t="s">
        <v>2001</v>
      </c>
      <c r="U18" s="259" t="s">
        <v>678</v>
      </c>
      <c r="V18" s="259" t="s">
        <v>679</v>
      </c>
      <c r="W18" s="259" t="s">
        <v>145</v>
      </c>
      <c r="X18" s="259" t="s">
        <v>309</v>
      </c>
      <c r="Y18" s="365">
        <v>44986</v>
      </c>
      <c r="Z18" s="259" t="s">
        <v>1875</v>
      </c>
      <c r="AA18" s="274" t="s">
        <v>2873</v>
      </c>
      <c r="AB18" s="259" t="s">
        <v>139</v>
      </c>
      <c r="AC18" s="259" t="s">
        <v>1875</v>
      </c>
      <c r="AD18" s="259">
        <v>900</v>
      </c>
      <c r="AE18" s="274">
        <v>900</v>
      </c>
      <c r="AF18" s="259" t="s">
        <v>2967</v>
      </c>
      <c r="AG18" s="259" t="s">
        <v>2968</v>
      </c>
      <c r="AI18" s="259" t="s">
        <v>2897</v>
      </c>
      <c r="AJ18" s="319" t="s">
        <v>3412</v>
      </c>
      <c r="AK18" s="320" t="s">
        <v>2969</v>
      </c>
      <c r="AL18" s="319" t="s">
        <v>2991</v>
      </c>
      <c r="AM18" s="259" t="s">
        <v>1975</v>
      </c>
      <c r="AN18" s="259" t="b">
        <v>1</v>
      </c>
      <c r="AO18" s="364" t="s">
        <v>2992</v>
      </c>
      <c r="AP18" s="321" t="s">
        <v>2983</v>
      </c>
      <c r="AQ18" s="321" t="s">
        <v>2982</v>
      </c>
      <c r="AR18" s="321" t="s">
        <v>2982</v>
      </c>
      <c r="AS18" s="323">
        <v>2</v>
      </c>
      <c r="AT18" s="321" t="s">
        <v>2982</v>
      </c>
      <c r="AU18" s="321" t="s">
        <v>2993</v>
      </c>
      <c r="AV18" s="319" t="s">
        <v>3413</v>
      </c>
      <c r="AW18" s="259" t="s">
        <v>2994</v>
      </c>
      <c r="AX18" s="259" t="s">
        <v>2998</v>
      </c>
      <c r="AY18" s="259" t="s">
        <v>1989</v>
      </c>
      <c r="BA18" s="259" t="s">
        <v>373</v>
      </c>
      <c r="BB18" s="259" t="s">
        <v>1610</v>
      </c>
      <c r="BC18" s="259" t="s">
        <v>2192</v>
      </c>
      <c r="BD18" s="274"/>
      <c r="BF18" s="274"/>
    </row>
    <row r="19" spans="1:58" ht="135">
      <c r="A19" s="259">
        <v>267</v>
      </c>
      <c r="B19" s="259" t="s">
        <v>2675</v>
      </c>
      <c r="C19" s="259" t="s">
        <v>2676</v>
      </c>
      <c r="D19" s="259" t="s">
        <v>8</v>
      </c>
      <c r="E19" s="259" t="s">
        <v>13</v>
      </c>
      <c r="F19" s="259" t="s">
        <v>1868</v>
      </c>
      <c r="G19" s="274">
        <v>44747</v>
      </c>
      <c r="H19" s="274"/>
      <c r="I19" s="274"/>
      <c r="N19" s="259" t="s">
        <v>126</v>
      </c>
      <c r="P19" s="259" t="s">
        <v>1554</v>
      </c>
      <c r="Q19" s="259" t="s">
        <v>2198</v>
      </c>
      <c r="R19" s="274">
        <v>44572.471400462964</v>
      </c>
      <c r="S19" s="321">
        <v>2022</v>
      </c>
      <c r="T19" s="259" t="s">
        <v>2001</v>
      </c>
      <c r="U19" s="259" t="s">
        <v>678</v>
      </c>
      <c r="V19" s="259" t="s">
        <v>679</v>
      </c>
      <c r="W19" s="259" t="s">
        <v>145</v>
      </c>
      <c r="X19" s="259" t="s">
        <v>309</v>
      </c>
      <c r="Y19" s="365">
        <v>44986</v>
      </c>
      <c r="Z19" s="259" t="s">
        <v>1875</v>
      </c>
      <c r="AA19" s="274" t="s">
        <v>3024</v>
      </c>
      <c r="AB19" s="259" t="s">
        <v>139</v>
      </c>
      <c r="AC19" s="259" t="s">
        <v>1875</v>
      </c>
      <c r="AD19" s="259">
        <v>900</v>
      </c>
      <c r="AE19" s="274">
        <v>900</v>
      </c>
      <c r="AF19" s="259" t="s">
        <v>3013</v>
      </c>
      <c r="AG19" s="259" t="s">
        <v>3025</v>
      </c>
      <c r="AI19" s="259" t="s">
        <v>3026</v>
      </c>
      <c r="AJ19" s="319" t="s">
        <v>3076</v>
      </c>
      <c r="AK19" s="320" t="s">
        <v>3027</v>
      </c>
      <c r="AL19" s="319" t="s">
        <v>3077</v>
      </c>
      <c r="AM19" s="259" t="s">
        <v>1975</v>
      </c>
      <c r="AN19" s="259" t="b">
        <v>1</v>
      </c>
      <c r="AO19" s="364" t="s">
        <v>3078</v>
      </c>
      <c r="AP19" s="321" t="s">
        <v>2983</v>
      </c>
      <c r="AQ19" s="321" t="s">
        <v>2982</v>
      </c>
      <c r="AR19" s="321" t="s">
        <v>2982</v>
      </c>
      <c r="AS19" s="323">
        <v>2</v>
      </c>
      <c r="AT19" s="321" t="s">
        <v>2982</v>
      </c>
      <c r="AU19" s="321" t="s">
        <v>3079</v>
      </c>
      <c r="AV19" s="319" t="s">
        <v>2955</v>
      </c>
      <c r="AW19" s="259" t="s">
        <v>3018</v>
      </c>
      <c r="AX19" s="259" t="s">
        <v>2983</v>
      </c>
      <c r="AY19" s="259" t="s">
        <v>1989</v>
      </c>
      <c r="BA19" s="259" t="s">
        <v>373</v>
      </c>
      <c r="BB19" s="259" t="s">
        <v>1610</v>
      </c>
      <c r="BC19" s="259" t="s">
        <v>2192</v>
      </c>
      <c r="BD19" s="274"/>
      <c r="BF19" s="274"/>
    </row>
    <row r="20" spans="1:58" ht="135">
      <c r="A20" s="259">
        <v>284</v>
      </c>
      <c r="B20" s="259" t="s">
        <v>3042</v>
      </c>
      <c r="C20" s="259" t="s">
        <v>2642</v>
      </c>
      <c r="D20" s="259" t="s">
        <v>8</v>
      </c>
      <c r="E20" s="259" t="s">
        <v>13</v>
      </c>
      <c r="F20" s="259" t="s">
        <v>1563</v>
      </c>
      <c r="G20" s="274">
        <v>44802</v>
      </c>
      <c r="H20" s="274"/>
      <c r="I20" s="274"/>
      <c r="N20" s="259" t="s">
        <v>126</v>
      </c>
      <c r="P20" s="259" t="s">
        <v>1554</v>
      </c>
      <c r="Q20" s="259" t="s">
        <v>2198</v>
      </c>
      <c r="R20" s="274">
        <v>44572.491331018522</v>
      </c>
      <c r="S20" s="321">
        <v>2022</v>
      </c>
      <c r="T20" s="259" t="s">
        <v>2001</v>
      </c>
      <c r="U20" s="259" t="s">
        <v>678</v>
      </c>
      <c r="V20" s="259" t="s">
        <v>679</v>
      </c>
      <c r="W20" s="259" t="s">
        <v>145</v>
      </c>
      <c r="X20" s="259" t="s">
        <v>309</v>
      </c>
      <c r="Y20" s="365">
        <v>44986</v>
      </c>
      <c r="Z20" s="259" t="s">
        <v>1875</v>
      </c>
      <c r="AA20" s="274" t="s">
        <v>2868</v>
      </c>
      <c r="AB20" s="259" t="s">
        <v>139</v>
      </c>
      <c r="AC20" s="259" t="s">
        <v>1875</v>
      </c>
      <c r="AD20" s="259">
        <v>900</v>
      </c>
      <c r="AE20" s="274">
        <v>900</v>
      </c>
      <c r="AF20" s="259" t="s">
        <v>2968</v>
      </c>
      <c r="AG20" s="259" t="s">
        <v>3043</v>
      </c>
      <c r="AI20" s="259" t="s">
        <v>2965</v>
      </c>
      <c r="AJ20" s="319" t="s">
        <v>3044</v>
      </c>
      <c r="AK20" s="320" t="s">
        <v>3041</v>
      </c>
      <c r="AL20" s="319" t="s">
        <v>3074</v>
      </c>
      <c r="AM20" s="259" t="s">
        <v>1975</v>
      </c>
      <c r="AN20" s="259" t="b">
        <v>1</v>
      </c>
      <c r="AO20" s="364" t="s">
        <v>3075</v>
      </c>
      <c r="AP20" s="321" t="s">
        <v>2983</v>
      </c>
      <c r="AQ20" s="321" t="s">
        <v>2982</v>
      </c>
      <c r="AR20" s="321" t="s">
        <v>2982</v>
      </c>
      <c r="AS20" s="323">
        <v>2</v>
      </c>
      <c r="AT20" s="321" t="s">
        <v>2982</v>
      </c>
      <c r="AU20" s="321" t="s">
        <v>2981</v>
      </c>
      <c r="AV20" s="319" t="s">
        <v>2954</v>
      </c>
      <c r="AW20" s="259" t="s">
        <v>3047</v>
      </c>
      <c r="AX20" s="259" t="s">
        <v>2983</v>
      </c>
      <c r="AY20" s="259" t="s">
        <v>1989</v>
      </c>
      <c r="BA20" s="259" t="s">
        <v>373</v>
      </c>
      <c r="BB20" s="259" t="s">
        <v>1610</v>
      </c>
      <c r="BC20" s="259" t="s">
        <v>2192</v>
      </c>
      <c r="BD20" s="274"/>
      <c r="BF20" s="274"/>
    </row>
    <row r="21" spans="1:58" ht="135">
      <c r="A21" s="259">
        <v>322</v>
      </c>
      <c r="B21" s="259" t="s">
        <v>2752</v>
      </c>
      <c r="C21" s="259" t="s">
        <v>2863</v>
      </c>
      <c r="D21" s="259" t="s">
        <v>8</v>
      </c>
      <c r="E21" s="259" t="s">
        <v>13</v>
      </c>
      <c r="F21" s="259" t="s">
        <v>1567</v>
      </c>
      <c r="G21" s="274">
        <v>44839</v>
      </c>
      <c r="H21" s="274"/>
      <c r="I21" s="274"/>
      <c r="N21" s="259" t="s">
        <v>126</v>
      </c>
      <c r="P21" s="259" t="s">
        <v>1554</v>
      </c>
      <c r="Q21" s="259" t="s">
        <v>2198</v>
      </c>
      <c r="R21" s="274">
        <v>44572.445752314816</v>
      </c>
      <c r="S21" s="321">
        <v>2022</v>
      </c>
      <c r="T21" s="259" t="s">
        <v>2001</v>
      </c>
      <c r="U21" s="259" t="s">
        <v>678</v>
      </c>
      <c r="V21" s="259" t="s">
        <v>679</v>
      </c>
      <c r="W21" s="259" t="s">
        <v>145</v>
      </c>
      <c r="X21" s="259" t="s">
        <v>309</v>
      </c>
      <c r="Y21" s="365">
        <v>44986</v>
      </c>
      <c r="Z21" s="259" t="s">
        <v>1875</v>
      </c>
      <c r="AA21" s="274" t="s">
        <v>2868</v>
      </c>
      <c r="AB21" s="259" t="s">
        <v>139</v>
      </c>
      <c r="AC21" s="259" t="s">
        <v>1875</v>
      </c>
      <c r="AD21" s="259">
        <v>900</v>
      </c>
      <c r="AE21" s="274">
        <v>900</v>
      </c>
      <c r="AF21" s="259" t="s">
        <v>2970</v>
      </c>
      <c r="AI21" s="259" t="s">
        <v>2864</v>
      </c>
      <c r="AJ21" s="319" t="s">
        <v>2986</v>
      </c>
      <c r="AK21" s="320" t="s">
        <v>2865</v>
      </c>
      <c r="AL21" s="319" t="s">
        <v>3002</v>
      </c>
      <c r="AM21" s="259" t="s">
        <v>1975</v>
      </c>
      <c r="AN21" s="259" t="b">
        <v>1</v>
      </c>
      <c r="AO21" s="364" t="s">
        <v>3003</v>
      </c>
      <c r="AP21" s="321" t="s">
        <v>2983</v>
      </c>
      <c r="AQ21" s="321" t="s">
        <v>2982</v>
      </c>
      <c r="AR21" s="321" t="s">
        <v>2982</v>
      </c>
      <c r="AS21" s="323">
        <v>2</v>
      </c>
      <c r="AT21" s="321" t="s">
        <v>2982</v>
      </c>
      <c r="AU21" s="321" t="s">
        <v>3004</v>
      </c>
      <c r="AV21" s="319" t="s">
        <v>2952</v>
      </c>
      <c r="AW21" s="259" t="s">
        <v>2989</v>
      </c>
      <c r="AX21" s="259" t="s">
        <v>2983</v>
      </c>
      <c r="AY21" s="259" t="s">
        <v>1989</v>
      </c>
      <c r="BA21" s="259" t="s">
        <v>373</v>
      </c>
      <c r="BB21" s="259" t="s">
        <v>1610</v>
      </c>
      <c r="BC21" s="259" t="s">
        <v>2192</v>
      </c>
      <c r="BD21" s="274"/>
      <c r="BF21" s="274"/>
    </row>
    <row r="22" spans="1:58" ht="135">
      <c r="A22" s="259">
        <v>337</v>
      </c>
      <c r="B22" s="259" t="s">
        <v>2895</v>
      </c>
      <c r="C22" s="259" t="s">
        <v>2896</v>
      </c>
      <c r="D22" s="259" t="s">
        <v>8</v>
      </c>
      <c r="E22" s="259" t="s">
        <v>13</v>
      </c>
      <c r="F22" s="259" t="s">
        <v>1560</v>
      </c>
      <c r="G22" s="274">
        <v>44852</v>
      </c>
      <c r="H22" s="274"/>
      <c r="I22" s="274"/>
      <c r="N22" s="259" t="s">
        <v>122</v>
      </c>
      <c r="P22" s="259" t="s">
        <v>1554</v>
      </c>
      <c r="Q22" s="259" t="s">
        <v>2198</v>
      </c>
      <c r="R22" s="274">
        <v>44959.435694444444</v>
      </c>
      <c r="S22" s="321">
        <v>2022</v>
      </c>
      <c r="T22" s="259" t="s">
        <v>2001</v>
      </c>
      <c r="U22" s="259" t="s">
        <v>678</v>
      </c>
      <c r="V22" s="259" t="s">
        <v>679</v>
      </c>
      <c r="W22" s="259" t="s">
        <v>145</v>
      </c>
      <c r="X22" s="259" t="s">
        <v>309</v>
      </c>
      <c r="Y22" s="365">
        <v>44986</v>
      </c>
      <c r="Z22" s="259" t="s">
        <v>1875</v>
      </c>
      <c r="AA22" s="274" t="s">
        <v>2876</v>
      </c>
      <c r="AB22" s="259" t="s">
        <v>139</v>
      </c>
      <c r="AC22" s="259" t="s">
        <v>1875</v>
      </c>
      <c r="AD22" s="259">
        <v>900</v>
      </c>
      <c r="AE22" s="274">
        <v>900</v>
      </c>
      <c r="AF22" s="259" t="s">
        <v>3384</v>
      </c>
      <c r="AG22" s="259" t="s">
        <v>3385</v>
      </c>
      <c r="AI22" s="259" t="s">
        <v>2897</v>
      </c>
      <c r="AJ22" s="319" t="s">
        <v>3404</v>
      </c>
      <c r="AK22" s="320" t="s">
        <v>2898</v>
      </c>
      <c r="AL22" s="319" t="s">
        <v>3405</v>
      </c>
      <c r="AM22" s="259" t="s">
        <v>1975</v>
      </c>
      <c r="AN22" s="259" t="b">
        <v>1</v>
      </c>
      <c r="AO22" s="364" t="s">
        <v>3406</v>
      </c>
      <c r="AP22" s="321" t="s">
        <v>2983</v>
      </c>
      <c r="AQ22" s="321" t="s">
        <v>2982</v>
      </c>
      <c r="AR22" s="321" t="s">
        <v>2982</v>
      </c>
      <c r="AS22" s="323">
        <v>2</v>
      </c>
      <c r="AT22" s="321" t="s">
        <v>2982</v>
      </c>
      <c r="AU22" s="321" t="s">
        <v>3051</v>
      </c>
      <c r="AV22" s="319" t="s">
        <v>3407</v>
      </c>
      <c r="AW22" s="259" t="s">
        <v>2998</v>
      </c>
      <c r="AX22" s="259" t="s">
        <v>2989</v>
      </c>
      <c r="AY22" s="259" t="s">
        <v>1989</v>
      </c>
      <c r="BA22" s="259" t="s">
        <v>373</v>
      </c>
      <c r="BB22" s="259" t="s">
        <v>1610</v>
      </c>
      <c r="BC22" s="259" t="s">
        <v>2192</v>
      </c>
      <c r="BD22" s="274"/>
      <c r="BF22" s="274"/>
    </row>
    <row r="23" spans="1:58" ht="135">
      <c r="A23" s="259">
        <v>378</v>
      </c>
      <c r="B23" s="259" t="s">
        <v>3111</v>
      </c>
      <c r="C23" s="259" t="s">
        <v>3112</v>
      </c>
      <c r="D23" s="259" t="s">
        <v>8</v>
      </c>
      <c r="E23" s="259" t="s">
        <v>13</v>
      </c>
      <c r="F23" s="259" t="s">
        <v>1560</v>
      </c>
      <c r="G23" s="274">
        <v>44889</v>
      </c>
      <c r="H23" s="274"/>
      <c r="I23" s="274"/>
      <c r="N23" s="259" t="s">
        <v>122</v>
      </c>
      <c r="P23" s="259" t="s">
        <v>1554</v>
      </c>
      <c r="Q23" s="259" t="s">
        <v>2198</v>
      </c>
      <c r="R23" s="274">
        <v>44693.596805555557</v>
      </c>
      <c r="S23" s="321">
        <v>2022</v>
      </c>
      <c r="T23" s="259" t="s">
        <v>2001</v>
      </c>
      <c r="U23" s="259" t="s">
        <v>678</v>
      </c>
      <c r="V23" s="259" t="s">
        <v>679</v>
      </c>
      <c r="W23" s="259" t="s">
        <v>145</v>
      </c>
      <c r="X23" s="259" t="s">
        <v>309</v>
      </c>
      <c r="Y23" s="365">
        <v>44986</v>
      </c>
      <c r="Z23" s="259" t="s">
        <v>1875</v>
      </c>
      <c r="AA23" s="274" t="s">
        <v>2886</v>
      </c>
      <c r="AB23" s="259" t="s">
        <v>139</v>
      </c>
      <c r="AC23" s="259" t="s">
        <v>1875</v>
      </c>
      <c r="AD23" s="259">
        <v>900</v>
      </c>
      <c r="AE23" s="274">
        <v>900</v>
      </c>
      <c r="AI23" s="259" t="s">
        <v>3160</v>
      </c>
      <c r="AJ23" s="319" t="s">
        <v>3372</v>
      </c>
      <c r="AK23" s="320" t="s">
        <v>3161</v>
      </c>
      <c r="AL23" s="319" t="s">
        <v>3373</v>
      </c>
      <c r="AM23" s="259" t="s">
        <v>1975</v>
      </c>
      <c r="AN23" s="259" t="b">
        <v>1</v>
      </c>
      <c r="AO23" s="364" t="s">
        <v>3374</v>
      </c>
      <c r="AP23" s="321" t="s">
        <v>2983</v>
      </c>
      <c r="AQ23" s="321" t="s">
        <v>2982</v>
      </c>
      <c r="AR23" s="321" t="s">
        <v>2982</v>
      </c>
      <c r="AS23" s="323">
        <v>2</v>
      </c>
      <c r="AT23" s="321" t="s">
        <v>2982</v>
      </c>
      <c r="AU23" s="321" t="s">
        <v>2993</v>
      </c>
      <c r="AV23" s="319" t="s">
        <v>2191</v>
      </c>
      <c r="AW23" s="259" t="s">
        <v>2983</v>
      </c>
      <c r="AX23" s="259" t="s">
        <v>2983</v>
      </c>
      <c r="BA23" s="259" t="s">
        <v>373</v>
      </c>
      <c r="BB23" s="259" t="s">
        <v>1610</v>
      </c>
      <c r="BC23" s="259" t="s">
        <v>2192</v>
      </c>
      <c r="BD23" s="274"/>
      <c r="BF23" s="274"/>
    </row>
    <row r="24" spans="1:58" ht="135">
      <c r="A24" s="259">
        <v>379</v>
      </c>
      <c r="B24" s="259" t="s">
        <v>3113</v>
      </c>
      <c r="C24" s="259" t="s">
        <v>3114</v>
      </c>
      <c r="D24" s="259" t="s">
        <v>8</v>
      </c>
      <c r="E24" s="259" t="s">
        <v>13</v>
      </c>
      <c r="F24" s="259" t="s">
        <v>1560</v>
      </c>
      <c r="G24" s="274">
        <v>44889</v>
      </c>
      <c r="H24" s="274"/>
      <c r="I24" s="274"/>
      <c r="N24" s="259" t="s">
        <v>122</v>
      </c>
      <c r="P24" s="259" t="s">
        <v>1554</v>
      </c>
      <c r="Q24" s="259" t="s">
        <v>2198</v>
      </c>
      <c r="R24" s="274">
        <v>44959.451354166667</v>
      </c>
      <c r="S24" s="321">
        <v>2022</v>
      </c>
      <c r="T24" s="259" t="s">
        <v>2001</v>
      </c>
      <c r="U24" s="259" t="s">
        <v>678</v>
      </c>
      <c r="V24" s="259" t="s">
        <v>679</v>
      </c>
      <c r="W24" s="259" t="s">
        <v>145</v>
      </c>
      <c r="X24" s="259" t="s">
        <v>309</v>
      </c>
      <c r="Y24" s="365">
        <v>44986</v>
      </c>
      <c r="Z24" s="259" t="s">
        <v>1875</v>
      </c>
      <c r="AA24" s="274" t="s">
        <v>2876</v>
      </c>
      <c r="AB24" s="259" t="s">
        <v>139</v>
      </c>
      <c r="AC24" s="259" t="s">
        <v>1875</v>
      </c>
      <c r="AD24" s="259">
        <v>900</v>
      </c>
      <c r="AE24" s="274">
        <v>900</v>
      </c>
      <c r="AF24" s="259" t="s">
        <v>3390</v>
      </c>
      <c r="AG24" s="259" t="s">
        <v>3391</v>
      </c>
      <c r="AI24" s="259" t="s">
        <v>3158</v>
      </c>
      <c r="AJ24" s="319" t="s">
        <v>3408</v>
      </c>
      <c r="AK24" s="320" t="s">
        <v>3159</v>
      </c>
      <c r="AL24" s="319" t="s">
        <v>3003</v>
      </c>
      <c r="AM24" s="259" t="s">
        <v>1975</v>
      </c>
      <c r="AN24" s="259" t="b">
        <v>1</v>
      </c>
      <c r="AO24" s="364" t="s">
        <v>3375</v>
      </c>
      <c r="AP24" s="321" t="s">
        <v>2997</v>
      </c>
      <c r="AQ24" s="321" t="s">
        <v>2982</v>
      </c>
      <c r="AR24" s="321" t="s">
        <v>2982</v>
      </c>
      <c r="AS24" s="323">
        <v>3</v>
      </c>
      <c r="AT24" s="321" t="s">
        <v>2982</v>
      </c>
      <c r="AU24" s="321" t="s">
        <v>3376</v>
      </c>
      <c r="AV24" s="319" t="s">
        <v>3409</v>
      </c>
      <c r="AW24" s="259" t="s">
        <v>2981</v>
      </c>
      <c r="AX24" s="259" t="s">
        <v>2997</v>
      </c>
      <c r="AY24" s="259" t="s">
        <v>1989</v>
      </c>
      <c r="BA24" s="259" t="s">
        <v>373</v>
      </c>
      <c r="BB24" s="259" t="s">
        <v>1610</v>
      </c>
      <c r="BC24" s="259" t="s">
        <v>2192</v>
      </c>
      <c r="BD24" s="274"/>
      <c r="BF24" s="274"/>
    </row>
    <row r="25" spans="1:58" ht="135">
      <c r="A25" s="259">
        <v>380</v>
      </c>
      <c r="B25" s="259" t="s">
        <v>3115</v>
      </c>
      <c r="C25" s="259" t="s">
        <v>3116</v>
      </c>
      <c r="D25" s="259" t="s">
        <v>8</v>
      </c>
      <c r="E25" s="259" t="s">
        <v>13</v>
      </c>
      <c r="F25" s="259" t="s">
        <v>1560</v>
      </c>
      <c r="G25" s="274">
        <v>44889</v>
      </c>
      <c r="H25" s="274"/>
      <c r="I25" s="274"/>
      <c r="N25" s="259" t="s">
        <v>122</v>
      </c>
      <c r="P25" s="259" t="s">
        <v>1554</v>
      </c>
      <c r="Q25" s="259" t="s">
        <v>2198</v>
      </c>
      <c r="R25" s="274">
        <v>44959.45685185185</v>
      </c>
      <c r="S25" s="321">
        <v>2022</v>
      </c>
      <c r="T25" s="259" t="s">
        <v>2001</v>
      </c>
      <c r="U25" s="259" t="s">
        <v>678</v>
      </c>
      <c r="V25" s="259" t="s">
        <v>679</v>
      </c>
      <c r="W25" s="259" t="s">
        <v>145</v>
      </c>
      <c r="X25" s="259" t="s">
        <v>309</v>
      </c>
      <c r="Y25" s="365">
        <v>44986</v>
      </c>
      <c r="Z25" s="259" t="s">
        <v>1875</v>
      </c>
      <c r="AA25" s="274" t="s">
        <v>2868</v>
      </c>
      <c r="AB25" s="259" t="s">
        <v>139</v>
      </c>
      <c r="AC25" s="259" t="s">
        <v>1875</v>
      </c>
      <c r="AD25" s="259">
        <v>900</v>
      </c>
      <c r="AE25" s="274">
        <v>900</v>
      </c>
      <c r="AF25" s="259" t="s">
        <v>3392</v>
      </c>
      <c r="AG25" s="259" t="s">
        <v>3393</v>
      </c>
      <c r="AI25" s="259" t="s">
        <v>3156</v>
      </c>
      <c r="AJ25" s="319" t="s">
        <v>3410</v>
      </c>
      <c r="AK25" s="320" t="s">
        <v>3157</v>
      </c>
      <c r="AL25" s="319" t="s">
        <v>3002</v>
      </c>
      <c r="AM25" s="259" t="s">
        <v>1975</v>
      </c>
      <c r="AN25" s="259" t="b">
        <v>1</v>
      </c>
      <c r="AO25" s="364" t="s">
        <v>3377</v>
      </c>
      <c r="AP25" s="321" t="s">
        <v>2983</v>
      </c>
      <c r="AQ25" s="321" t="s">
        <v>2982</v>
      </c>
      <c r="AR25" s="321" t="s">
        <v>2982</v>
      </c>
      <c r="AS25" s="323">
        <v>2</v>
      </c>
      <c r="AT25" s="321" t="s">
        <v>2982</v>
      </c>
      <c r="AU25" s="321" t="s">
        <v>2985</v>
      </c>
      <c r="AV25" s="319" t="s">
        <v>3369</v>
      </c>
      <c r="AW25" s="259" t="s">
        <v>3073</v>
      </c>
      <c r="AX25" s="259" t="s">
        <v>2983</v>
      </c>
      <c r="AY25" s="259" t="s">
        <v>1989</v>
      </c>
      <c r="BA25" s="259" t="s">
        <v>373</v>
      </c>
      <c r="BB25" s="259" t="s">
        <v>1610</v>
      </c>
      <c r="BC25" s="259" t="s">
        <v>2192</v>
      </c>
      <c r="BD25" s="274"/>
      <c r="BF25" s="274"/>
    </row>
    <row r="26" spans="1:58" ht="135">
      <c r="A26" s="259">
        <v>417</v>
      </c>
      <c r="B26" s="259" t="s">
        <v>3236</v>
      </c>
      <c r="C26" s="259" t="s">
        <v>3212</v>
      </c>
      <c r="D26" s="259" t="s">
        <v>8</v>
      </c>
      <c r="E26" s="259" t="s">
        <v>13</v>
      </c>
      <c r="F26" s="259" t="s">
        <v>1561</v>
      </c>
      <c r="G26" s="274">
        <v>44910</v>
      </c>
      <c r="H26" s="274"/>
      <c r="I26" s="274"/>
      <c r="N26" s="259" t="s">
        <v>122</v>
      </c>
      <c r="P26" s="259" t="s">
        <v>1554</v>
      </c>
      <c r="Q26" s="259" t="s">
        <v>2198</v>
      </c>
      <c r="R26" s="274">
        <v>44959.447222222225</v>
      </c>
      <c r="S26" s="321">
        <v>2022</v>
      </c>
      <c r="T26" s="259" t="s">
        <v>2001</v>
      </c>
      <c r="U26" s="259" t="s">
        <v>678</v>
      </c>
      <c r="V26" s="259" t="s">
        <v>679</v>
      </c>
      <c r="W26" s="259" t="s">
        <v>145</v>
      </c>
      <c r="X26" s="259" t="s">
        <v>309</v>
      </c>
      <c r="Y26" s="365">
        <v>44986</v>
      </c>
      <c r="Z26" s="259" t="s">
        <v>1875</v>
      </c>
      <c r="AA26" s="274" t="s">
        <v>2886</v>
      </c>
      <c r="AB26" s="259" t="s">
        <v>139</v>
      </c>
      <c r="AC26" s="259" t="s">
        <v>1875</v>
      </c>
      <c r="AD26" s="259">
        <v>900</v>
      </c>
      <c r="AE26" s="274">
        <v>900</v>
      </c>
      <c r="AF26" s="259" t="s">
        <v>3013</v>
      </c>
      <c r="AI26" s="259" t="s">
        <v>3387</v>
      </c>
      <c r="AJ26" s="319" t="s">
        <v>3414</v>
      </c>
      <c r="AK26" s="320" t="s">
        <v>3388</v>
      </c>
      <c r="AL26" s="319" t="s">
        <v>3415</v>
      </c>
      <c r="AM26" s="259" t="s">
        <v>1975</v>
      </c>
      <c r="AN26" s="259" t="b">
        <v>1</v>
      </c>
      <c r="AO26" s="364" t="s">
        <v>3416</v>
      </c>
      <c r="AP26" s="321" t="s">
        <v>2983</v>
      </c>
      <c r="AQ26" s="321" t="s">
        <v>2982</v>
      </c>
      <c r="AR26" s="321" t="s">
        <v>2982</v>
      </c>
      <c r="AS26" s="323">
        <v>2</v>
      </c>
      <c r="AT26" s="321" t="s">
        <v>2982</v>
      </c>
      <c r="AU26" s="321" t="s">
        <v>2993</v>
      </c>
      <c r="AV26" s="319" t="s">
        <v>3367</v>
      </c>
      <c r="AW26" s="259" t="s">
        <v>2981</v>
      </c>
      <c r="AX26" s="259" t="s">
        <v>2997</v>
      </c>
      <c r="AY26" s="259" t="s">
        <v>1989</v>
      </c>
      <c r="BA26" s="259" t="s">
        <v>373</v>
      </c>
      <c r="BB26" s="259" t="s">
        <v>1610</v>
      </c>
      <c r="BC26" s="259" t="s">
        <v>2192</v>
      </c>
      <c r="BD26" s="274"/>
      <c r="BF26" s="274"/>
    </row>
    <row r="27" spans="1:58" ht="135">
      <c r="A27" s="259">
        <v>463</v>
      </c>
      <c r="B27" s="259" t="s">
        <v>3042</v>
      </c>
      <c r="C27" s="259" t="s">
        <v>3378</v>
      </c>
      <c r="D27" s="259" t="s">
        <v>8</v>
      </c>
      <c r="E27" s="259" t="s">
        <v>13</v>
      </c>
      <c r="F27" s="259" t="s">
        <v>1563</v>
      </c>
      <c r="G27" s="274">
        <v>44932</v>
      </c>
      <c r="H27" s="274"/>
      <c r="I27" s="274"/>
      <c r="N27" s="259" t="s">
        <v>122</v>
      </c>
      <c r="P27" s="259" t="s">
        <v>1554</v>
      </c>
      <c r="Q27" s="259" t="s">
        <v>2198</v>
      </c>
      <c r="R27" s="274">
        <v>44959.426087962966</v>
      </c>
      <c r="S27" s="321">
        <v>2023</v>
      </c>
      <c r="T27" s="259" t="s">
        <v>2001</v>
      </c>
      <c r="U27" s="259" t="s">
        <v>678</v>
      </c>
      <c r="V27" s="259" t="s">
        <v>679</v>
      </c>
      <c r="W27" s="259" t="s">
        <v>145</v>
      </c>
      <c r="X27" s="259" t="s">
        <v>309</v>
      </c>
      <c r="Y27" s="365">
        <v>44986</v>
      </c>
      <c r="Z27" s="259" t="s">
        <v>1875</v>
      </c>
      <c r="AA27" s="274" t="s">
        <v>2868</v>
      </c>
      <c r="AB27" s="259" t="s">
        <v>139</v>
      </c>
      <c r="AC27" s="259" t="s">
        <v>1875</v>
      </c>
      <c r="AD27" s="259">
        <v>900</v>
      </c>
      <c r="AE27" s="274">
        <v>900</v>
      </c>
      <c r="AI27" s="259" t="s">
        <v>2965</v>
      </c>
      <c r="AJ27" s="319" t="s">
        <v>3394</v>
      </c>
      <c r="AK27" s="320" t="s">
        <v>3379</v>
      </c>
      <c r="AL27" s="319" t="s">
        <v>3421</v>
      </c>
      <c r="AM27" s="259" t="s">
        <v>1975</v>
      </c>
      <c r="AN27" s="259" t="b">
        <v>1</v>
      </c>
      <c r="AO27" s="364" t="s">
        <v>3422</v>
      </c>
      <c r="AP27" s="321" t="s">
        <v>2983</v>
      </c>
      <c r="AQ27" s="321" t="s">
        <v>2982</v>
      </c>
      <c r="AR27" s="321" t="s">
        <v>2982</v>
      </c>
      <c r="AS27" s="323">
        <v>2</v>
      </c>
      <c r="AT27" s="321" t="s">
        <v>2982</v>
      </c>
      <c r="AU27" s="321" t="s">
        <v>3423</v>
      </c>
      <c r="AV27" s="319" t="s">
        <v>3417</v>
      </c>
      <c r="AW27" s="259" t="s">
        <v>2983</v>
      </c>
      <c r="AX27" s="259" t="s">
        <v>2983</v>
      </c>
      <c r="BA27" s="259" t="s">
        <v>373</v>
      </c>
      <c r="BB27" s="259" t="s">
        <v>1610</v>
      </c>
      <c r="BC27" s="259" t="s">
        <v>2192</v>
      </c>
      <c r="BD27" s="274"/>
      <c r="BF27" s="274"/>
    </row>
    <row r="28" spans="1:58" ht="135">
      <c r="A28" s="259">
        <v>488</v>
      </c>
      <c r="B28" s="259" t="s">
        <v>3301</v>
      </c>
      <c r="C28" s="259" t="s">
        <v>3275</v>
      </c>
      <c r="D28" s="259" t="s">
        <v>8</v>
      </c>
      <c r="E28" s="259" t="s">
        <v>13</v>
      </c>
      <c r="F28" s="259" t="s">
        <v>1567</v>
      </c>
      <c r="G28" s="274">
        <v>44949</v>
      </c>
      <c r="H28" s="274"/>
      <c r="I28" s="274"/>
      <c r="N28" s="259" t="s">
        <v>122</v>
      </c>
      <c r="P28" s="259" t="s">
        <v>1554</v>
      </c>
      <c r="Q28" s="259" t="s">
        <v>2198</v>
      </c>
      <c r="R28" s="274">
        <v>44959.445509259262</v>
      </c>
      <c r="S28" s="321">
        <v>2023</v>
      </c>
      <c r="T28" s="259" t="s">
        <v>2001</v>
      </c>
      <c r="U28" s="259" t="s">
        <v>678</v>
      </c>
      <c r="V28" s="259" t="s">
        <v>679</v>
      </c>
      <c r="W28" s="259" t="s">
        <v>145</v>
      </c>
      <c r="X28" s="259" t="s">
        <v>309</v>
      </c>
      <c r="Y28" s="365">
        <v>44986</v>
      </c>
      <c r="Z28" s="259" t="s">
        <v>1875</v>
      </c>
      <c r="AA28" s="274" t="s">
        <v>2873</v>
      </c>
      <c r="AB28" s="259" t="s">
        <v>139</v>
      </c>
      <c r="AC28" s="259" t="s">
        <v>1875</v>
      </c>
      <c r="AD28" s="259">
        <v>900</v>
      </c>
      <c r="AE28" s="274">
        <v>900</v>
      </c>
      <c r="AF28" s="259" t="s">
        <v>3013</v>
      </c>
      <c r="AI28" s="259" t="s">
        <v>3281</v>
      </c>
      <c r="AJ28" s="319" t="s">
        <v>3414</v>
      </c>
      <c r="AK28" s="320" t="s">
        <v>3386</v>
      </c>
      <c r="AL28" s="319" t="s">
        <v>3420</v>
      </c>
      <c r="AM28" s="259" t="s">
        <v>1975</v>
      </c>
      <c r="AN28" s="259" t="b">
        <v>1</v>
      </c>
      <c r="AO28" s="364" t="s">
        <v>3371</v>
      </c>
      <c r="AP28" s="321" t="s">
        <v>2983</v>
      </c>
      <c r="AQ28" s="321" t="s">
        <v>2982</v>
      </c>
      <c r="AR28" s="321" t="s">
        <v>2982</v>
      </c>
      <c r="AS28" s="323">
        <v>2</v>
      </c>
      <c r="AT28" s="321" t="s">
        <v>2982</v>
      </c>
      <c r="AU28" s="321" t="s">
        <v>3402</v>
      </c>
      <c r="AV28" s="319" t="s">
        <v>3370</v>
      </c>
      <c r="AW28" s="259" t="s">
        <v>2997</v>
      </c>
      <c r="AX28" s="259" t="s">
        <v>2983</v>
      </c>
      <c r="AY28" s="259" t="s">
        <v>1989</v>
      </c>
      <c r="BA28" s="259" t="s">
        <v>373</v>
      </c>
      <c r="BB28" s="259" t="s">
        <v>1610</v>
      </c>
      <c r="BC28" s="259" t="s">
        <v>2192</v>
      </c>
      <c r="BD28" s="274"/>
      <c r="BF28" s="274"/>
    </row>
    <row r="29" spans="1:58" ht="135">
      <c r="A29" s="259">
        <v>555</v>
      </c>
      <c r="B29" s="259" t="s">
        <v>2692</v>
      </c>
      <c r="C29" s="259" t="s">
        <v>2671</v>
      </c>
      <c r="D29" s="259" t="s">
        <v>8</v>
      </c>
      <c r="E29" s="259" t="s">
        <v>13</v>
      </c>
      <c r="F29" s="259" t="s">
        <v>1561</v>
      </c>
      <c r="G29" s="274">
        <v>44984</v>
      </c>
      <c r="H29" s="274"/>
      <c r="I29" s="274"/>
      <c r="N29" s="259" t="s">
        <v>122</v>
      </c>
      <c r="P29" s="259" t="s">
        <v>1554</v>
      </c>
      <c r="Q29" s="259" t="s">
        <v>2198</v>
      </c>
      <c r="R29" s="274">
        <v>44929.446909722225</v>
      </c>
      <c r="S29" s="321">
        <v>2023</v>
      </c>
      <c r="T29" s="259" t="s">
        <v>2001</v>
      </c>
      <c r="U29" s="259" t="s">
        <v>678</v>
      </c>
      <c r="V29" s="259" t="s">
        <v>679</v>
      </c>
      <c r="W29" s="259" t="s">
        <v>145</v>
      </c>
      <c r="X29" s="259" t="s">
        <v>309</v>
      </c>
      <c r="Y29" s="365">
        <v>44986</v>
      </c>
      <c r="Z29" s="259" t="s">
        <v>1875</v>
      </c>
      <c r="AA29" s="274" t="s">
        <v>2886</v>
      </c>
      <c r="AB29" s="259" t="s">
        <v>139</v>
      </c>
      <c r="AC29" s="259" t="s">
        <v>1875</v>
      </c>
      <c r="AD29" s="259">
        <v>900</v>
      </c>
      <c r="AE29" s="274">
        <v>900</v>
      </c>
      <c r="AF29" s="259" t="s">
        <v>3013</v>
      </c>
      <c r="AI29" s="259" t="s">
        <v>2897</v>
      </c>
      <c r="AJ29" s="319" t="s">
        <v>3585</v>
      </c>
      <c r="AK29" s="320" t="s">
        <v>2993</v>
      </c>
      <c r="AL29" s="319" t="s">
        <v>3369</v>
      </c>
      <c r="AM29" s="259" t="s">
        <v>1975</v>
      </c>
      <c r="AN29" s="259" t="b">
        <v>1</v>
      </c>
      <c r="AO29" s="364" t="s">
        <v>3394</v>
      </c>
      <c r="AP29" s="321" t="s">
        <v>2983</v>
      </c>
      <c r="AQ29" s="321" t="s">
        <v>2982</v>
      </c>
      <c r="AR29" s="321" t="s">
        <v>2982</v>
      </c>
      <c r="AS29" s="323">
        <v>2</v>
      </c>
      <c r="AT29" s="321" t="s">
        <v>2982</v>
      </c>
      <c r="AU29" s="321" t="s">
        <v>3051</v>
      </c>
      <c r="AV29" s="319" t="s">
        <v>3586</v>
      </c>
      <c r="AW29" s="259" t="s">
        <v>2983</v>
      </c>
      <c r="AX29" s="259" t="s">
        <v>2983</v>
      </c>
      <c r="AY29" s="259" t="s">
        <v>1989</v>
      </c>
      <c r="BA29" s="259" t="s">
        <v>373</v>
      </c>
      <c r="BB29" s="259" t="s">
        <v>1610</v>
      </c>
      <c r="BC29" s="259" t="s">
        <v>2192</v>
      </c>
      <c r="BD29" s="274"/>
      <c r="BF29" s="274"/>
    </row>
    <row r="30" spans="1:58">
      <c r="G30" s="274"/>
      <c r="H30" s="274"/>
      <c r="I30" s="274"/>
      <c r="R30" s="274"/>
      <c r="AA30" s="274"/>
    </row>
    <row r="31" spans="1:58">
      <c r="G31" s="274"/>
      <c r="H31" s="274"/>
      <c r="I31" s="274"/>
      <c r="R31" s="274"/>
      <c r="AA31" s="274"/>
    </row>
    <row r="32" spans="1:58">
      <c r="G32" s="274"/>
      <c r="H32" s="274"/>
      <c r="I32" s="274"/>
      <c r="R32" s="274"/>
      <c r="AA32" s="274"/>
    </row>
  </sheetData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G375"/>
  <sheetViews>
    <sheetView topLeftCell="A374" zoomScale="60" zoomScaleNormal="60" workbookViewId="0">
      <selection activeCell="B368" sqref="B368"/>
    </sheetView>
  </sheetViews>
  <sheetFormatPr defaultColWidth="8.85546875" defaultRowHeight="15"/>
  <cols>
    <col min="1" max="6" width="8.85546875" style="259"/>
    <col min="7" max="7" width="16" style="319" customWidth="1"/>
    <col min="8" max="9" width="8.85546875" style="319"/>
    <col min="10" max="10" width="8.85546875" style="259"/>
    <col min="11" max="11" width="21.28515625" style="364" customWidth="1"/>
    <col min="12" max="12" width="8.85546875" style="320"/>
    <col min="13" max="17" width="8.85546875" style="259"/>
    <col min="18" max="18" width="14" style="319" customWidth="1"/>
    <col min="19" max="19" width="8.85546875" style="321"/>
    <col min="20" max="24" width="8.85546875" style="259"/>
    <col min="25" max="25" width="8.85546875" style="365"/>
    <col min="26" max="35" width="8.85546875" style="259"/>
    <col min="36" max="36" width="8.85546875" style="319"/>
    <col min="37" max="37" width="8.85546875" style="320"/>
    <col min="38" max="38" width="8.85546875" style="319"/>
    <col min="39" max="40" width="8.85546875" style="259"/>
    <col min="41" max="41" width="8.85546875" style="364"/>
    <col min="42" max="44" width="8.85546875" style="321"/>
    <col min="45" max="45" width="8.85546875" style="323"/>
    <col min="46" max="47" width="8.85546875" style="321"/>
    <col min="48" max="48" width="8.85546875" style="319"/>
    <col min="49" max="16384" width="8.85546875" style="259"/>
  </cols>
  <sheetData>
    <row r="1" spans="1:59" ht="89.2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361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363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362" t="s">
        <v>1996</v>
      </c>
      <c r="AP1" s="209" t="s">
        <v>1946</v>
      </c>
      <c r="AQ1" s="209" t="s">
        <v>1947</v>
      </c>
      <c r="AR1" s="209" t="s">
        <v>1948</v>
      </c>
      <c r="AS1" s="317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  <c r="BD1" s="259" t="s">
        <v>2038</v>
      </c>
      <c r="BE1" s="259" t="s">
        <v>2039</v>
      </c>
      <c r="BF1" s="259" t="s">
        <v>2040</v>
      </c>
      <c r="BG1" s="259" t="s">
        <v>2041</v>
      </c>
    </row>
    <row r="2" spans="1:59" ht="135">
      <c r="A2" s="259">
        <v>187</v>
      </c>
      <c r="B2" s="259" t="s">
        <v>2238</v>
      </c>
      <c r="C2" s="259" t="s">
        <v>2239</v>
      </c>
      <c r="D2" s="259" t="s">
        <v>8</v>
      </c>
      <c r="E2" s="259" t="s">
        <v>9</v>
      </c>
      <c r="F2" s="259" t="s">
        <v>1753</v>
      </c>
      <c r="G2" s="274">
        <v>44491</v>
      </c>
      <c r="H2" s="274"/>
      <c r="I2" s="274"/>
      <c r="N2" s="259" t="s">
        <v>122</v>
      </c>
      <c r="P2" s="259" t="s">
        <v>1554</v>
      </c>
      <c r="Q2" s="259" t="s">
        <v>2198</v>
      </c>
      <c r="R2" s="274">
        <v>44571.499062499999</v>
      </c>
      <c r="S2" s="321">
        <v>2021</v>
      </c>
      <c r="T2" s="259" t="s">
        <v>2001</v>
      </c>
      <c r="U2" s="259" t="s">
        <v>630</v>
      </c>
      <c r="V2" s="259" t="s">
        <v>631</v>
      </c>
      <c r="W2" s="259" t="s">
        <v>145</v>
      </c>
      <c r="X2" s="259" t="s">
        <v>309</v>
      </c>
      <c r="Y2" s="365">
        <v>44835</v>
      </c>
      <c r="Z2" s="259" t="s">
        <v>1875</v>
      </c>
      <c r="AA2" s="274"/>
      <c r="AB2" s="259" t="s">
        <v>139</v>
      </c>
      <c r="AC2" s="259" t="s">
        <v>1875</v>
      </c>
      <c r="AD2" s="259">
        <v>900</v>
      </c>
      <c r="AE2" s="259">
        <v>900</v>
      </c>
      <c r="AF2" s="274"/>
      <c r="AG2" s="274"/>
      <c r="AJ2" s="319" t="s">
        <v>2191</v>
      </c>
      <c r="AK2" s="274"/>
      <c r="AL2" s="319" t="s">
        <v>2190</v>
      </c>
      <c r="AM2" s="259" t="s">
        <v>1975</v>
      </c>
      <c r="AN2" s="259" t="b">
        <v>0</v>
      </c>
      <c r="AP2" s="274"/>
      <c r="AQ2" s="274"/>
      <c r="AR2" s="274"/>
      <c r="AT2" s="274"/>
      <c r="AU2" s="274"/>
      <c r="AW2" s="275"/>
      <c r="AX2" s="275"/>
      <c r="AZ2" s="274"/>
      <c r="BA2" s="259" t="s">
        <v>373</v>
      </c>
      <c r="BB2" s="259" t="s">
        <v>1610</v>
      </c>
      <c r="BC2" s="259" t="s">
        <v>2192</v>
      </c>
      <c r="BD2" s="274"/>
      <c r="BF2" s="274"/>
      <c r="BG2" s="274"/>
    </row>
    <row r="3" spans="1:59" ht="135">
      <c r="A3" s="259">
        <v>107</v>
      </c>
      <c r="B3" s="259" t="s">
        <v>2224</v>
      </c>
      <c r="C3" s="259" t="s">
        <v>2225</v>
      </c>
      <c r="D3" s="259" t="s">
        <v>8</v>
      </c>
      <c r="E3" s="259" t="s">
        <v>9</v>
      </c>
      <c r="F3" s="259" t="s">
        <v>1753</v>
      </c>
      <c r="G3" s="274">
        <v>44281</v>
      </c>
      <c r="H3" s="274"/>
      <c r="I3" s="274"/>
      <c r="N3" s="259" t="s">
        <v>122</v>
      </c>
      <c r="P3" s="259" t="s">
        <v>1554</v>
      </c>
      <c r="Q3" s="259" t="s">
        <v>2198</v>
      </c>
      <c r="R3" s="274">
        <v>44571.490694444445</v>
      </c>
      <c r="S3" s="321">
        <v>2021</v>
      </c>
      <c r="T3" s="259" t="s">
        <v>2001</v>
      </c>
      <c r="U3" s="259" t="s">
        <v>630</v>
      </c>
      <c r="V3" s="259" t="s">
        <v>631</v>
      </c>
      <c r="W3" s="259" t="s">
        <v>145</v>
      </c>
      <c r="X3" s="259" t="s">
        <v>309</v>
      </c>
      <c r="Y3" s="365">
        <v>44835</v>
      </c>
      <c r="Z3" s="259" t="s">
        <v>1875</v>
      </c>
      <c r="AA3" s="274"/>
      <c r="AB3" s="259" t="s">
        <v>139</v>
      </c>
      <c r="AC3" s="259" t="s">
        <v>1875</v>
      </c>
      <c r="AD3" s="259">
        <v>900</v>
      </c>
      <c r="AE3" s="259">
        <v>900</v>
      </c>
      <c r="AF3" s="274"/>
      <c r="AG3" s="274"/>
      <c r="AJ3" s="319" t="s">
        <v>2191</v>
      </c>
      <c r="AK3" s="274"/>
      <c r="AL3" s="319" t="s">
        <v>2190</v>
      </c>
      <c r="AM3" s="259" t="s">
        <v>1975</v>
      </c>
      <c r="AN3" s="259" t="b">
        <v>0</v>
      </c>
      <c r="AP3" s="274"/>
      <c r="AQ3" s="274"/>
      <c r="AR3" s="274"/>
      <c r="AT3" s="274"/>
      <c r="AU3" s="274"/>
      <c r="AW3" s="275"/>
      <c r="AX3" s="275"/>
      <c r="AZ3" s="274"/>
      <c r="BA3" s="259" t="s">
        <v>373</v>
      </c>
      <c r="BB3" s="259" t="s">
        <v>1610</v>
      </c>
      <c r="BC3" s="259" t="s">
        <v>2192</v>
      </c>
      <c r="BF3" s="274"/>
      <c r="BG3" s="274"/>
    </row>
    <row r="4" spans="1:59" ht="135">
      <c r="A4" s="259">
        <v>97</v>
      </c>
      <c r="B4" s="259" t="s">
        <v>2213</v>
      </c>
      <c r="C4" s="259" t="s">
        <v>2221</v>
      </c>
      <c r="D4" s="259" t="s">
        <v>8</v>
      </c>
      <c r="E4" s="259" t="s">
        <v>9</v>
      </c>
      <c r="F4" s="259" t="s">
        <v>1753</v>
      </c>
      <c r="G4" s="274">
        <v>44255</v>
      </c>
      <c r="H4" s="274">
        <v>44471</v>
      </c>
      <c r="I4" s="274"/>
      <c r="N4" s="259" t="s">
        <v>122</v>
      </c>
      <c r="P4" s="259" t="s">
        <v>1554</v>
      </c>
      <c r="Q4" s="259" t="s">
        <v>2198</v>
      </c>
      <c r="R4" s="274">
        <v>44571.488969907405</v>
      </c>
      <c r="S4" s="321">
        <v>2021</v>
      </c>
      <c r="T4" s="259" t="s">
        <v>2001</v>
      </c>
      <c r="U4" s="259" t="s">
        <v>630</v>
      </c>
      <c r="V4" s="259" t="s">
        <v>631</v>
      </c>
      <c r="W4" s="259" t="s">
        <v>145</v>
      </c>
      <c r="X4" s="259" t="s">
        <v>309</v>
      </c>
      <c r="Y4" s="365">
        <v>44835</v>
      </c>
      <c r="Z4" s="259" t="s">
        <v>1875</v>
      </c>
      <c r="AA4" s="274"/>
      <c r="AB4" s="259" t="s">
        <v>139</v>
      </c>
      <c r="AC4" s="259" t="s">
        <v>1875</v>
      </c>
      <c r="AD4" s="259">
        <v>900</v>
      </c>
      <c r="AE4" s="259">
        <v>900</v>
      </c>
      <c r="AF4" s="274"/>
      <c r="AG4" s="274"/>
      <c r="AJ4" s="319" t="s">
        <v>2191</v>
      </c>
      <c r="AK4" s="274"/>
      <c r="AL4" s="319" t="s">
        <v>2190</v>
      </c>
      <c r="AM4" s="259" t="s">
        <v>1975</v>
      </c>
      <c r="AN4" s="259" t="b">
        <v>0</v>
      </c>
      <c r="AP4" s="274"/>
      <c r="AQ4" s="274"/>
      <c r="AR4" s="274"/>
      <c r="AT4" s="274"/>
      <c r="AU4" s="274"/>
      <c r="AW4" s="275"/>
      <c r="AX4" s="275"/>
      <c r="AZ4" s="274"/>
      <c r="BA4" s="259" t="s">
        <v>373</v>
      </c>
      <c r="BB4" s="259" t="s">
        <v>1610</v>
      </c>
      <c r="BC4" s="259" t="s">
        <v>2192</v>
      </c>
      <c r="BF4" s="274"/>
      <c r="BG4" s="274"/>
    </row>
    <row r="5" spans="1:59" ht="135">
      <c r="A5" s="259">
        <v>304</v>
      </c>
      <c r="B5" s="259" t="s">
        <v>2272</v>
      </c>
      <c r="C5" s="259" t="s">
        <v>2273</v>
      </c>
      <c r="D5" s="259" t="s">
        <v>8</v>
      </c>
      <c r="E5" s="259" t="s">
        <v>9</v>
      </c>
      <c r="F5" s="259" t="s">
        <v>1753</v>
      </c>
      <c r="G5" s="274">
        <v>44746</v>
      </c>
      <c r="H5" s="274"/>
      <c r="I5" s="274"/>
      <c r="N5" s="259" t="s">
        <v>122</v>
      </c>
      <c r="P5" s="259" t="s">
        <v>1554</v>
      </c>
      <c r="Q5" s="259" t="s">
        <v>2198</v>
      </c>
      <c r="R5" s="274">
        <v>44571.520451388889</v>
      </c>
      <c r="S5" s="321">
        <v>2022</v>
      </c>
      <c r="T5" s="259" t="s">
        <v>2001</v>
      </c>
      <c r="U5" s="259" t="s">
        <v>630</v>
      </c>
      <c r="V5" s="259" t="s">
        <v>631</v>
      </c>
      <c r="W5" s="259" t="s">
        <v>145</v>
      </c>
      <c r="X5" s="259" t="s">
        <v>309</v>
      </c>
      <c r="Y5" s="365">
        <v>44835</v>
      </c>
      <c r="Z5" s="259" t="s">
        <v>1875</v>
      </c>
      <c r="AA5" s="274"/>
      <c r="AB5" s="259" t="s">
        <v>139</v>
      </c>
      <c r="AC5" s="259" t="s">
        <v>1875</v>
      </c>
      <c r="AD5" s="259">
        <v>900</v>
      </c>
      <c r="AE5" s="259">
        <v>900</v>
      </c>
      <c r="AF5" s="274"/>
      <c r="AG5" s="274"/>
      <c r="AJ5" s="319" t="s">
        <v>2191</v>
      </c>
      <c r="AK5" s="274"/>
      <c r="AL5" s="319" t="s">
        <v>2190</v>
      </c>
      <c r="AM5" s="259" t="s">
        <v>1975</v>
      </c>
      <c r="AN5" s="259" t="b">
        <v>0</v>
      </c>
      <c r="AP5" s="274"/>
      <c r="AQ5" s="274"/>
      <c r="AR5" s="274"/>
      <c r="AT5" s="274"/>
      <c r="AU5" s="274"/>
      <c r="AW5" s="275"/>
      <c r="AX5" s="275"/>
      <c r="AZ5" s="274"/>
      <c r="BA5" s="259" t="s">
        <v>373</v>
      </c>
      <c r="BB5" s="259" t="s">
        <v>1610</v>
      </c>
      <c r="BC5" s="259" t="s">
        <v>2192</v>
      </c>
      <c r="BF5" s="274"/>
      <c r="BG5" s="274"/>
    </row>
    <row r="6" spans="1:59" ht="135">
      <c r="A6" s="259">
        <v>94</v>
      </c>
      <c r="B6" s="259" t="s">
        <v>2219</v>
      </c>
      <c r="C6" s="259" t="s">
        <v>2220</v>
      </c>
      <c r="D6" s="259" t="s">
        <v>8</v>
      </c>
      <c r="E6" s="259" t="s">
        <v>9</v>
      </c>
      <c r="F6" s="259" t="s">
        <v>1753</v>
      </c>
      <c r="G6" s="274">
        <v>44226</v>
      </c>
      <c r="H6" s="274"/>
      <c r="I6" s="274"/>
      <c r="N6" s="259" t="s">
        <v>122</v>
      </c>
      <c r="P6" s="259" t="s">
        <v>1554</v>
      </c>
      <c r="Q6" s="259" t="s">
        <v>2198</v>
      </c>
      <c r="R6" s="274">
        <v>44571.487303240741</v>
      </c>
      <c r="S6" s="321">
        <v>2021</v>
      </c>
      <c r="T6" s="259" t="s">
        <v>2001</v>
      </c>
      <c r="U6" s="259" t="s">
        <v>630</v>
      </c>
      <c r="V6" s="259" t="s">
        <v>631</v>
      </c>
      <c r="W6" s="259" t="s">
        <v>145</v>
      </c>
      <c r="X6" s="259" t="s">
        <v>309</v>
      </c>
      <c r="Y6" s="365">
        <v>44835</v>
      </c>
      <c r="Z6" s="259" t="s">
        <v>1875</v>
      </c>
      <c r="AA6" s="274"/>
      <c r="AB6" s="259" t="s">
        <v>139</v>
      </c>
      <c r="AC6" s="259" t="s">
        <v>1875</v>
      </c>
      <c r="AD6" s="259">
        <v>900</v>
      </c>
      <c r="AE6" s="259">
        <v>900</v>
      </c>
      <c r="AF6" s="274"/>
      <c r="AG6" s="274"/>
      <c r="AJ6" s="319" t="s">
        <v>2191</v>
      </c>
      <c r="AK6" s="274"/>
      <c r="AL6" s="319" t="s">
        <v>2190</v>
      </c>
      <c r="AM6" s="259" t="s">
        <v>1975</v>
      </c>
      <c r="AN6" s="259" t="b">
        <v>0</v>
      </c>
      <c r="AP6" s="274"/>
      <c r="AQ6" s="274"/>
      <c r="AR6" s="274"/>
      <c r="AT6" s="274"/>
      <c r="AU6" s="274"/>
      <c r="AW6" s="275"/>
      <c r="AX6" s="275"/>
      <c r="AZ6" s="274"/>
      <c r="BA6" s="259" t="s">
        <v>373</v>
      </c>
      <c r="BB6" s="259" t="s">
        <v>1610</v>
      </c>
      <c r="BC6" s="259" t="s">
        <v>2192</v>
      </c>
      <c r="BF6" s="274"/>
      <c r="BG6" s="274"/>
    </row>
    <row r="7" spans="1:59" ht="135">
      <c r="A7" s="259">
        <v>261</v>
      </c>
      <c r="B7" s="259" t="s">
        <v>2211</v>
      </c>
      <c r="C7" s="259" t="s">
        <v>2253</v>
      </c>
      <c r="D7" s="259" t="s">
        <v>8</v>
      </c>
      <c r="E7" s="259" t="s">
        <v>9</v>
      </c>
      <c r="F7" s="259" t="s">
        <v>1753</v>
      </c>
      <c r="G7" s="274">
        <v>44692</v>
      </c>
      <c r="H7" s="274"/>
      <c r="I7" s="274"/>
      <c r="N7" s="259" t="s">
        <v>122</v>
      </c>
      <c r="P7" s="259" t="s">
        <v>1554</v>
      </c>
      <c r="Q7" s="259" t="s">
        <v>2198</v>
      </c>
      <c r="R7" s="274">
        <v>44571.514409722222</v>
      </c>
      <c r="S7" s="321">
        <v>2022</v>
      </c>
      <c r="T7" s="259" t="s">
        <v>2001</v>
      </c>
      <c r="U7" s="259" t="s">
        <v>630</v>
      </c>
      <c r="V7" s="259" t="s">
        <v>631</v>
      </c>
      <c r="W7" s="259" t="s">
        <v>145</v>
      </c>
      <c r="X7" s="259" t="s">
        <v>309</v>
      </c>
      <c r="Y7" s="365">
        <v>44835</v>
      </c>
      <c r="Z7" s="259" t="s">
        <v>1875</v>
      </c>
      <c r="AA7" s="274"/>
      <c r="AB7" s="259" t="s">
        <v>139</v>
      </c>
      <c r="AC7" s="259" t="s">
        <v>1875</v>
      </c>
      <c r="AD7" s="259">
        <v>900</v>
      </c>
      <c r="AE7" s="259">
        <v>900</v>
      </c>
      <c r="AF7" s="274"/>
      <c r="AG7" s="274"/>
      <c r="AJ7" s="319" t="s">
        <v>2191</v>
      </c>
      <c r="AK7" s="274"/>
      <c r="AL7" s="319" t="s">
        <v>2190</v>
      </c>
      <c r="AM7" s="259" t="s">
        <v>1975</v>
      </c>
      <c r="AN7" s="259" t="b">
        <v>0</v>
      </c>
      <c r="AP7" s="274"/>
      <c r="AQ7" s="274"/>
      <c r="AR7" s="274"/>
      <c r="AT7" s="274"/>
      <c r="AU7" s="274"/>
      <c r="AW7" s="275"/>
      <c r="AX7" s="275"/>
      <c r="AZ7" s="274"/>
      <c r="BA7" s="259" t="s">
        <v>373</v>
      </c>
      <c r="BB7" s="259" t="s">
        <v>1610</v>
      </c>
      <c r="BC7" s="259" t="s">
        <v>2192</v>
      </c>
      <c r="BF7" s="274"/>
      <c r="BG7" s="274"/>
    </row>
    <row r="8" spans="1:59" ht="135">
      <c r="A8" s="259">
        <v>84</v>
      </c>
      <c r="B8" s="259" t="s">
        <v>2217</v>
      </c>
      <c r="C8" s="259" t="s">
        <v>2218</v>
      </c>
      <c r="D8" s="259" t="s">
        <v>8</v>
      </c>
      <c r="E8" s="259" t="s">
        <v>9</v>
      </c>
      <c r="F8" s="259" t="s">
        <v>1753</v>
      </c>
      <c r="G8" s="274">
        <v>44153</v>
      </c>
      <c r="H8" s="274"/>
      <c r="I8" s="274"/>
      <c r="N8" s="259" t="s">
        <v>122</v>
      </c>
      <c r="P8" s="259" t="s">
        <v>1554</v>
      </c>
      <c r="Q8" s="259" t="s">
        <v>2198</v>
      </c>
      <c r="R8" s="274">
        <v>44571.486793981479</v>
      </c>
      <c r="S8" s="321">
        <v>2020</v>
      </c>
      <c r="T8" s="259" t="s">
        <v>2001</v>
      </c>
      <c r="U8" s="259" t="s">
        <v>630</v>
      </c>
      <c r="V8" s="259" t="s">
        <v>631</v>
      </c>
      <c r="W8" s="259" t="s">
        <v>145</v>
      </c>
      <c r="X8" s="259" t="s">
        <v>309</v>
      </c>
      <c r="Y8" s="365">
        <v>44835</v>
      </c>
      <c r="Z8" s="259" t="s">
        <v>1875</v>
      </c>
      <c r="AA8" s="274"/>
      <c r="AB8" s="259" t="s">
        <v>139</v>
      </c>
      <c r="AC8" s="259" t="s">
        <v>1875</v>
      </c>
      <c r="AD8" s="259">
        <v>900</v>
      </c>
      <c r="AE8" s="259">
        <v>900</v>
      </c>
      <c r="AF8" s="274"/>
      <c r="AG8" s="274"/>
      <c r="AJ8" s="319" t="s">
        <v>2191</v>
      </c>
      <c r="AK8" s="274"/>
      <c r="AL8" s="319" t="s">
        <v>2190</v>
      </c>
      <c r="AM8" s="259" t="s">
        <v>1975</v>
      </c>
      <c r="AN8" s="259" t="b">
        <v>0</v>
      </c>
      <c r="AP8" s="274"/>
      <c r="AQ8" s="274"/>
      <c r="AR8" s="274"/>
      <c r="AT8" s="274"/>
      <c r="AU8" s="274"/>
      <c r="AW8" s="275"/>
      <c r="AX8" s="275"/>
      <c r="AZ8" s="274"/>
      <c r="BA8" s="259" t="s">
        <v>373</v>
      </c>
      <c r="BB8" s="259" t="s">
        <v>1610</v>
      </c>
      <c r="BC8" s="259" t="s">
        <v>2192</v>
      </c>
      <c r="BF8" s="274"/>
      <c r="BG8" s="274"/>
    </row>
    <row r="9" spans="1:59" ht="135">
      <c r="A9" s="259">
        <v>270</v>
      </c>
      <c r="B9" s="259" t="s">
        <v>2254</v>
      </c>
      <c r="C9" s="259" t="s">
        <v>2255</v>
      </c>
      <c r="D9" s="259" t="s">
        <v>8</v>
      </c>
      <c r="E9" s="259" t="s">
        <v>9</v>
      </c>
      <c r="F9" s="259" t="s">
        <v>1753</v>
      </c>
      <c r="G9" s="274">
        <v>44706</v>
      </c>
      <c r="H9" s="274"/>
      <c r="I9" s="274"/>
      <c r="N9" s="259" t="s">
        <v>122</v>
      </c>
      <c r="P9" s="259" t="s">
        <v>1554</v>
      </c>
      <c r="Q9" s="259" t="s">
        <v>2198</v>
      </c>
      <c r="R9" s="274">
        <v>44571.514837962961</v>
      </c>
      <c r="S9" s="321">
        <v>2022</v>
      </c>
      <c r="T9" s="259" t="s">
        <v>2001</v>
      </c>
      <c r="U9" s="259" t="s">
        <v>630</v>
      </c>
      <c r="V9" s="259" t="s">
        <v>631</v>
      </c>
      <c r="W9" s="259" t="s">
        <v>145</v>
      </c>
      <c r="X9" s="259" t="s">
        <v>309</v>
      </c>
      <c r="Y9" s="365">
        <v>44835</v>
      </c>
      <c r="Z9" s="259" t="s">
        <v>1875</v>
      </c>
      <c r="AA9" s="274"/>
      <c r="AB9" s="259" t="s">
        <v>139</v>
      </c>
      <c r="AC9" s="259" t="s">
        <v>1875</v>
      </c>
      <c r="AD9" s="259">
        <v>900</v>
      </c>
      <c r="AE9" s="259">
        <v>900</v>
      </c>
      <c r="AF9" s="274"/>
      <c r="AG9" s="274"/>
      <c r="AJ9" s="319" t="s">
        <v>2191</v>
      </c>
      <c r="AK9" s="274"/>
      <c r="AL9" s="319" t="s">
        <v>2190</v>
      </c>
      <c r="AM9" s="259" t="s">
        <v>1975</v>
      </c>
      <c r="AN9" s="259" t="b">
        <v>0</v>
      </c>
      <c r="AP9" s="274"/>
      <c r="AQ9" s="274"/>
      <c r="AR9" s="274"/>
      <c r="AT9" s="274"/>
      <c r="AU9" s="274"/>
      <c r="AW9" s="275"/>
      <c r="AX9" s="275"/>
      <c r="AZ9" s="274"/>
      <c r="BA9" s="259" t="s">
        <v>373</v>
      </c>
      <c r="BB9" s="259" t="s">
        <v>1610</v>
      </c>
      <c r="BC9" s="259" t="s">
        <v>2192</v>
      </c>
      <c r="BF9" s="274"/>
      <c r="BG9" s="274"/>
    </row>
    <row r="10" spans="1:59" ht="135">
      <c r="A10" s="259">
        <v>79</v>
      </c>
      <c r="B10" s="259" t="s">
        <v>2215</v>
      </c>
      <c r="C10" s="259" t="s">
        <v>2216</v>
      </c>
      <c r="D10" s="259" t="s">
        <v>8</v>
      </c>
      <c r="E10" s="259" t="s">
        <v>9</v>
      </c>
      <c r="F10" s="259" t="s">
        <v>1753</v>
      </c>
      <c r="G10" s="274">
        <v>44139</v>
      </c>
      <c r="H10" s="274"/>
      <c r="I10" s="274"/>
      <c r="N10" s="259" t="s">
        <v>122</v>
      </c>
      <c r="P10" s="259" t="s">
        <v>1554</v>
      </c>
      <c r="Q10" s="259" t="s">
        <v>2198</v>
      </c>
      <c r="R10" s="274">
        <v>44571.485868055555</v>
      </c>
      <c r="S10" s="321">
        <v>2020</v>
      </c>
      <c r="T10" s="259" t="s">
        <v>2001</v>
      </c>
      <c r="U10" s="259" t="s">
        <v>630</v>
      </c>
      <c r="V10" s="259" t="s">
        <v>631</v>
      </c>
      <c r="W10" s="259" t="s">
        <v>145</v>
      </c>
      <c r="X10" s="259" t="s">
        <v>309</v>
      </c>
      <c r="Y10" s="365">
        <v>44835</v>
      </c>
      <c r="Z10" s="259" t="s">
        <v>1875</v>
      </c>
      <c r="AA10" s="274"/>
      <c r="AB10" s="259" t="s">
        <v>139</v>
      </c>
      <c r="AC10" s="259" t="s">
        <v>1875</v>
      </c>
      <c r="AD10" s="259">
        <v>900</v>
      </c>
      <c r="AE10" s="259">
        <v>900</v>
      </c>
      <c r="AF10" s="274"/>
      <c r="AG10" s="274"/>
      <c r="AJ10" s="319" t="s">
        <v>2191</v>
      </c>
      <c r="AK10" s="274"/>
      <c r="AL10" s="319" t="s">
        <v>2190</v>
      </c>
      <c r="AM10" s="259" t="s">
        <v>1975</v>
      </c>
      <c r="AN10" s="259" t="b">
        <v>0</v>
      </c>
      <c r="AP10" s="274"/>
      <c r="AQ10" s="274"/>
      <c r="AR10" s="274"/>
      <c r="AT10" s="274"/>
      <c r="AU10" s="274"/>
      <c r="AW10" s="275"/>
      <c r="AX10" s="275"/>
      <c r="AZ10" s="274"/>
      <c r="BA10" s="259" t="s">
        <v>373</v>
      </c>
      <c r="BB10" s="259" t="s">
        <v>1610</v>
      </c>
      <c r="BC10" s="259" t="s">
        <v>2192</v>
      </c>
      <c r="BF10" s="274"/>
      <c r="BG10" s="274"/>
    </row>
    <row r="11" spans="1:59" ht="135">
      <c r="A11" s="259">
        <v>76</v>
      </c>
      <c r="B11" s="259" t="s">
        <v>2213</v>
      </c>
      <c r="C11" s="259" t="s">
        <v>2214</v>
      </c>
      <c r="D11" s="259" t="s">
        <v>8</v>
      </c>
      <c r="E11" s="259" t="s">
        <v>9</v>
      </c>
      <c r="F11" s="259" t="s">
        <v>1753</v>
      </c>
      <c r="G11" s="274">
        <v>44131</v>
      </c>
      <c r="H11" s="274"/>
      <c r="I11" s="274"/>
      <c r="N11" s="259" t="s">
        <v>122</v>
      </c>
      <c r="P11" s="259" t="s">
        <v>1554</v>
      </c>
      <c r="Q11" s="259" t="s">
        <v>2198</v>
      </c>
      <c r="R11" s="274">
        <v>44571.476087962961</v>
      </c>
      <c r="S11" s="321">
        <v>2020</v>
      </c>
      <c r="T11" s="259" t="s">
        <v>2001</v>
      </c>
      <c r="U11" s="259" t="s">
        <v>630</v>
      </c>
      <c r="V11" s="259" t="s">
        <v>631</v>
      </c>
      <c r="W11" s="259" t="s">
        <v>145</v>
      </c>
      <c r="X11" s="259" t="s">
        <v>309</v>
      </c>
      <c r="Y11" s="365">
        <v>44835</v>
      </c>
      <c r="Z11" s="259" t="s">
        <v>1875</v>
      </c>
      <c r="AA11" s="274"/>
      <c r="AB11" s="259" t="s">
        <v>139</v>
      </c>
      <c r="AC11" s="259" t="s">
        <v>1875</v>
      </c>
      <c r="AD11" s="259">
        <v>900</v>
      </c>
      <c r="AE11" s="259">
        <v>900</v>
      </c>
      <c r="AF11" s="274"/>
      <c r="AG11" s="274"/>
      <c r="AJ11" s="319" t="s">
        <v>2191</v>
      </c>
      <c r="AK11" s="274"/>
      <c r="AL11" s="319" t="s">
        <v>2190</v>
      </c>
      <c r="AM11" s="259" t="s">
        <v>1975</v>
      </c>
      <c r="AN11" s="259" t="b">
        <v>0</v>
      </c>
      <c r="AP11" s="274"/>
      <c r="AQ11" s="274"/>
      <c r="AR11" s="274"/>
      <c r="AT11" s="274"/>
      <c r="AU11" s="274"/>
      <c r="AW11" s="275"/>
      <c r="AX11" s="275"/>
      <c r="AZ11" s="274"/>
      <c r="BA11" s="259" t="s">
        <v>373</v>
      </c>
      <c r="BB11" s="259" t="s">
        <v>1610</v>
      </c>
      <c r="BC11" s="259" t="s">
        <v>2192</v>
      </c>
      <c r="BF11" s="274"/>
      <c r="BG11" s="274"/>
    </row>
    <row r="12" spans="1:59" ht="135">
      <c r="A12" s="259">
        <v>275</v>
      </c>
      <c r="B12" s="259" t="s">
        <v>2224</v>
      </c>
      <c r="C12" s="259" t="s">
        <v>2256</v>
      </c>
      <c r="D12" s="259" t="s">
        <v>8</v>
      </c>
      <c r="E12" s="259" t="s">
        <v>9</v>
      </c>
      <c r="F12" s="259" t="s">
        <v>1753</v>
      </c>
      <c r="G12" s="274">
        <v>44713</v>
      </c>
      <c r="H12" s="274"/>
      <c r="I12" s="274"/>
      <c r="N12" s="259" t="s">
        <v>122</v>
      </c>
      <c r="P12" s="259" t="s">
        <v>1554</v>
      </c>
      <c r="Q12" s="259" t="s">
        <v>2198</v>
      </c>
      <c r="R12" s="274">
        <v>44571.515243055554</v>
      </c>
      <c r="S12" s="321">
        <v>2022</v>
      </c>
      <c r="T12" s="259" t="s">
        <v>2001</v>
      </c>
      <c r="U12" s="259" t="s">
        <v>630</v>
      </c>
      <c r="V12" s="259" t="s">
        <v>631</v>
      </c>
      <c r="W12" s="259" t="s">
        <v>145</v>
      </c>
      <c r="X12" s="259" t="s">
        <v>309</v>
      </c>
      <c r="Y12" s="365">
        <v>44835</v>
      </c>
      <c r="Z12" s="259" t="s">
        <v>1875</v>
      </c>
      <c r="AA12" s="274"/>
      <c r="AB12" s="259" t="s">
        <v>139</v>
      </c>
      <c r="AC12" s="259" t="s">
        <v>1875</v>
      </c>
      <c r="AD12" s="259">
        <v>900</v>
      </c>
      <c r="AE12" s="259">
        <v>900</v>
      </c>
      <c r="AF12" s="274"/>
      <c r="AG12" s="274"/>
      <c r="AJ12" s="319" t="s">
        <v>2191</v>
      </c>
      <c r="AK12" s="274"/>
      <c r="AL12" s="319" t="s">
        <v>2190</v>
      </c>
      <c r="AM12" s="259" t="s">
        <v>1975</v>
      </c>
      <c r="AN12" s="259" t="b">
        <v>0</v>
      </c>
      <c r="AP12" s="274"/>
      <c r="AQ12" s="274"/>
      <c r="AR12" s="274"/>
      <c r="AT12" s="274"/>
      <c r="AU12" s="274"/>
      <c r="AW12" s="275"/>
      <c r="AX12" s="275"/>
      <c r="AZ12" s="274"/>
      <c r="BA12" s="259" t="s">
        <v>373</v>
      </c>
      <c r="BB12" s="259" t="s">
        <v>1610</v>
      </c>
      <c r="BC12" s="259" t="s">
        <v>2192</v>
      </c>
      <c r="BF12" s="274"/>
      <c r="BG12" s="274"/>
    </row>
    <row r="13" spans="1:59" ht="135">
      <c r="A13" s="259">
        <v>329</v>
      </c>
      <c r="B13" s="259" t="s">
        <v>2233</v>
      </c>
      <c r="C13" s="259" t="s">
        <v>2277</v>
      </c>
      <c r="D13" s="259" t="s">
        <v>8</v>
      </c>
      <c r="E13" s="259" t="s">
        <v>9</v>
      </c>
      <c r="F13" s="259" t="s">
        <v>1753</v>
      </c>
      <c r="G13" s="274">
        <v>44793</v>
      </c>
      <c r="H13" s="274"/>
      <c r="I13" s="274"/>
      <c r="N13" s="259" t="s">
        <v>122</v>
      </c>
      <c r="P13" s="259" t="s">
        <v>1554</v>
      </c>
      <c r="Q13" s="259" t="s">
        <v>2198</v>
      </c>
      <c r="R13" s="274">
        <v>44571.521539351852</v>
      </c>
      <c r="S13" s="321">
        <v>2022</v>
      </c>
      <c r="T13" s="259" t="s">
        <v>2001</v>
      </c>
      <c r="U13" s="259" t="s">
        <v>630</v>
      </c>
      <c r="V13" s="259" t="s">
        <v>631</v>
      </c>
      <c r="W13" s="259" t="s">
        <v>145</v>
      </c>
      <c r="X13" s="259" t="s">
        <v>309</v>
      </c>
      <c r="Y13" s="365">
        <v>44835</v>
      </c>
      <c r="Z13" s="259" t="s">
        <v>1875</v>
      </c>
      <c r="AA13" s="274"/>
      <c r="AB13" s="259" t="s">
        <v>139</v>
      </c>
      <c r="AC13" s="259" t="s">
        <v>1875</v>
      </c>
      <c r="AD13" s="259">
        <v>900</v>
      </c>
      <c r="AE13" s="259">
        <v>900</v>
      </c>
      <c r="AF13" s="274"/>
      <c r="AG13" s="274"/>
      <c r="AJ13" s="319" t="s">
        <v>2191</v>
      </c>
      <c r="AK13" s="274"/>
      <c r="AL13" s="319" t="s">
        <v>2190</v>
      </c>
      <c r="AM13" s="259" t="s">
        <v>1975</v>
      </c>
      <c r="AN13" s="259" t="b">
        <v>0</v>
      </c>
      <c r="AP13" s="274"/>
      <c r="AQ13" s="274"/>
      <c r="AR13" s="274"/>
      <c r="AT13" s="274"/>
      <c r="AU13" s="274"/>
      <c r="AW13" s="275"/>
      <c r="AX13" s="275"/>
      <c r="AZ13" s="274"/>
      <c r="BA13" s="259" t="s">
        <v>373</v>
      </c>
      <c r="BB13" s="259" t="s">
        <v>1610</v>
      </c>
      <c r="BC13" s="259" t="s">
        <v>2192</v>
      </c>
      <c r="BF13" s="274"/>
      <c r="BG13" s="274"/>
    </row>
    <row r="14" spans="1:59" ht="135">
      <c r="A14" s="259">
        <v>110</v>
      </c>
      <c r="B14" s="259" t="s">
        <v>2201</v>
      </c>
      <c r="C14" s="259" t="s">
        <v>2226</v>
      </c>
      <c r="D14" s="259" t="s">
        <v>8</v>
      </c>
      <c r="E14" s="259" t="s">
        <v>9</v>
      </c>
      <c r="F14" s="259" t="s">
        <v>1753</v>
      </c>
      <c r="G14" s="274">
        <v>44289</v>
      </c>
      <c r="H14" s="274"/>
      <c r="I14" s="274"/>
      <c r="N14" s="259" t="s">
        <v>122</v>
      </c>
      <c r="P14" s="259" t="s">
        <v>1554</v>
      </c>
      <c r="Q14" s="259" t="s">
        <v>2198</v>
      </c>
      <c r="R14" s="274">
        <v>44571.491319444445</v>
      </c>
      <c r="S14" s="321">
        <v>2021</v>
      </c>
      <c r="T14" s="259" t="s">
        <v>2001</v>
      </c>
      <c r="U14" s="259" t="s">
        <v>630</v>
      </c>
      <c r="V14" s="259" t="s">
        <v>631</v>
      </c>
      <c r="W14" s="259" t="s">
        <v>145</v>
      </c>
      <c r="X14" s="259" t="s">
        <v>309</v>
      </c>
      <c r="Y14" s="365">
        <v>44835</v>
      </c>
      <c r="Z14" s="259" t="s">
        <v>1875</v>
      </c>
      <c r="AA14" s="274"/>
      <c r="AB14" s="259" t="s">
        <v>139</v>
      </c>
      <c r="AC14" s="259" t="s">
        <v>1875</v>
      </c>
      <c r="AD14" s="259">
        <v>900</v>
      </c>
      <c r="AE14" s="259">
        <v>900</v>
      </c>
      <c r="AF14" s="274"/>
      <c r="AG14" s="274"/>
      <c r="AJ14" s="319" t="s">
        <v>2191</v>
      </c>
      <c r="AK14" s="274"/>
      <c r="AL14" s="319" t="s">
        <v>2190</v>
      </c>
      <c r="AM14" s="259" t="s">
        <v>1975</v>
      </c>
      <c r="AN14" s="259" t="b">
        <v>0</v>
      </c>
      <c r="AP14" s="274"/>
      <c r="AQ14" s="274"/>
      <c r="AR14" s="274"/>
      <c r="AT14" s="274"/>
      <c r="AU14" s="274"/>
      <c r="AW14" s="275"/>
      <c r="AX14" s="275"/>
      <c r="AZ14" s="274"/>
      <c r="BA14" s="259" t="s">
        <v>373</v>
      </c>
      <c r="BB14" s="259" t="s">
        <v>1610</v>
      </c>
      <c r="BC14" s="259" t="s">
        <v>2192</v>
      </c>
      <c r="BF14" s="274"/>
      <c r="BG14" s="274"/>
    </row>
    <row r="15" spans="1:59" ht="135">
      <c r="A15" s="259">
        <v>196</v>
      </c>
      <c r="B15" s="259" t="s">
        <v>2196</v>
      </c>
      <c r="C15" s="259" t="s">
        <v>2244</v>
      </c>
      <c r="D15" s="259" t="s">
        <v>8</v>
      </c>
      <c r="E15" s="259" t="s">
        <v>9</v>
      </c>
      <c r="F15" s="259" t="s">
        <v>1753</v>
      </c>
      <c r="G15" s="274">
        <v>44516</v>
      </c>
      <c r="H15" s="274"/>
      <c r="I15" s="274"/>
      <c r="N15" s="259" t="s">
        <v>122</v>
      </c>
      <c r="P15" s="259" t="s">
        <v>1554</v>
      </c>
      <c r="Q15" s="259" t="s">
        <v>2198</v>
      </c>
      <c r="R15" s="274">
        <v>44571.502129629633</v>
      </c>
      <c r="S15" s="321">
        <v>2021</v>
      </c>
      <c r="T15" s="259" t="s">
        <v>2001</v>
      </c>
      <c r="U15" s="259" t="s">
        <v>630</v>
      </c>
      <c r="V15" s="259" t="s">
        <v>631</v>
      </c>
      <c r="W15" s="259" t="s">
        <v>145</v>
      </c>
      <c r="X15" s="259" t="s">
        <v>309</v>
      </c>
      <c r="Y15" s="365">
        <v>44835</v>
      </c>
      <c r="Z15" s="259" t="s">
        <v>1875</v>
      </c>
      <c r="AA15" s="274"/>
      <c r="AB15" s="259" t="s">
        <v>139</v>
      </c>
      <c r="AC15" s="259" t="s">
        <v>1875</v>
      </c>
      <c r="AD15" s="259">
        <v>900</v>
      </c>
      <c r="AE15" s="259">
        <v>900</v>
      </c>
      <c r="AF15" s="274"/>
      <c r="AJ15" s="319" t="s">
        <v>2191</v>
      </c>
      <c r="AK15" s="274"/>
      <c r="AL15" s="319" t="s">
        <v>2190</v>
      </c>
      <c r="AM15" s="259" t="s">
        <v>1975</v>
      </c>
      <c r="AN15" s="259" t="b">
        <v>0</v>
      </c>
      <c r="AP15" s="274"/>
      <c r="AQ15" s="274"/>
      <c r="AR15" s="274"/>
      <c r="AT15" s="274"/>
      <c r="AU15" s="274"/>
      <c r="AZ15" s="274"/>
      <c r="BA15" s="259" t="s">
        <v>373</v>
      </c>
      <c r="BB15" s="259" t="s">
        <v>1610</v>
      </c>
      <c r="BC15" s="259" t="s">
        <v>2192</v>
      </c>
    </row>
    <row r="16" spans="1:59" ht="135">
      <c r="A16" s="259">
        <v>106</v>
      </c>
      <c r="B16" s="259" t="s">
        <v>2222</v>
      </c>
      <c r="C16" s="259" t="s">
        <v>2223</v>
      </c>
      <c r="D16" s="259" t="s">
        <v>8</v>
      </c>
      <c r="E16" s="259" t="s">
        <v>9</v>
      </c>
      <c r="F16" s="259" t="s">
        <v>1753</v>
      </c>
      <c r="G16" s="274">
        <v>44274</v>
      </c>
      <c r="H16" s="274"/>
      <c r="I16" s="274"/>
      <c r="N16" s="259" t="s">
        <v>122</v>
      </c>
      <c r="P16" s="259" t="s">
        <v>1554</v>
      </c>
      <c r="Q16" s="259" t="s">
        <v>2198</v>
      </c>
      <c r="R16" s="274">
        <v>44571.489444444444</v>
      </c>
      <c r="S16" s="321">
        <v>2021</v>
      </c>
      <c r="T16" s="259" t="s">
        <v>2001</v>
      </c>
      <c r="U16" s="259" t="s">
        <v>630</v>
      </c>
      <c r="V16" s="259" t="s">
        <v>631</v>
      </c>
      <c r="W16" s="259" t="s">
        <v>145</v>
      </c>
      <c r="X16" s="259" t="s">
        <v>309</v>
      </c>
      <c r="Y16" s="365">
        <v>44835</v>
      </c>
      <c r="Z16" s="259" t="s">
        <v>1875</v>
      </c>
      <c r="AA16" s="274"/>
      <c r="AB16" s="259" t="s">
        <v>139</v>
      </c>
      <c r="AC16" s="259" t="s">
        <v>1875</v>
      </c>
      <c r="AD16" s="259">
        <v>900</v>
      </c>
      <c r="AE16" s="259">
        <v>900</v>
      </c>
      <c r="AF16" s="274"/>
      <c r="AJ16" s="319" t="s">
        <v>2191</v>
      </c>
      <c r="AK16" s="274"/>
      <c r="AL16" s="319" t="s">
        <v>2190</v>
      </c>
      <c r="AM16" s="259" t="s">
        <v>1975</v>
      </c>
      <c r="AN16" s="259" t="b">
        <v>0</v>
      </c>
      <c r="AP16" s="274"/>
      <c r="AQ16" s="274"/>
      <c r="AR16" s="274"/>
      <c r="AT16" s="274"/>
      <c r="AU16" s="274"/>
      <c r="AZ16" s="274"/>
      <c r="BA16" s="259" t="s">
        <v>373</v>
      </c>
      <c r="BB16" s="259" t="s">
        <v>1610</v>
      </c>
      <c r="BC16" s="259" t="s">
        <v>2192</v>
      </c>
    </row>
    <row r="17" spans="1:55" ht="135">
      <c r="A17" s="259">
        <v>323</v>
      </c>
      <c r="B17" s="259" t="s">
        <v>2207</v>
      </c>
      <c r="C17" s="259" t="s">
        <v>2276</v>
      </c>
      <c r="D17" s="259" t="s">
        <v>8</v>
      </c>
      <c r="E17" s="259" t="s">
        <v>9</v>
      </c>
      <c r="F17" s="259" t="s">
        <v>1753</v>
      </c>
      <c r="G17" s="274">
        <v>44785</v>
      </c>
      <c r="H17" s="274"/>
      <c r="I17" s="274"/>
      <c r="N17" s="259" t="s">
        <v>122</v>
      </c>
      <c r="P17" s="259" t="s">
        <v>1554</v>
      </c>
      <c r="Q17" s="259" t="s">
        <v>2198</v>
      </c>
      <c r="R17" s="274">
        <v>44571.521192129629</v>
      </c>
      <c r="S17" s="321">
        <v>2022</v>
      </c>
      <c r="T17" s="259" t="s">
        <v>2001</v>
      </c>
      <c r="U17" s="259" t="s">
        <v>630</v>
      </c>
      <c r="V17" s="259" t="s">
        <v>631</v>
      </c>
      <c r="W17" s="259" t="s">
        <v>145</v>
      </c>
      <c r="X17" s="259" t="s">
        <v>309</v>
      </c>
      <c r="Y17" s="365">
        <v>44835</v>
      </c>
      <c r="Z17" s="259" t="s">
        <v>1875</v>
      </c>
      <c r="AA17" s="274"/>
      <c r="AB17" s="259" t="s">
        <v>139</v>
      </c>
      <c r="AC17" s="259" t="s">
        <v>1875</v>
      </c>
      <c r="AD17" s="259">
        <v>900</v>
      </c>
      <c r="AE17" s="259">
        <v>900</v>
      </c>
      <c r="AF17" s="274"/>
      <c r="AJ17" s="319" t="s">
        <v>2191</v>
      </c>
      <c r="AK17" s="274"/>
      <c r="AL17" s="319" t="s">
        <v>2190</v>
      </c>
      <c r="AM17" s="259" t="s">
        <v>1975</v>
      </c>
      <c r="AN17" s="259" t="b">
        <v>0</v>
      </c>
      <c r="AP17" s="274"/>
      <c r="AQ17" s="274"/>
      <c r="AR17" s="274"/>
      <c r="AT17" s="274"/>
      <c r="AU17" s="274"/>
      <c r="AZ17" s="274"/>
      <c r="BA17" s="259" t="s">
        <v>373</v>
      </c>
      <c r="BB17" s="259" t="s">
        <v>1610</v>
      </c>
      <c r="BC17" s="259" t="s">
        <v>2192</v>
      </c>
    </row>
    <row r="18" spans="1:55" ht="135">
      <c r="A18" s="259">
        <v>322</v>
      </c>
      <c r="B18" s="259" t="s">
        <v>2274</v>
      </c>
      <c r="C18" s="259" t="s">
        <v>2275</v>
      </c>
      <c r="D18" s="259" t="s">
        <v>8</v>
      </c>
      <c r="E18" s="259" t="s">
        <v>9</v>
      </c>
      <c r="F18" s="259" t="s">
        <v>1753</v>
      </c>
      <c r="G18" s="274">
        <v>44785</v>
      </c>
      <c r="H18" s="274"/>
      <c r="I18" s="274"/>
      <c r="N18" s="259" t="s">
        <v>122</v>
      </c>
      <c r="P18" s="259" t="s">
        <v>1554</v>
      </c>
      <c r="Q18" s="259" t="s">
        <v>2198</v>
      </c>
      <c r="R18" s="274">
        <v>44571.520787037036</v>
      </c>
      <c r="S18" s="321">
        <v>2022</v>
      </c>
      <c r="T18" s="259" t="s">
        <v>2001</v>
      </c>
      <c r="U18" s="259" t="s">
        <v>630</v>
      </c>
      <c r="V18" s="259" t="s">
        <v>631</v>
      </c>
      <c r="W18" s="259" t="s">
        <v>145</v>
      </c>
      <c r="X18" s="259" t="s">
        <v>309</v>
      </c>
      <c r="Y18" s="365">
        <v>44835</v>
      </c>
      <c r="Z18" s="259" t="s">
        <v>1875</v>
      </c>
      <c r="AA18" s="274"/>
      <c r="AB18" s="259" t="s">
        <v>139</v>
      </c>
      <c r="AC18" s="259" t="s">
        <v>1875</v>
      </c>
      <c r="AD18" s="259">
        <v>900</v>
      </c>
      <c r="AE18" s="259">
        <v>900</v>
      </c>
      <c r="AF18" s="274"/>
      <c r="AJ18" s="319" t="s">
        <v>2191</v>
      </c>
      <c r="AK18" s="274"/>
      <c r="AL18" s="319" t="s">
        <v>2190</v>
      </c>
      <c r="AM18" s="259" t="s">
        <v>1975</v>
      </c>
      <c r="AN18" s="259" t="b">
        <v>0</v>
      </c>
      <c r="AP18" s="274"/>
      <c r="AQ18" s="274"/>
      <c r="AR18" s="274"/>
      <c r="AT18" s="274"/>
      <c r="AU18" s="274"/>
      <c r="AZ18" s="274"/>
      <c r="BA18" s="259" t="s">
        <v>373</v>
      </c>
      <c r="BB18" s="259" t="s">
        <v>1610</v>
      </c>
      <c r="BC18" s="259" t="s">
        <v>2192</v>
      </c>
    </row>
    <row r="19" spans="1:55" ht="135">
      <c r="A19" s="259">
        <v>288</v>
      </c>
      <c r="B19" s="259" t="s">
        <v>2258</v>
      </c>
      <c r="C19" s="259" t="s">
        <v>2259</v>
      </c>
      <c r="D19" s="259" t="s">
        <v>8</v>
      </c>
      <c r="E19" s="259" t="s">
        <v>9</v>
      </c>
      <c r="F19" s="259" t="s">
        <v>1753</v>
      </c>
      <c r="G19" s="274">
        <v>44734</v>
      </c>
      <c r="H19" s="274"/>
      <c r="I19" s="274"/>
      <c r="N19" s="259" t="s">
        <v>122</v>
      </c>
      <c r="P19" s="259" t="s">
        <v>1554</v>
      </c>
      <c r="Q19" s="259" t="s">
        <v>2198</v>
      </c>
      <c r="R19" s="274">
        <v>44571.516180555554</v>
      </c>
      <c r="S19" s="321">
        <v>2022</v>
      </c>
      <c r="T19" s="259" t="s">
        <v>2001</v>
      </c>
      <c r="U19" s="259" t="s">
        <v>630</v>
      </c>
      <c r="V19" s="259" t="s">
        <v>631</v>
      </c>
      <c r="W19" s="259" t="s">
        <v>145</v>
      </c>
      <c r="X19" s="259" t="s">
        <v>309</v>
      </c>
      <c r="Y19" s="365">
        <v>44835</v>
      </c>
      <c r="Z19" s="259" t="s">
        <v>1875</v>
      </c>
      <c r="AA19" s="274"/>
      <c r="AB19" s="259" t="s">
        <v>139</v>
      </c>
      <c r="AC19" s="259" t="s">
        <v>1875</v>
      </c>
      <c r="AD19" s="259">
        <v>900</v>
      </c>
      <c r="AE19" s="259">
        <v>900</v>
      </c>
      <c r="AF19" s="274"/>
      <c r="AJ19" s="319" t="s">
        <v>2191</v>
      </c>
      <c r="AK19" s="274"/>
      <c r="AL19" s="319" t="s">
        <v>2190</v>
      </c>
      <c r="AM19" s="259" t="s">
        <v>1975</v>
      </c>
      <c r="AN19" s="259" t="b">
        <v>0</v>
      </c>
      <c r="AP19" s="274"/>
      <c r="AQ19" s="274"/>
      <c r="AR19" s="274"/>
      <c r="AT19" s="274"/>
      <c r="AU19" s="274"/>
      <c r="AZ19" s="274"/>
      <c r="BA19" s="259" t="s">
        <v>373</v>
      </c>
      <c r="BB19" s="259" t="s">
        <v>1610</v>
      </c>
      <c r="BC19" s="259" t="s">
        <v>2192</v>
      </c>
    </row>
    <row r="20" spans="1:55" ht="135">
      <c r="A20" s="259">
        <v>292</v>
      </c>
      <c r="B20" s="259" t="s">
        <v>2199</v>
      </c>
      <c r="C20" s="259" t="s">
        <v>2260</v>
      </c>
      <c r="D20" s="259" t="s">
        <v>8</v>
      </c>
      <c r="E20" s="259" t="s">
        <v>9</v>
      </c>
      <c r="F20" s="259" t="s">
        <v>1753</v>
      </c>
      <c r="G20" s="274">
        <v>44739</v>
      </c>
      <c r="H20" s="274"/>
      <c r="I20" s="274"/>
      <c r="N20" s="259" t="s">
        <v>122</v>
      </c>
      <c r="P20" s="259" t="s">
        <v>1554</v>
      </c>
      <c r="Q20" s="259" t="s">
        <v>2198</v>
      </c>
      <c r="R20" s="274">
        <v>44571.516643518517</v>
      </c>
      <c r="S20" s="321">
        <v>2022</v>
      </c>
      <c r="T20" s="259" t="s">
        <v>2001</v>
      </c>
      <c r="U20" s="259" t="s">
        <v>630</v>
      </c>
      <c r="V20" s="259" t="s">
        <v>631</v>
      </c>
      <c r="W20" s="259" t="s">
        <v>145</v>
      </c>
      <c r="X20" s="259" t="s">
        <v>309</v>
      </c>
      <c r="Y20" s="365">
        <v>44835</v>
      </c>
      <c r="Z20" s="259" t="s">
        <v>1875</v>
      </c>
      <c r="AA20" s="274"/>
      <c r="AB20" s="259" t="s">
        <v>139</v>
      </c>
      <c r="AC20" s="259" t="s">
        <v>1875</v>
      </c>
      <c r="AD20" s="259">
        <v>900</v>
      </c>
      <c r="AE20" s="259">
        <v>900</v>
      </c>
      <c r="AF20" s="274"/>
      <c r="AJ20" s="319" t="s">
        <v>2191</v>
      </c>
      <c r="AK20" s="274"/>
      <c r="AL20" s="319" t="s">
        <v>2190</v>
      </c>
      <c r="AM20" s="259" t="s">
        <v>1975</v>
      </c>
      <c r="AN20" s="259" t="b">
        <v>0</v>
      </c>
      <c r="AP20" s="274"/>
      <c r="AQ20" s="274"/>
      <c r="AR20" s="274"/>
      <c r="AT20" s="274"/>
      <c r="AU20" s="274"/>
      <c r="AZ20" s="274"/>
      <c r="BA20" s="259" t="s">
        <v>373</v>
      </c>
      <c r="BB20" s="259" t="s">
        <v>1610</v>
      </c>
      <c r="BC20" s="259" t="s">
        <v>2192</v>
      </c>
    </row>
    <row r="21" spans="1:55" ht="135">
      <c r="A21" s="259">
        <v>296</v>
      </c>
      <c r="B21" s="259" t="s">
        <v>2201</v>
      </c>
      <c r="C21" s="259" t="s">
        <v>2261</v>
      </c>
      <c r="D21" s="259" t="s">
        <v>8</v>
      </c>
      <c r="E21" s="259" t="s">
        <v>9</v>
      </c>
      <c r="F21" s="259" t="s">
        <v>1753</v>
      </c>
      <c r="G21" s="274">
        <v>44746</v>
      </c>
      <c r="H21" s="274"/>
      <c r="I21" s="274"/>
      <c r="N21" s="259" t="s">
        <v>122</v>
      </c>
      <c r="P21" s="259" t="s">
        <v>1554</v>
      </c>
      <c r="Q21" s="259" t="s">
        <v>2198</v>
      </c>
      <c r="R21" s="274">
        <v>44571.517175925925</v>
      </c>
      <c r="S21" s="321">
        <v>2022</v>
      </c>
      <c r="T21" s="259" t="s">
        <v>2001</v>
      </c>
      <c r="U21" s="259" t="s">
        <v>630</v>
      </c>
      <c r="V21" s="259" t="s">
        <v>631</v>
      </c>
      <c r="W21" s="259" t="s">
        <v>145</v>
      </c>
      <c r="X21" s="259" t="s">
        <v>309</v>
      </c>
      <c r="Y21" s="365">
        <v>44835</v>
      </c>
      <c r="Z21" s="259" t="s">
        <v>1875</v>
      </c>
      <c r="AA21" s="274"/>
      <c r="AB21" s="259" t="s">
        <v>139</v>
      </c>
      <c r="AC21" s="259" t="s">
        <v>1875</v>
      </c>
      <c r="AD21" s="259">
        <v>900</v>
      </c>
      <c r="AE21" s="259">
        <v>900</v>
      </c>
      <c r="AF21" s="274"/>
      <c r="AJ21" s="319" t="s">
        <v>2191</v>
      </c>
      <c r="AK21" s="274"/>
      <c r="AL21" s="319" t="s">
        <v>2190</v>
      </c>
      <c r="AM21" s="259" t="s">
        <v>1975</v>
      </c>
      <c r="AN21" s="259" t="b">
        <v>0</v>
      </c>
      <c r="AP21" s="274"/>
      <c r="AQ21" s="274"/>
      <c r="AR21" s="274"/>
      <c r="AT21" s="274"/>
      <c r="AU21" s="274"/>
      <c r="AZ21" s="274"/>
      <c r="BA21" s="259" t="s">
        <v>373</v>
      </c>
      <c r="BB21" s="259" t="s">
        <v>1610</v>
      </c>
      <c r="BC21" s="259" t="s">
        <v>2192</v>
      </c>
    </row>
    <row r="22" spans="1:55" ht="135">
      <c r="A22" s="259">
        <v>297</v>
      </c>
      <c r="B22" s="259" t="s">
        <v>2203</v>
      </c>
      <c r="C22" s="259" t="s">
        <v>2262</v>
      </c>
      <c r="D22" s="259" t="s">
        <v>8</v>
      </c>
      <c r="E22" s="259" t="s">
        <v>9</v>
      </c>
      <c r="F22" s="259" t="s">
        <v>1753</v>
      </c>
      <c r="G22" s="274">
        <v>44746</v>
      </c>
      <c r="H22" s="274"/>
      <c r="I22" s="274"/>
      <c r="N22" s="259" t="s">
        <v>123</v>
      </c>
      <c r="P22" s="259" t="s">
        <v>1554</v>
      </c>
      <c r="Q22" s="259" t="s">
        <v>2198</v>
      </c>
      <c r="R22" s="274">
        <v>44571.51761574074</v>
      </c>
      <c r="S22" s="321">
        <v>2022</v>
      </c>
      <c r="T22" s="259" t="s">
        <v>2001</v>
      </c>
      <c r="U22" s="259" t="s">
        <v>630</v>
      </c>
      <c r="V22" s="259" t="s">
        <v>631</v>
      </c>
      <c r="W22" s="259" t="s">
        <v>145</v>
      </c>
      <c r="X22" s="259" t="s">
        <v>309</v>
      </c>
      <c r="Y22" s="365">
        <v>44835</v>
      </c>
      <c r="Z22" s="259" t="s">
        <v>1875</v>
      </c>
      <c r="AA22" s="274"/>
      <c r="AB22" s="259" t="s">
        <v>139</v>
      </c>
      <c r="AC22" s="259" t="s">
        <v>1875</v>
      </c>
      <c r="AD22" s="259">
        <v>900</v>
      </c>
      <c r="AE22" s="259">
        <v>900</v>
      </c>
      <c r="AF22" s="274"/>
      <c r="AJ22" s="319" t="s">
        <v>2191</v>
      </c>
      <c r="AK22" s="274"/>
      <c r="AL22" s="319" t="s">
        <v>2190</v>
      </c>
      <c r="AM22" s="259" t="s">
        <v>1975</v>
      </c>
      <c r="AN22" s="259" t="b">
        <v>0</v>
      </c>
      <c r="AP22" s="274"/>
      <c r="AQ22" s="274"/>
      <c r="AR22" s="274"/>
      <c r="AT22" s="274"/>
      <c r="AU22" s="274"/>
      <c r="AZ22" s="274"/>
      <c r="BA22" s="259" t="s">
        <v>373</v>
      </c>
      <c r="BB22" s="259" t="s">
        <v>1610</v>
      </c>
      <c r="BC22" s="259" t="s">
        <v>2192</v>
      </c>
    </row>
    <row r="23" spans="1:55" ht="135">
      <c r="A23" s="259">
        <v>298</v>
      </c>
      <c r="B23" s="259" t="s">
        <v>2263</v>
      </c>
      <c r="C23" s="259" t="s">
        <v>2264</v>
      </c>
      <c r="D23" s="259" t="s">
        <v>8</v>
      </c>
      <c r="E23" s="259" t="s">
        <v>9</v>
      </c>
      <c r="F23" s="259" t="s">
        <v>1753</v>
      </c>
      <c r="G23" s="274">
        <v>44746</v>
      </c>
      <c r="H23" s="274"/>
      <c r="I23" s="274"/>
      <c r="N23" s="259" t="s">
        <v>122</v>
      </c>
      <c r="P23" s="259" t="s">
        <v>1554</v>
      </c>
      <c r="Q23" s="259" t="s">
        <v>2198</v>
      </c>
      <c r="R23" s="274">
        <v>44571.51803240741</v>
      </c>
      <c r="S23" s="321">
        <v>2022</v>
      </c>
      <c r="T23" s="259" t="s">
        <v>2001</v>
      </c>
      <c r="U23" s="259" t="s">
        <v>630</v>
      </c>
      <c r="V23" s="259" t="s">
        <v>631</v>
      </c>
      <c r="W23" s="259" t="s">
        <v>145</v>
      </c>
      <c r="X23" s="259" t="s">
        <v>309</v>
      </c>
      <c r="Y23" s="365">
        <v>44835</v>
      </c>
      <c r="Z23" s="259" t="s">
        <v>1875</v>
      </c>
      <c r="AA23" s="274"/>
      <c r="AB23" s="259" t="s">
        <v>139</v>
      </c>
      <c r="AC23" s="259" t="s">
        <v>1875</v>
      </c>
      <c r="AD23" s="259">
        <v>900</v>
      </c>
      <c r="AE23" s="259">
        <v>900</v>
      </c>
      <c r="AF23" s="274"/>
      <c r="AJ23" s="319" t="s">
        <v>2191</v>
      </c>
      <c r="AK23" s="274"/>
      <c r="AL23" s="319" t="s">
        <v>2190</v>
      </c>
      <c r="AM23" s="259" t="s">
        <v>1975</v>
      </c>
      <c r="AN23" s="259" t="b">
        <v>0</v>
      </c>
      <c r="AP23" s="274"/>
      <c r="AQ23" s="274"/>
      <c r="AR23" s="274"/>
      <c r="AT23" s="274"/>
      <c r="AU23" s="274"/>
      <c r="AZ23" s="274"/>
      <c r="BA23" s="259" t="s">
        <v>373</v>
      </c>
      <c r="BB23" s="259" t="s">
        <v>1610</v>
      </c>
      <c r="BC23" s="259" t="s">
        <v>2192</v>
      </c>
    </row>
    <row r="24" spans="1:55" ht="135">
      <c r="A24" s="259">
        <v>299</v>
      </c>
      <c r="B24" s="259" t="s">
        <v>2227</v>
      </c>
      <c r="C24" s="259" t="s">
        <v>2265</v>
      </c>
      <c r="D24" s="259" t="s">
        <v>8</v>
      </c>
      <c r="E24" s="259" t="s">
        <v>9</v>
      </c>
      <c r="F24" s="259" t="s">
        <v>1753</v>
      </c>
      <c r="G24" s="274">
        <v>44746</v>
      </c>
      <c r="H24" s="274"/>
      <c r="I24" s="274"/>
      <c r="N24" s="259" t="s">
        <v>122</v>
      </c>
      <c r="P24" s="259" t="s">
        <v>1554</v>
      </c>
      <c r="Q24" s="259" t="s">
        <v>2198</v>
      </c>
      <c r="R24" s="274">
        <v>44571.518472222226</v>
      </c>
      <c r="S24" s="321">
        <v>2022</v>
      </c>
      <c r="T24" s="259" t="s">
        <v>2001</v>
      </c>
      <c r="U24" s="259" t="s">
        <v>630</v>
      </c>
      <c r="V24" s="259" t="s">
        <v>631</v>
      </c>
      <c r="W24" s="259" t="s">
        <v>145</v>
      </c>
      <c r="X24" s="259" t="s">
        <v>309</v>
      </c>
      <c r="Y24" s="365">
        <v>44835</v>
      </c>
      <c r="Z24" s="259" t="s">
        <v>1875</v>
      </c>
      <c r="AA24" s="274"/>
      <c r="AB24" s="259" t="s">
        <v>139</v>
      </c>
      <c r="AC24" s="259" t="s">
        <v>1875</v>
      </c>
      <c r="AD24" s="259">
        <v>900</v>
      </c>
      <c r="AE24" s="259">
        <v>900</v>
      </c>
      <c r="AF24" s="274"/>
      <c r="AJ24" s="319" t="s">
        <v>2191</v>
      </c>
      <c r="AK24" s="274"/>
      <c r="AL24" s="319" t="s">
        <v>2190</v>
      </c>
      <c r="AM24" s="259" t="s">
        <v>1975</v>
      </c>
      <c r="AN24" s="259" t="b">
        <v>0</v>
      </c>
      <c r="AP24" s="274"/>
      <c r="AQ24" s="274"/>
      <c r="AR24" s="274"/>
      <c r="AT24" s="274"/>
      <c r="AU24" s="274"/>
      <c r="AZ24" s="274"/>
      <c r="BA24" s="259" t="s">
        <v>373</v>
      </c>
      <c r="BB24" s="259" t="s">
        <v>1610</v>
      </c>
      <c r="BC24" s="259" t="s">
        <v>2192</v>
      </c>
    </row>
    <row r="25" spans="1:55" ht="135">
      <c r="A25" s="259">
        <v>300</v>
      </c>
      <c r="B25" s="259" t="s">
        <v>2266</v>
      </c>
      <c r="C25" s="259" t="s">
        <v>2267</v>
      </c>
      <c r="D25" s="259" t="s">
        <v>8</v>
      </c>
      <c r="E25" s="259" t="s">
        <v>9</v>
      </c>
      <c r="F25" s="259" t="s">
        <v>1753</v>
      </c>
      <c r="G25" s="274">
        <v>44746</v>
      </c>
      <c r="H25" s="274"/>
      <c r="I25" s="274"/>
      <c r="N25" s="259" t="s">
        <v>122</v>
      </c>
      <c r="P25" s="259" t="s">
        <v>1554</v>
      </c>
      <c r="Q25" s="259" t="s">
        <v>2198</v>
      </c>
      <c r="R25" s="274">
        <v>44571.518993055557</v>
      </c>
      <c r="S25" s="321">
        <v>2022</v>
      </c>
      <c r="T25" s="259" t="s">
        <v>2001</v>
      </c>
      <c r="U25" s="259" t="s">
        <v>630</v>
      </c>
      <c r="V25" s="259" t="s">
        <v>631</v>
      </c>
      <c r="W25" s="259" t="s">
        <v>145</v>
      </c>
      <c r="X25" s="259" t="s">
        <v>309</v>
      </c>
      <c r="Y25" s="365">
        <v>44835</v>
      </c>
      <c r="Z25" s="259" t="s">
        <v>1875</v>
      </c>
      <c r="AA25" s="274"/>
      <c r="AB25" s="259" t="s">
        <v>139</v>
      </c>
      <c r="AC25" s="259" t="s">
        <v>1875</v>
      </c>
      <c r="AD25" s="259">
        <v>900</v>
      </c>
      <c r="AE25" s="259">
        <v>900</v>
      </c>
      <c r="AF25" s="274"/>
      <c r="AJ25" s="319" t="s">
        <v>2191</v>
      </c>
      <c r="AK25" s="274"/>
      <c r="AL25" s="319" t="s">
        <v>2190</v>
      </c>
      <c r="AM25" s="259" t="s">
        <v>1975</v>
      </c>
      <c r="AN25" s="259" t="b">
        <v>0</v>
      </c>
      <c r="AP25" s="274"/>
      <c r="AQ25" s="274"/>
      <c r="AR25" s="274"/>
      <c r="AT25" s="274"/>
      <c r="AU25" s="274"/>
      <c r="AZ25" s="274"/>
      <c r="BA25" s="259" t="s">
        <v>373</v>
      </c>
      <c r="BB25" s="259" t="s">
        <v>1610</v>
      </c>
      <c r="BC25" s="259" t="s">
        <v>2192</v>
      </c>
    </row>
    <row r="26" spans="1:55" ht="135">
      <c r="A26" s="259">
        <v>301</v>
      </c>
      <c r="B26" s="259" t="s">
        <v>2268</v>
      </c>
      <c r="C26" s="259" t="s">
        <v>2269</v>
      </c>
      <c r="D26" s="259" t="s">
        <v>8</v>
      </c>
      <c r="E26" s="259" t="s">
        <v>9</v>
      </c>
      <c r="F26" s="259" t="s">
        <v>1753</v>
      </c>
      <c r="G26" s="274">
        <v>44746</v>
      </c>
      <c r="H26" s="274"/>
      <c r="I26" s="274"/>
      <c r="N26" s="259" t="s">
        <v>122</v>
      </c>
      <c r="P26" s="259" t="s">
        <v>1554</v>
      </c>
      <c r="Q26" s="259" t="s">
        <v>2198</v>
      </c>
      <c r="R26" s="274">
        <v>44571.519328703704</v>
      </c>
      <c r="S26" s="321">
        <v>2022</v>
      </c>
      <c r="T26" s="259" t="s">
        <v>2001</v>
      </c>
      <c r="U26" s="259" t="s">
        <v>630</v>
      </c>
      <c r="V26" s="259" t="s">
        <v>631</v>
      </c>
      <c r="W26" s="259" t="s">
        <v>145</v>
      </c>
      <c r="X26" s="259" t="s">
        <v>309</v>
      </c>
      <c r="Y26" s="365">
        <v>44835</v>
      </c>
      <c r="Z26" s="259" t="s">
        <v>1875</v>
      </c>
      <c r="AA26" s="274"/>
      <c r="AB26" s="259" t="s">
        <v>139</v>
      </c>
      <c r="AC26" s="259" t="s">
        <v>1875</v>
      </c>
      <c r="AD26" s="259">
        <v>900</v>
      </c>
      <c r="AE26" s="259">
        <v>900</v>
      </c>
      <c r="AF26" s="274"/>
      <c r="AJ26" s="319" t="s">
        <v>2191</v>
      </c>
      <c r="AK26" s="274"/>
      <c r="AL26" s="319" t="s">
        <v>2190</v>
      </c>
      <c r="AM26" s="259" t="s">
        <v>1975</v>
      </c>
      <c r="AN26" s="259" t="b">
        <v>0</v>
      </c>
      <c r="AP26" s="274"/>
      <c r="AQ26" s="274"/>
      <c r="AR26" s="274"/>
      <c r="AT26" s="274"/>
      <c r="AU26" s="274"/>
      <c r="AZ26" s="274"/>
      <c r="BA26" s="259" t="s">
        <v>373</v>
      </c>
      <c r="BB26" s="259" t="s">
        <v>1610</v>
      </c>
      <c r="BC26" s="259" t="s">
        <v>2192</v>
      </c>
    </row>
    <row r="27" spans="1:55" ht="135">
      <c r="A27" s="259">
        <v>302</v>
      </c>
      <c r="B27" s="259" t="s">
        <v>2229</v>
      </c>
      <c r="C27" s="259" t="s">
        <v>2270</v>
      </c>
      <c r="D27" s="259" t="s">
        <v>8</v>
      </c>
      <c r="E27" s="259" t="s">
        <v>9</v>
      </c>
      <c r="F27" s="259" t="s">
        <v>1753</v>
      </c>
      <c r="G27" s="274">
        <v>44746</v>
      </c>
      <c r="H27" s="274"/>
      <c r="I27" s="274"/>
      <c r="N27" s="259" t="s">
        <v>122</v>
      </c>
      <c r="P27" s="259" t="s">
        <v>1554</v>
      </c>
      <c r="Q27" s="259" t="s">
        <v>2198</v>
      </c>
      <c r="R27" s="274">
        <v>44571.519745370373</v>
      </c>
      <c r="S27" s="321">
        <v>2022</v>
      </c>
      <c r="T27" s="259" t="s">
        <v>2001</v>
      </c>
      <c r="U27" s="259" t="s">
        <v>630</v>
      </c>
      <c r="V27" s="259" t="s">
        <v>631</v>
      </c>
      <c r="W27" s="259" t="s">
        <v>145</v>
      </c>
      <c r="X27" s="259" t="s">
        <v>309</v>
      </c>
      <c r="Y27" s="365">
        <v>44835</v>
      </c>
      <c r="Z27" s="259" t="s">
        <v>1875</v>
      </c>
      <c r="AA27" s="274"/>
      <c r="AB27" s="259" t="s">
        <v>139</v>
      </c>
      <c r="AC27" s="259" t="s">
        <v>1875</v>
      </c>
      <c r="AD27" s="259">
        <v>900</v>
      </c>
      <c r="AE27" s="259">
        <v>900</v>
      </c>
      <c r="AF27" s="274"/>
      <c r="AJ27" s="319" t="s">
        <v>2191</v>
      </c>
      <c r="AK27" s="274"/>
      <c r="AL27" s="319" t="s">
        <v>2190</v>
      </c>
      <c r="AM27" s="259" t="s">
        <v>1975</v>
      </c>
      <c r="AN27" s="259" t="b">
        <v>0</v>
      </c>
      <c r="AP27" s="274"/>
      <c r="AQ27" s="274"/>
      <c r="AR27" s="274"/>
      <c r="AT27" s="274"/>
      <c r="AU27" s="274"/>
      <c r="AZ27" s="274"/>
      <c r="BA27" s="259" t="s">
        <v>373</v>
      </c>
      <c r="BB27" s="259" t="s">
        <v>1610</v>
      </c>
      <c r="BC27" s="259" t="s">
        <v>2192</v>
      </c>
    </row>
    <row r="28" spans="1:55" ht="135">
      <c r="A28" s="259">
        <v>303</v>
      </c>
      <c r="B28" s="259" t="s">
        <v>2231</v>
      </c>
      <c r="C28" s="259" t="s">
        <v>2271</v>
      </c>
      <c r="D28" s="259" t="s">
        <v>8</v>
      </c>
      <c r="E28" s="259" t="s">
        <v>9</v>
      </c>
      <c r="F28" s="259" t="s">
        <v>1753</v>
      </c>
      <c r="G28" s="274">
        <v>44746</v>
      </c>
      <c r="H28" s="274"/>
      <c r="I28" s="274"/>
      <c r="N28" s="259" t="s">
        <v>122</v>
      </c>
      <c r="P28" s="259" t="s">
        <v>1554</v>
      </c>
      <c r="Q28" s="259" t="s">
        <v>2198</v>
      </c>
      <c r="R28" s="274">
        <v>44571.52008101852</v>
      </c>
      <c r="S28" s="321">
        <v>2022</v>
      </c>
      <c r="T28" s="259" t="s">
        <v>2001</v>
      </c>
      <c r="U28" s="259" t="s">
        <v>630</v>
      </c>
      <c r="V28" s="259" t="s">
        <v>631</v>
      </c>
      <c r="W28" s="259" t="s">
        <v>145</v>
      </c>
      <c r="X28" s="259" t="s">
        <v>309</v>
      </c>
      <c r="Y28" s="365">
        <v>44835</v>
      </c>
      <c r="Z28" s="259" t="s">
        <v>1875</v>
      </c>
      <c r="AA28" s="274"/>
      <c r="AB28" s="259" t="s">
        <v>139</v>
      </c>
      <c r="AC28" s="259" t="s">
        <v>1875</v>
      </c>
      <c r="AD28" s="259">
        <v>900</v>
      </c>
      <c r="AE28" s="259">
        <v>900</v>
      </c>
      <c r="AF28" s="274"/>
      <c r="AJ28" s="319" t="s">
        <v>2191</v>
      </c>
      <c r="AK28" s="274"/>
      <c r="AL28" s="319" t="s">
        <v>2190</v>
      </c>
      <c r="AM28" s="259" t="s">
        <v>1975</v>
      </c>
      <c r="AN28" s="259" t="b">
        <v>0</v>
      </c>
      <c r="AP28" s="274"/>
      <c r="AQ28" s="274"/>
      <c r="AR28" s="274"/>
      <c r="AT28" s="274"/>
      <c r="AU28" s="274"/>
      <c r="AZ28" s="274"/>
      <c r="BA28" s="259" t="s">
        <v>373</v>
      </c>
      <c r="BB28" s="259" t="s">
        <v>1610</v>
      </c>
      <c r="BC28" s="259" t="s">
        <v>2192</v>
      </c>
    </row>
    <row r="29" spans="1:55" ht="135">
      <c r="A29" s="259">
        <v>277</v>
      </c>
      <c r="B29" s="259" t="s">
        <v>2222</v>
      </c>
      <c r="C29" s="259" t="s">
        <v>2257</v>
      </c>
      <c r="D29" s="259" t="s">
        <v>8</v>
      </c>
      <c r="E29" s="259" t="s">
        <v>9</v>
      </c>
      <c r="F29" s="259" t="s">
        <v>1753</v>
      </c>
      <c r="G29" s="274">
        <v>44713</v>
      </c>
      <c r="H29" s="274"/>
      <c r="I29" s="274"/>
      <c r="N29" s="259" t="s">
        <v>122</v>
      </c>
      <c r="P29" s="259" t="s">
        <v>1554</v>
      </c>
      <c r="Q29" s="259" t="s">
        <v>2198</v>
      </c>
      <c r="R29" s="274">
        <v>44571.5156712963</v>
      </c>
      <c r="S29" s="321">
        <v>2022</v>
      </c>
      <c r="T29" s="259" t="s">
        <v>2001</v>
      </c>
      <c r="U29" s="259" t="s">
        <v>630</v>
      </c>
      <c r="V29" s="259" t="s">
        <v>631</v>
      </c>
      <c r="W29" s="259" t="s">
        <v>145</v>
      </c>
      <c r="X29" s="259" t="s">
        <v>309</v>
      </c>
      <c r="Y29" s="365">
        <v>44835</v>
      </c>
      <c r="Z29" s="259" t="s">
        <v>1875</v>
      </c>
      <c r="AA29" s="274"/>
      <c r="AB29" s="259" t="s">
        <v>139</v>
      </c>
      <c r="AC29" s="259" t="s">
        <v>1875</v>
      </c>
      <c r="AD29" s="259">
        <v>900</v>
      </c>
      <c r="AE29" s="259">
        <v>900</v>
      </c>
      <c r="AF29" s="274"/>
      <c r="AJ29" s="319" t="s">
        <v>2191</v>
      </c>
      <c r="AK29" s="274"/>
      <c r="AL29" s="319" t="s">
        <v>2190</v>
      </c>
      <c r="AM29" s="259" t="s">
        <v>1975</v>
      </c>
      <c r="AN29" s="259" t="b">
        <v>0</v>
      </c>
      <c r="AP29" s="274"/>
      <c r="AQ29" s="274"/>
      <c r="AR29" s="274"/>
      <c r="AT29" s="274"/>
      <c r="AU29" s="274"/>
      <c r="AZ29" s="274"/>
      <c r="BA29" s="259" t="s">
        <v>373</v>
      </c>
      <c r="BB29" s="259" t="s">
        <v>1610</v>
      </c>
      <c r="BC29" s="259" t="s">
        <v>2192</v>
      </c>
    </row>
    <row r="30" spans="1:55" ht="135">
      <c r="A30" s="259">
        <v>235</v>
      </c>
      <c r="B30" s="259" t="s">
        <v>2251</v>
      </c>
      <c r="C30" s="259" t="s">
        <v>2252</v>
      </c>
      <c r="D30" s="259" t="s">
        <v>8</v>
      </c>
      <c r="E30" s="259" t="s">
        <v>9</v>
      </c>
      <c r="F30" s="259" t="s">
        <v>1753</v>
      </c>
      <c r="G30" s="274">
        <v>44629</v>
      </c>
      <c r="H30" s="274"/>
      <c r="I30" s="274"/>
      <c r="N30" s="259" t="s">
        <v>122</v>
      </c>
      <c r="P30" s="259" t="s">
        <v>1554</v>
      </c>
      <c r="Q30" s="259" t="s">
        <v>2198</v>
      </c>
      <c r="R30" s="274">
        <v>44571.513912037037</v>
      </c>
      <c r="S30" s="321">
        <v>2022</v>
      </c>
      <c r="T30" s="259" t="s">
        <v>2001</v>
      </c>
      <c r="U30" s="259" t="s">
        <v>630</v>
      </c>
      <c r="V30" s="259" t="s">
        <v>631</v>
      </c>
      <c r="W30" s="259" t="s">
        <v>145</v>
      </c>
      <c r="X30" s="259" t="s">
        <v>309</v>
      </c>
      <c r="Y30" s="365">
        <v>44835</v>
      </c>
      <c r="Z30" s="259" t="s">
        <v>1875</v>
      </c>
      <c r="AA30" s="274"/>
      <c r="AB30" s="259" t="s">
        <v>139</v>
      </c>
      <c r="AC30" s="259" t="s">
        <v>1875</v>
      </c>
      <c r="AD30" s="259">
        <v>900</v>
      </c>
      <c r="AE30" s="259">
        <v>900</v>
      </c>
      <c r="AF30" s="274"/>
      <c r="AJ30" s="319" t="s">
        <v>2191</v>
      </c>
      <c r="AK30" s="274"/>
      <c r="AL30" s="319" t="s">
        <v>2190</v>
      </c>
      <c r="AM30" s="259" t="s">
        <v>1975</v>
      </c>
      <c r="AN30" s="259" t="b">
        <v>0</v>
      </c>
      <c r="AP30" s="274"/>
      <c r="AQ30" s="274"/>
      <c r="AR30" s="274"/>
      <c r="AT30" s="274"/>
      <c r="AU30" s="274"/>
      <c r="AZ30" s="274"/>
      <c r="BA30" s="259" t="s">
        <v>373</v>
      </c>
      <c r="BB30" s="259" t="s">
        <v>1610</v>
      </c>
      <c r="BC30" s="259" t="s">
        <v>2192</v>
      </c>
    </row>
    <row r="31" spans="1:55" ht="135">
      <c r="A31" s="259">
        <v>144</v>
      </c>
      <c r="B31" s="259" t="s">
        <v>2231</v>
      </c>
      <c r="C31" s="259" t="s">
        <v>2232</v>
      </c>
      <c r="D31" s="259" t="s">
        <v>8</v>
      </c>
      <c r="E31" s="259" t="s">
        <v>9</v>
      </c>
      <c r="F31" s="259" t="s">
        <v>1753</v>
      </c>
      <c r="G31" s="274">
        <v>44372</v>
      </c>
      <c r="H31" s="274"/>
      <c r="I31" s="274"/>
      <c r="N31" s="259" t="s">
        <v>122</v>
      </c>
      <c r="P31" s="259" t="s">
        <v>1554</v>
      </c>
      <c r="Q31" s="259" t="s">
        <v>2198</v>
      </c>
      <c r="R31" s="274">
        <v>44571.495567129627</v>
      </c>
      <c r="S31" s="321">
        <v>2021</v>
      </c>
      <c r="T31" s="259" t="s">
        <v>2001</v>
      </c>
      <c r="U31" s="259" t="s">
        <v>630</v>
      </c>
      <c r="V31" s="259" t="s">
        <v>631</v>
      </c>
      <c r="W31" s="259" t="s">
        <v>145</v>
      </c>
      <c r="X31" s="259" t="s">
        <v>309</v>
      </c>
      <c r="Y31" s="365">
        <v>44835</v>
      </c>
      <c r="Z31" s="259" t="s">
        <v>1875</v>
      </c>
      <c r="AA31" s="274"/>
      <c r="AB31" s="259" t="s">
        <v>139</v>
      </c>
      <c r="AC31" s="259" t="s">
        <v>1875</v>
      </c>
      <c r="AD31" s="259">
        <v>900</v>
      </c>
      <c r="AE31" s="259">
        <v>900</v>
      </c>
      <c r="AF31" s="274"/>
      <c r="AJ31" s="319" t="s">
        <v>2191</v>
      </c>
      <c r="AK31" s="274"/>
      <c r="AL31" s="319" t="s">
        <v>2190</v>
      </c>
      <c r="AM31" s="259" t="s">
        <v>1975</v>
      </c>
      <c r="AN31" s="259" t="b">
        <v>0</v>
      </c>
      <c r="AP31" s="274"/>
      <c r="AQ31" s="274"/>
      <c r="AR31" s="274"/>
      <c r="AT31" s="274"/>
      <c r="AU31" s="274"/>
      <c r="AZ31" s="274"/>
      <c r="BA31" s="259" t="s">
        <v>373</v>
      </c>
      <c r="BB31" s="259" t="s">
        <v>1610</v>
      </c>
      <c r="BC31" s="259" t="s">
        <v>2192</v>
      </c>
    </row>
    <row r="32" spans="1:55" ht="135">
      <c r="A32" s="259">
        <v>9</v>
      </c>
      <c r="B32" s="259" t="s">
        <v>2199</v>
      </c>
      <c r="C32" s="259" t="s">
        <v>2200</v>
      </c>
      <c r="D32" s="259" t="s">
        <v>8</v>
      </c>
      <c r="E32" s="259" t="s">
        <v>9</v>
      </c>
      <c r="F32" s="259" t="s">
        <v>1753</v>
      </c>
      <c r="G32" s="274">
        <v>43416</v>
      </c>
      <c r="H32" s="274">
        <v>43983</v>
      </c>
      <c r="I32" s="274"/>
      <c r="N32" s="259" t="s">
        <v>122</v>
      </c>
      <c r="P32" s="259" t="s">
        <v>1554</v>
      </c>
      <c r="Q32" s="259" t="s">
        <v>2198</v>
      </c>
      <c r="R32" s="274">
        <v>44571.453287037039</v>
      </c>
      <c r="S32" s="321">
        <v>2018</v>
      </c>
      <c r="T32" s="259" t="s">
        <v>2001</v>
      </c>
      <c r="U32" s="259" t="s">
        <v>630</v>
      </c>
      <c r="V32" s="259" t="s">
        <v>631</v>
      </c>
      <c r="W32" s="259" t="s">
        <v>145</v>
      </c>
      <c r="X32" s="259" t="s">
        <v>309</v>
      </c>
      <c r="Y32" s="365">
        <v>44835</v>
      </c>
      <c r="Z32" s="259" t="s">
        <v>1875</v>
      </c>
      <c r="AA32" s="274"/>
      <c r="AB32" s="259" t="s">
        <v>139</v>
      </c>
      <c r="AC32" s="259" t="s">
        <v>1875</v>
      </c>
      <c r="AD32" s="259">
        <v>900</v>
      </c>
      <c r="AE32" s="259">
        <v>900</v>
      </c>
      <c r="AF32" s="274"/>
      <c r="AJ32" s="319" t="s">
        <v>2191</v>
      </c>
      <c r="AK32" s="274"/>
      <c r="AL32" s="319" t="s">
        <v>2190</v>
      </c>
      <c r="AM32" s="259" t="s">
        <v>1975</v>
      </c>
      <c r="AN32" s="259" t="b">
        <v>0</v>
      </c>
      <c r="AP32" s="274"/>
      <c r="AQ32" s="274"/>
      <c r="AR32" s="274"/>
      <c r="AT32" s="274"/>
      <c r="AU32" s="274"/>
      <c r="AZ32" s="274"/>
      <c r="BA32" s="259" t="s">
        <v>373</v>
      </c>
      <c r="BB32" s="259" t="s">
        <v>1610</v>
      </c>
      <c r="BC32" s="259" t="s">
        <v>2192</v>
      </c>
    </row>
    <row r="33" spans="1:55" ht="135">
      <c r="A33" s="259">
        <v>10</v>
      </c>
      <c r="B33" s="259" t="s">
        <v>2201</v>
      </c>
      <c r="C33" s="259" t="s">
        <v>2202</v>
      </c>
      <c r="D33" s="259" t="s">
        <v>8</v>
      </c>
      <c r="E33" s="259" t="s">
        <v>9</v>
      </c>
      <c r="F33" s="259" t="s">
        <v>1753</v>
      </c>
      <c r="G33" s="274">
        <v>43433</v>
      </c>
      <c r="H33" s="274">
        <v>44000</v>
      </c>
      <c r="I33" s="274"/>
      <c r="N33" s="259" t="s">
        <v>122</v>
      </c>
      <c r="P33" s="259" t="s">
        <v>1554</v>
      </c>
      <c r="Q33" s="259" t="s">
        <v>2198</v>
      </c>
      <c r="R33" s="274">
        <v>44571.454039351855</v>
      </c>
      <c r="S33" s="321">
        <v>2018</v>
      </c>
      <c r="T33" s="259" t="s">
        <v>2001</v>
      </c>
      <c r="U33" s="259" t="s">
        <v>630</v>
      </c>
      <c r="V33" s="259" t="s">
        <v>631</v>
      </c>
      <c r="W33" s="259" t="s">
        <v>145</v>
      </c>
      <c r="X33" s="259" t="s">
        <v>309</v>
      </c>
      <c r="Y33" s="365">
        <v>44835</v>
      </c>
      <c r="Z33" s="259" t="s">
        <v>1875</v>
      </c>
      <c r="AA33" s="274"/>
      <c r="AB33" s="259" t="s">
        <v>139</v>
      </c>
      <c r="AC33" s="259" t="s">
        <v>1875</v>
      </c>
      <c r="AD33" s="259">
        <v>900</v>
      </c>
      <c r="AE33" s="259">
        <v>900</v>
      </c>
      <c r="AF33" s="274"/>
      <c r="AJ33" s="319" t="s">
        <v>2191</v>
      </c>
      <c r="AK33" s="274"/>
      <c r="AL33" s="319" t="s">
        <v>2190</v>
      </c>
      <c r="AM33" s="259" t="s">
        <v>1975</v>
      </c>
      <c r="AN33" s="259" t="b">
        <v>0</v>
      </c>
      <c r="AP33" s="274"/>
      <c r="AQ33" s="274"/>
      <c r="AR33" s="274"/>
      <c r="AT33" s="274"/>
      <c r="AU33" s="274"/>
      <c r="AZ33" s="274"/>
      <c r="BA33" s="259" t="s">
        <v>373</v>
      </c>
      <c r="BB33" s="259" t="s">
        <v>1610</v>
      </c>
      <c r="BC33" s="259" t="s">
        <v>2192</v>
      </c>
    </row>
    <row r="34" spans="1:55" ht="135">
      <c r="A34" s="259">
        <v>11</v>
      </c>
      <c r="B34" s="259" t="s">
        <v>2203</v>
      </c>
      <c r="C34" s="259" t="s">
        <v>2204</v>
      </c>
      <c r="D34" s="259" t="s">
        <v>8</v>
      </c>
      <c r="E34" s="259" t="s">
        <v>9</v>
      </c>
      <c r="F34" s="259" t="s">
        <v>1753</v>
      </c>
      <c r="G34" s="274">
        <v>43463</v>
      </c>
      <c r="H34" s="274">
        <v>44000</v>
      </c>
      <c r="I34" s="274"/>
      <c r="N34" s="259" t="s">
        <v>122</v>
      </c>
      <c r="P34" s="259" t="s">
        <v>1554</v>
      </c>
      <c r="Q34" s="259" t="s">
        <v>2198</v>
      </c>
      <c r="R34" s="274">
        <v>44571.455057870371</v>
      </c>
      <c r="S34" s="321">
        <v>2018</v>
      </c>
      <c r="T34" s="259" t="s">
        <v>2001</v>
      </c>
      <c r="U34" s="259" t="s">
        <v>630</v>
      </c>
      <c r="V34" s="259" t="s">
        <v>631</v>
      </c>
      <c r="W34" s="259" t="s">
        <v>145</v>
      </c>
      <c r="X34" s="259" t="s">
        <v>309</v>
      </c>
      <c r="Y34" s="365">
        <v>44835</v>
      </c>
      <c r="Z34" s="259" t="s">
        <v>1875</v>
      </c>
      <c r="AA34" s="274"/>
      <c r="AB34" s="259" t="s">
        <v>139</v>
      </c>
      <c r="AC34" s="259" t="s">
        <v>1875</v>
      </c>
      <c r="AD34" s="259">
        <v>900</v>
      </c>
      <c r="AE34" s="259">
        <v>900</v>
      </c>
      <c r="AF34" s="274"/>
      <c r="AJ34" s="319" t="s">
        <v>2191</v>
      </c>
      <c r="AK34" s="274"/>
      <c r="AL34" s="319" t="s">
        <v>2190</v>
      </c>
      <c r="AM34" s="259" t="s">
        <v>1975</v>
      </c>
      <c r="AN34" s="259" t="b">
        <v>0</v>
      </c>
      <c r="AP34" s="274"/>
      <c r="AQ34" s="274"/>
      <c r="AR34" s="274"/>
      <c r="AT34" s="274"/>
      <c r="AU34" s="274"/>
      <c r="AZ34" s="274"/>
      <c r="BA34" s="259" t="s">
        <v>373</v>
      </c>
      <c r="BB34" s="259" t="s">
        <v>1610</v>
      </c>
      <c r="BC34" s="259" t="s">
        <v>2192</v>
      </c>
    </row>
    <row r="35" spans="1:55" ht="135">
      <c r="A35" s="259">
        <v>224</v>
      </c>
      <c r="B35" s="259" t="s">
        <v>2249</v>
      </c>
      <c r="C35" s="259" t="s">
        <v>2250</v>
      </c>
      <c r="D35" s="259" t="s">
        <v>8</v>
      </c>
      <c r="E35" s="259" t="s">
        <v>9</v>
      </c>
      <c r="F35" s="259" t="s">
        <v>1753</v>
      </c>
      <c r="G35" s="274">
        <v>44607</v>
      </c>
      <c r="H35" s="274"/>
      <c r="I35" s="274"/>
      <c r="N35" s="259" t="s">
        <v>122</v>
      </c>
      <c r="P35" s="259" t="s">
        <v>1554</v>
      </c>
      <c r="Q35" s="259" t="s">
        <v>2198</v>
      </c>
      <c r="R35" s="274">
        <v>44571.505682870367</v>
      </c>
      <c r="S35" s="321">
        <v>2022</v>
      </c>
      <c r="T35" s="259" t="s">
        <v>2001</v>
      </c>
      <c r="U35" s="259" t="s">
        <v>630</v>
      </c>
      <c r="V35" s="259" t="s">
        <v>631</v>
      </c>
      <c r="W35" s="259" t="s">
        <v>145</v>
      </c>
      <c r="X35" s="259" t="s">
        <v>309</v>
      </c>
      <c r="Y35" s="365">
        <v>44835</v>
      </c>
      <c r="Z35" s="259" t="s">
        <v>1875</v>
      </c>
      <c r="AA35" s="274"/>
      <c r="AB35" s="259" t="s">
        <v>139</v>
      </c>
      <c r="AC35" s="259" t="s">
        <v>1875</v>
      </c>
      <c r="AD35" s="259">
        <v>900</v>
      </c>
      <c r="AE35" s="259">
        <v>900</v>
      </c>
      <c r="AF35" s="274"/>
      <c r="AJ35" s="319" t="s">
        <v>2191</v>
      </c>
      <c r="AK35" s="274"/>
      <c r="AL35" s="319" t="s">
        <v>2190</v>
      </c>
      <c r="AM35" s="259" t="s">
        <v>1975</v>
      </c>
      <c r="AN35" s="259" t="b">
        <v>0</v>
      </c>
      <c r="AP35" s="274"/>
      <c r="AQ35" s="274"/>
      <c r="AR35" s="274"/>
      <c r="AT35" s="274"/>
      <c r="AU35" s="274"/>
      <c r="AZ35" s="274"/>
      <c r="BA35" s="259" t="s">
        <v>373</v>
      </c>
      <c r="BB35" s="259" t="s">
        <v>1610</v>
      </c>
      <c r="BC35" s="259" t="s">
        <v>2192</v>
      </c>
    </row>
    <row r="36" spans="1:55" ht="135">
      <c r="A36" s="259">
        <v>15</v>
      </c>
      <c r="B36" s="259" t="s">
        <v>2207</v>
      </c>
      <c r="C36" s="259" t="s">
        <v>2208</v>
      </c>
      <c r="D36" s="259" t="s">
        <v>8</v>
      </c>
      <c r="E36" s="259" t="s">
        <v>9</v>
      </c>
      <c r="F36" s="259" t="s">
        <v>1753</v>
      </c>
      <c r="G36" s="274">
        <v>43574</v>
      </c>
      <c r="H36" s="274">
        <v>44015</v>
      </c>
      <c r="I36" s="274"/>
      <c r="N36" s="259" t="s">
        <v>122</v>
      </c>
      <c r="P36" s="259" t="s">
        <v>1554</v>
      </c>
      <c r="Q36" s="259" t="s">
        <v>2198</v>
      </c>
      <c r="R36" s="274">
        <v>44571.458680555559</v>
      </c>
      <c r="S36" s="321">
        <v>2019</v>
      </c>
      <c r="T36" s="259" t="s">
        <v>2001</v>
      </c>
      <c r="U36" s="259" t="s">
        <v>630</v>
      </c>
      <c r="V36" s="259" t="s">
        <v>631</v>
      </c>
      <c r="W36" s="259" t="s">
        <v>145</v>
      </c>
      <c r="X36" s="259" t="s">
        <v>309</v>
      </c>
      <c r="Y36" s="365">
        <v>44835</v>
      </c>
      <c r="Z36" s="259" t="s">
        <v>1875</v>
      </c>
      <c r="AA36" s="274"/>
      <c r="AB36" s="259" t="s">
        <v>139</v>
      </c>
      <c r="AC36" s="259" t="s">
        <v>1875</v>
      </c>
      <c r="AD36" s="259">
        <v>900</v>
      </c>
      <c r="AE36" s="259">
        <v>900</v>
      </c>
      <c r="AF36" s="274"/>
      <c r="AJ36" s="319" t="s">
        <v>2191</v>
      </c>
      <c r="AK36" s="274"/>
      <c r="AL36" s="319" t="s">
        <v>2190</v>
      </c>
      <c r="AM36" s="259" t="s">
        <v>1975</v>
      </c>
      <c r="AN36" s="259" t="b">
        <v>0</v>
      </c>
      <c r="AP36" s="274"/>
      <c r="AQ36" s="274"/>
      <c r="AR36" s="274"/>
      <c r="AT36" s="274"/>
      <c r="AU36" s="274"/>
      <c r="AZ36" s="274"/>
      <c r="BA36" s="259" t="s">
        <v>373</v>
      </c>
      <c r="BB36" s="259" t="s">
        <v>1610</v>
      </c>
      <c r="BC36" s="259" t="s">
        <v>2192</v>
      </c>
    </row>
    <row r="37" spans="1:55" ht="135">
      <c r="A37" s="259">
        <v>16</v>
      </c>
      <c r="B37" s="259" t="s">
        <v>2209</v>
      </c>
      <c r="C37" s="259" t="s">
        <v>2210</v>
      </c>
      <c r="D37" s="259" t="s">
        <v>8</v>
      </c>
      <c r="E37" s="259" t="s">
        <v>9</v>
      </c>
      <c r="F37" s="259" t="s">
        <v>1753</v>
      </c>
      <c r="G37" s="274">
        <v>43579</v>
      </c>
      <c r="H37" s="274">
        <v>44016</v>
      </c>
      <c r="I37" s="274"/>
      <c r="N37" s="259" t="s">
        <v>122</v>
      </c>
      <c r="P37" s="259" t="s">
        <v>1554</v>
      </c>
      <c r="Q37" s="259" t="s">
        <v>2198</v>
      </c>
      <c r="R37" s="274">
        <v>44571.473298611112</v>
      </c>
      <c r="S37" s="321">
        <v>2019</v>
      </c>
      <c r="T37" s="259" t="s">
        <v>2001</v>
      </c>
      <c r="U37" s="259" t="s">
        <v>630</v>
      </c>
      <c r="V37" s="259" t="s">
        <v>631</v>
      </c>
      <c r="W37" s="259" t="s">
        <v>145</v>
      </c>
      <c r="X37" s="259" t="s">
        <v>309</v>
      </c>
      <c r="Y37" s="365">
        <v>44835</v>
      </c>
      <c r="Z37" s="259" t="s">
        <v>1875</v>
      </c>
      <c r="AA37" s="274"/>
      <c r="AB37" s="259" t="s">
        <v>139</v>
      </c>
      <c r="AC37" s="259" t="s">
        <v>1875</v>
      </c>
      <c r="AD37" s="259">
        <v>900</v>
      </c>
      <c r="AE37" s="259">
        <v>900</v>
      </c>
      <c r="AF37" s="274"/>
      <c r="AJ37" s="319" t="s">
        <v>2191</v>
      </c>
      <c r="AK37" s="274"/>
      <c r="AL37" s="319" t="s">
        <v>2190</v>
      </c>
      <c r="AM37" s="259" t="s">
        <v>1975</v>
      </c>
      <c r="AN37" s="259" t="b">
        <v>0</v>
      </c>
      <c r="AP37" s="274"/>
      <c r="AQ37" s="274"/>
      <c r="AR37" s="274"/>
      <c r="AT37" s="274"/>
      <c r="AU37" s="274"/>
      <c r="AZ37" s="274"/>
      <c r="BA37" s="259" t="s">
        <v>373</v>
      </c>
      <c r="BB37" s="259" t="s">
        <v>1610</v>
      </c>
      <c r="BC37" s="259" t="s">
        <v>2192</v>
      </c>
    </row>
    <row r="38" spans="1:55" ht="135">
      <c r="A38" s="259">
        <v>18</v>
      </c>
      <c r="B38" s="259" t="s">
        <v>2211</v>
      </c>
      <c r="C38" s="259" t="s">
        <v>2212</v>
      </c>
      <c r="D38" s="259" t="s">
        <v>8</v>
      </c>
      <c r="E38" s="259" t="s">
        <v>9</v>
      </c>
      <c r="F38" s="259" t="s">
        <v>1753</v>
      </c>
      <c r="G38" s="274">
        <v>43740</v>
      </c>
      <c r="H38" s="274">
        <v>43995</v>
      </c>
      <c r="I38" s="274"/>
      <c r="N38" s="259" t="s">
        <v>122</v>
      </c>
      <c r="P38" s="259" t="s">
        <v>1554</v>
      </c>
      <c r="Q38" s="259" t="s">
        <v>2198</v>
      </c>
      <c r="R38" s="274">
        <v>44571.47552083333</v>
      </c>
      <c r="S38" s="321">
        <v>2019</v>
      </c>
      <c r="T38" s="259" t="s">
        <v>2001</v>
      </c>
      <c r="U38" s="259" t="s">
        <v>630</v>
      </c>
      <c r="V38" s="259" t="s">
        <v>631</v>
      </c>
      <c r="W38" s="259" t="s">
        <v>145</v>
      </c>
      <c r="X38" s="259" t="s">
        <v>309</v>
      </c>
      <c r="Y38" s="365">
        <v>44835</v>
      </c>
      <c r="Z38" s="259" t="s">
        <v>1875</v>
      </c>
      <c r="AA38" s="274"/>
      <c r="AB38" s="259" t="s">
        <v>139</v>
      </c>
      <c r="AC38" s="259" t="s">
        <v>1875</v>
      </c>
      <c r="AD38" s="259">
        <v>900</v>
      </c>
      <c r="AE38" s="259">
        <v>900</v>
      </c>
      <c r="AF38" s="274"/>
      <c r="AJ38" s="319" t="s">
        <v>2191</v>
      </c>
      <c r="AK38" s="274"/>
      <c r="AL38" s="319" t="s">
        <v>2190</v>
      </c>
      <c r="AM38" s="259" t="s">
        <v>1975</v>
      </c>
      <c r="AN38" s="259" t="b">
        <v>0</v>
      </c>
      <c r="AP38" s="274"/>
      <c r="AQ38" s="274"/>
      <c r="AR38" s="274"/>
      <c r="AT38" s="274"/>
      <c r="AU38" s="274"/>
      <c r="AZ38" s="274"/>
      <c r="BA38" s="259" t="s">
        <v>373</v>
      </c>
      <c r="BB38" s="259" t="s">
        <v>1610</v>
      </c>
      <c r="BC38" s="259" t="s">
        <v>2192</v>
      </c>
    </row>
    <row r="39" spans="1:55" ht="135">
      <c r="A39" s="259">
        <v>134</v>
      </c>
      <c r="B39" s="259" t="s">
        <v>2227</v>
      </c>
      <c r="C39" s="259" t="s">
        <v>2228</v>
      </c>
      <c r="D39" s="259" t="s">
        <v>8</v>
      </c>
      <c r="E39" s="259" t="s">
        <v>9</v>
      </c>
      <c r="F39" s="259" t="s">
        <v>1753</v>
      </c>
      <c r="G39" s="274">
        <v>44357</v>
      </c>
      <c r="H39" s="274"/>
      <c r="I39" s="274"/>
      <c r="N39" s="259" t="s">
        <v>122</v>
      </c>
      <c r="P39" s="259" t="s">
        <v>1554</v>
      </c>
      <c r="Q39" s="259" t="s">
        <v>2198</v>
      </c>
      <c r="R39" s="274">
        <v>44571.494421296295</v>
      </c>
      <c r="S39" s="321">
        <v>2021</v>
      </c>
      <c r="T39" s="259" t="s">
        <v>2001</v>
      </c>
      <c r="U39" s="259" t="s">
        <v>630</v>
      </c>
      <c r="V39" s="259" t="s">
        <v>631</v>
      </c>
      <c r="W39" s="259" t="s">
        <v>145</v>
      </c>
      <c r="X39" s="259" t="s">
        <v>309</v>
      </c>
      <c r="Y39" s="365">
        <v>44835</v>
      </c>
      <c r="Z39" s="259" t="s">
        <v>1875</v>
      </c>
      <c r="AA39" s="274"/>
      <c r="AB39" s="259" t="s">
        <v>139</v>
      </c>
      <c r="AC39" s="259" t="s">
        <v>1875</v>
      </c>
      <c r="AD39" s="259">
        <v>900</v>
      </c>
      <c r="AE39" s="259">
        <v>900</v>
      </c>
      <c r="AF39" s="274"/>
      <c r="AJ39" s="319" t="s">
        <v>2191</v>
      </c>
      <c r="AK39" s="274"/>
      <c r="AL39" s="319" t="s">
        <v>2190</v>
      </c>
      <c r="AM39" s="259" t="s">
        <v>1975</v>
      </c>
      <c r="AN39" s="259" t="b">
        <v>0</v>
      </c>
      <c r="AP39" s="274"/>
      <c r="AQ39" s="274"/>
      <c r="AR39" s="274"/>
      <c r="AT39" s="274"/>
      <c r="AU39" s="274"/>
      <c r="AZ39" s="274"/>
      <c r="BA39" s="259" t="s">
        <v>373</v>
      </c>
      <c r="BB39" s="259" t="s">
        <v>1610</v>
      </c>
      <c r="BC39" s="259" t="s">
        <v>2192</v>
      </c>
    </row>
    <row r="40" spans="1:55" ht="135">
      <c r="A40" s="259">
        <v>14</v>
      </c>
      <c r="B40" s="259" t="s">
        <v>2205</v>
      </c>
      <c r="C40" s="259" t="s">
        <v>2206</v>
      </c>
      <c r="D40" s="259" t="s">
        <v>8</v>
      </c>
      <c r="E40" s="259" t="s">
        <v>9</v>
      </c>
      <c r="F40" s="259" t="s">
        <v>1753</v>
      </c>
      <c r="G40" s="274">
        <v>43538</v>
      </c>
      <c r="H40" s="274">
        <v>44016</v>
      </c>
      <c r="I40" s="274"/>
      <c r="N40" s="259" t="s">
        <v>122</v>
      </c>
      <c r="P40" s="259" t="s">
        <v>1554</v>
      </c>
      <c r="Q40" s="259" t="s">
        <v>2198</v>
      </c>
      <c r="R40" s="274">
        <v>44571.456354166665</v>
      </c>
      <c r="S40" s="321">
        <v>2019</v>
      </c>
      <c r="T40" s="259" t="s">
        <v>2001</v>
      </c>
      <c r="U40" s="259" t="s">
        <v>630</v>
      </c>
      <c r="V40" s="259" t="s">
        <v>631</v>
      </c>
      <c r="W40" s="259" t="s">
        <v>145</v>
      </c>
      <c r="X40" s="259" t="s">
        <v>309</v>
      </c>
      <c r="Y40" s="365">
        <v>44835</v>
      </c>
      <c r="Z40" s="259" t="s">
        <v>1875</v>
      </c>
      <c r="AA40" s="274"/>
      <c r="AB40" s="259" t="s">
        <v>139</v>
      </c>
      <c r="AC40" s="259" t="s">
        <v>1875</v>
      </c>
      <c r="AD40" s="259">
        <v>900</v>
      </c>
      <c r="AE40" s="259">
        <v>900</v>
      </c>
      <c r="AF40" s="274"/>
      <c r="AJ40" s="319" t="s">
        <v>2191</v>
      </c>
      <c r="AK40" s="274"/>
      <c r="AL40" s="319" t="s">
        <v>2190</v>
      </c>
      <c r="AM40" s="259" t="s">
        <v>1975</v>
      </c>
      <c r="AN40" s="259" t="b">
        <v>0</v>
      </c>
      <c r="AP40" s="274"/>
      <c r="AQ40" s="274"/>
      <c r="AR40" s="274"/>
      <c r="AT40" s="274"/>
      <c r="AU40" s="274"/>
      <c r="AZ40" s="274"/>
      <c r="BA40" s="259" t="s">
        <v>373</v>
      </c>
      <c r="BB40" s="259" t="s">
        <v>1610</v>
      </c>
      <c r="BC40" s="259" t="s">
        <v>2192</v>
      </c>
    </row>
    <row r="41" spans="1:55" ht="135">
      <c r="A41" s="259">
        <v>209</v>
      </c>
      <c r="B41" s="259" t="s">
        <v>2247</v>
      </c>
      <c r="C41" s="259" t="s">
        <v>2248</v>
      </c>
      <c r="D41" s="259" t="s">
        <v>8</v>
      </c>
      <c r="E41" s="259" t="s">
        <v>9</v>
      </c>
      <c r="F41" s="259" t="s">
        <v>1753</v>
      </c>
      <c r="G41" s="274">
        <v>44569</v>
      </c>
      <c r="H41" s="274"/>
      <c r="I41" s="274"/>
      <c r="N41" s="259" t="s">
        <v>122</v>
      </c>
      <c r="P41" s="259" t="s">
        <v>1554</v>
      </c>
      <c r="Q41" s="259" t="s">
        <v>2198</v>
      </c>
      <c r="R41" s="274">
        <v>44571.504386574074</v>
      </c>
      <c r="S41" s="321">
        <v>2022</v>
      </c>
      <c r="T41" s="259" t="s">
        <v>2001</v>
      </c>
      <c r="U41" s="259" t="s">
        <v>630</v>
      </c>
      <c r="V41" s="259" t="s">
        <v>631</v>
      </c>
      <c r="W41" s="259" t="s">
        <v>145</v>
      </c>
      <c r="X41" s="259" t="s">
        <v>309</v>
      </c>
      <c r="Y41" s="365">
        <v>44835</v>
      </c>
      <c r="Z41" s="259" t="s">
        <v>1875</v>
      </c>
      <c r="AA41" s="274"/>
      <c r="AB41" s="259" t="s">
        <v>139</v>
      </c>
      <c r="AC41" s="259" t="s">
        <v>1875</v>
      </c>
      <c r="AD41" s="259">
        <v>900</v>
      </c>
      <c r="AE41" s="259">
        <v>900</v>
      </c>
      <c r="AF41" s="274"/>
      <c r="AJ41" s="319" t="s">
        <v>2191</v>
      </c>
      <c r="AK41" s="274"/>
      <c r="AL41" s="319" t="s">
        <v>2190</v>
      </c>
      <c r="AM41" s="259" t="s">
        <v>1975</v>
      </c>
      <c r="AN41" s="259" t="b">
        <v>0</v>
      </c>
      <c r="AP41" s="274"/>
      <c r="AQ41" s="274"/>
      <c r="AR41" s="274"/>
      <c r="AT41" s="274"/>
      <c r="AU41" s="274"/>
      <c r="AZ41" s="274"/>
      <c r="BA41" s="259" t="s">
        <v>373</v>
      </c>
      <c r="BB41" s="259" t="s">
        <v>1610</v>
      </c>
      <c r="BC41" s="259" t="s">
        <v>2192</v>
      </c>
    </row>
    <row r="42" spans="1:55" ht="135">
      <c r="A42" s="259">
        <v>8</v>
      </c>
      <c r="B42" s="259" t="s">
        <v>2196</v>
      </c>
      <c r="C42" s="259" t="s">
        <v>2197</v>
      </c>
      <c r="D42" s="259" t="s">
        <v>8</v>
      </c>
      <c r="E42" s="259" t="s">
        <v>9</v>
      </c>
      <c r="F42" s="259" t="s">
        <v>1753</v>
      </c>
      <c r="G42" s="274">
        <v>43358</v>
      </c>
      <c r="H42" s="274">
        <v>44105</v>
      </c>
      <c r="I42" s="274"/>
      <c r="N42" s="259" t="s">
        <v>122</v>
      </c>
      <c r="P42" s="259" t="s">
        <v>1554</v>
      </c>
      <c r="Q42" s="259" t="s">
        <v>2198</v>
      </c>
      <c r="R42" s="274">
        <v>44571.45244212963</v>
      </c>
      <c r="S42" s="321">
        <v>2018</v>
      </c>
      <c r="T42" s="259" t="s">
        <v>2001</v>
      </c>
      <c r="U42" s="259" t="s">
        <v>630</v>
      </c>
      <c r="V42" s="259" t="s">
        <v>631</v>
      </c>
      <c r="W42" s="259" t="s">
        <v>145</v>
      </c>
      <c r="X42" s="259" t="s">
        <v>309</v>
      </c>
      <c r="Y42" s="365">
        <v>44835</v>
      </c>
      <c r="Z42" s="259" t="s">
        <v>1875</v>
      </c>
      <c r="AA42" s="274"/>
      <c r="AB42" s="259" t="s">
        <v>139</v>
      </c>
      <c r="AC42" s="259" t="s">
        <v>1875</v>
      </c>
      <c r="AD42" s="259">
        <v>900</v>
      </c>
      <c r="AE42" s="259">
        <v>900</v>
      </c>
      <c r="AF42" s="274"/>
      <c r="AJ42" s="319" t="s">
        <v>2191</v>
      </c>
      <c r="AK42" s="274"/>
      <c r="AL42" s="319" t="s">
        <v>2190</v>
      </c>
      <c r="AM42" s="259" t="s">
        <v>1975</v>
      </c>
      <c r="AN42" s="259" t="b">
        <v>0</v>
      </c>
      <c r="AP42" s="274"/>
      <c r="AQ42" s="274"/>
      <c r="AR42" s="274"/>
      <c r="AT42" s="274"/>
      <c r="AU42" s="274"/>
      <c r="AZ42" s="274"/>
      <c r="BA42" s="259" t="s">
        <v>373</v>
      </c>
      <c r="BB42" s="259" t="s">
        <v>1610</v>
      </c>
      <c r="BC42" s="259" t="s">
        <v>2192</v>
      </c>
    </row>
    <row r="43" spans="1:55" ht="135">
      <c r="A43" s="259">
        <v>169</v>
      </c>
      <c r="B43" s="259" t="s">
        <v>2205</v>
      </c>
      <c r="C43" s="259" t="s">
        <v>2235</v>
      </c>
      <c r="D43" s="259" t="s">
        <v>8</v>
      </c>
      <c r="E43" s="259" t="s">
        <v>9</v>
      </c>
      <c r="F43" s="259" t="s">
        <v>1753</v>
      </c>
      <c r="G43" s="274">
        <v>44445</v>
      </c>
      <c r="H43" s="274"/>
      <c r="I43" s="274"/>
      <c r="N43" s="259" t="s">
        <v>122</v>
      </c>
      <c r="P43" s="259" t="s">
        <v>1554</v>
      </c>
      <c r="Q43" s="259" t="s">
        <v>2198</v>
      </c>
      <c r="R43" s="274">
        <v>44571.497013888889</v>
      </c>
      <c r="S43" s="321">
        <v>2021</v>
      </c>
      <c r="T43" s="259" t="s">
        <v>2001</v>
      </c>
      <c r="U43" s="259" t="s">
        <v>630</v>
      </c>
      <c r="V43" s="259" t="s">
        <v>631</v>
      </c>
      <c r="W43" s="259" t="s">
        <v>145</v>
      </c>
      <c r="X43" s="259" t="s">
        <v>309</v>
      </c>
      <c r="Y43" s="365">
        <v>44835</v>
      </c>
      <c r="Z43" s="259" t="s">
        <v>1875</v>
      </c>
      <c r="AA43" s="274"/>
      <c r="AB43" s="259" t="s">
        <v>139</v>
      </c>
      <c r="AC43" s="259" t="s">
        <v>1875</v>
      </c>
      <c r="AD43" s="259">
        <v>900</v>
      </c>
      <c r="AE43" s="259">
        <v>900</v>
      </c>
      <c r="AF43" s="274"/>
      <c r="AJ43" s="319" t="s">
        <v>2191</v>
      </c>
      <c r="AK43" s="274"/>
      <c r="AL43" s="319" t="s">
        <v>2190</v>
      </c>
      <c r="AM43" s="259" t="s">
        <v>1975</v>
      </c>
      <c r="AN43" s="259" t="b">
        <v>0</v>
      </c>
      <c r="AP43" s="274"/>
      <c r="AQ43" s="274"/>
      <c r="AR43" s="274"/>
      <c r="AT43" s="274"/>
      <c r="AU43" s="274"/>
      <c r="AZ43" s="274"/>
      <c r="BA43" s="259" t="s">
        <v>373</v>
      </c>
      <c r="BB43" s="259" t="s">
        <v>1610</v>
      </c>
      <c r="BC43" s="259" t="s">
        <v>2192</v>
      </c>
    </row>
    <row r="44" spans="1:55" ht="135">
      <c r="A44" s="259">
        <v>195</v>
      </c>
      <c r="B44" s="259" t="s">
        <v>2242</v>
      </c>
      <c r="C44" s="259" t="s">
        <v>2243</v>
      </c>
      <c r="D44" s="259" t="s">
        <v>8</v>
      </c>
      <c r="E44" s="259" t="s">
        <v>9</v>
      </c>
      <c r="F44" s="259" t="s">
        <v>1753</v>
      </c>
      <c r="G44" s="274">
        <v>44512</v>
      </c>
      <c r="H44" s="274"/>
      <c r="I44" s="274"/>
      <c r="N44" s="259" t="s">
        <v>122</v>
      </c>
      <c r="P44" s="259" t="s">
        <v>1554</v>
      </c>
      <c r="Q44" s="259" t="s">
        <v>2198</v>
      </c>
      <c r="R44" s="274">
        <v>44571.501516203702</v>
      </c>
      <c r="S44" s="321">
        <v>2021</v>
      </c>
      <c r="T44" s="259" t="s">
        <v>2001</v>
      </c>
      <c r="U44" s="259" t="s">
        <v>630</v>
      </c>
      <c r="V44" s="259" t="s">
        <v>631</v>
      </c>
      <c r="W44" s="259" t="s">
        <v>145</v>
      </c>
      <c r="X44" s="259" t="s">
        <v>309</v>
      </c>
      <c r="Y44" s="365">
        <v>44835</v>
      </c>
      <c r="Z44" s="259" t="s">
        <v>1875</v>
      </c>
      <c r="AA44" s="274"/>
      <c r="AB44" s="259" t="s">
        <v>139</v>
      </c>
      <c r="AC44" s="259" t="s">
        <v>1875</v>
      </c>
      <c r="AD44" s="259">
        <v>900</v>
      </c>
      <c r="AE44" s="259">
        <v>900</v>
      </c>
      <c r="AF44" s="274"/>
      <c r="AJ44" s="319" t="s">
        <v>2191</v>
      </c>
      <c r="AK44" s="274"/>
      <c r="AL44" s="319" t="s">
        <v>2190</v>
      </c>
      <c r="AM44" s="259" t="s">
        <v>1975</v>
      </c>
      <c r="AN44" s="259" t="b">
        <v>0</v>
      </c>
      <c r="AP44" s="274"/>
      <c r="AQ44" s="274"/>
      <c r="AR44" s="274"/>
      <c r="AT44" s="274"/>
      <c r="AU44" s="274"/>
      <c r="AZ44" s="274"/>
      <c r="BA44" s="259" t="s">
        <v>373</v>
      </c>
      <c r="BB44" s="259" t="s">
        <v>1610</v>
      </c>
      <c r="BC44" s="259" t="s">
        <v>2192</v>
      </c>
    </row>
    <row r="45" spans="1:55" ht="135">
      <c r="A45" s="259">
        <v>351</v>
      </c>
      <c r="B45" s="259" t="s">
        <v>2205</v>
      </c>
      <c r="C45" s="259" t="s">
        <v>2798</v>
      </c>
      <c r="D45" s="259" t="s">
        <v>8</v>
      </c>
      <c r="E45" s="259" t="s">
        <v>9</v>
      </c>
      <c r="F45" s="259" t="s">
        <v>1753</v>
      </c>
      <c r="G45" s="274">
        <v>44814</v>
      </c>
      <c r="H45" s="274"/>
      <c r="I45" s="274"/>
      <c r="N45" s="259" t="s">
        <v>122</v>
      </c>
      <c r="P45" s="259" t="s">
        <v>1554</v>
      </c>
      <c r="Q45" s="259" t="s">
        <v>2198</v>
      </c>
      <c r="R45" s="274">
        <v>44630.529444444444</v>
      </c>
      <c r="S45" s="321">
        <v>2022</v>
      </c>
      <c r="T45" s="259" t="s">
        <v>2001</v>
      </c>
      <c r="U45" s="259" t="s">
        <v>630</v>
      </c>
      <c r="V45" s="259" t="s">
        <v>631</v>
      </c>
      <c r="W45" s="259" t="s">
        <v>145</v>
      </c>
      <c r="X45" s="259" t="s">
        <v>309</v>
      </c>
      <c r="Y45" s="365">
        <v>44835</v>
      </c>
      <c r="Z45" s="259" t="s">
        <v>1875</v>
      </c>
      <c r="AA45" s="274"/>
      <c r="AB45" s="259" t="s">
        <v>139</v>
      </c>
      <c r="AC45" s="259" t="s">
        <v>1875</v>
      </c>
      <c r="AD45" s="259">
        <v>900</v>
      </c>
      <c r="AE45" s="259">
        <v>900</v>
      </c>
      <c r="AF45" s="274"/>
      <c r="AJ45" s="319" t="s">
        <v>2191</v>
      </c>
      <c r="AK45" s="274"/>
      <c r="AL45" s="319" t="s">
        <v>2190</v>
      </c>
      <c r="AM45" s="259" t="s">
        <v>1975</v>
      </c>
      <c r="AN45" s="259" t="b">
        <v>0</v>
      </c>
      <c r="AP45" s="274"/>
      <c r="AQ45" s="274"/>
      <c r="AR45" s="274"/>
      <c r="AT45" s="274"/>
      <c r="AU45" s="274"/>
      <c r="AZ45" s="274"/>
      <c r="BA45" s="259" t="s">
        <v>373</v>
      </c>
      <c r="BB45" s="259" t="s">
        <v>1610</v>
      </c>
      <c r="BC45" s="259" t="s">
        <v>2192</v>
      </c>
    </row>
    <row r="46" spans="1:55" ht="135">
      <c r="A46" s="259">
        <v>192</v>
      </c>
      <c r="B46" s="259" t="s">
        <v>2240</v>
      </c>
      <c r="C46" s="259" t="s">
        <v>2241</v>
      </c>
      <c r="D46" s="259" t="s">
        <v>8</v>
      </c>
      <c r="E46" s="259" t="s">
        <v>9</v>
      </c>
      <c r="F46" s="259" t="s">
        <v>1753</v>
      </c>
      <c r="G46" s="274">
        <v>44503</v>
      </c>
      <c r="H46" s="274"/>
      <c r="I46" s="274"/>
      <c r="N46" s="259" t="s">
        <v>122</v>
      </c>
      <c r="P46" s="259" t="s">
        <v>1554</v>
      </c>
      <c r="Q46" s="259" t="s">
        <v>2198</v>
      </c>
      <c r="R46" s="274">
        <v>44571.499965277777</v>
      </c>
      <c r="S46" s="321">
        <v>2021</v>
      </c>
      <c r="T46" s="259" t="s">
        <v>2001</v>
      </c>
      <c r="U46" s="259" t="s">
        <v>630</v>
      </c>
      <c r="V46" s="259" t="s">
        <v>631</v>
      </c>
      <c r="W46" s="259" t="s">
        <v>145</v>
      </c>
      <c r="X46" s="259" t="s">
        <v>309</v>
      </c>
      <c r="Y46" s="365">
        <v>44835</v>
      </c>
      <c r="Z46" s="259" t="s">
        <v>1875</v>
      </c>
      <c r="AA46" s="274"/>
      <c r="AB46" s="259" t="s">
        <v>139</v>
      </c>
      <c r="AC46" s="259" t="s">
        <v>1875</v>
      </c>
      <c r="AD46" s="259">
        <v>900</v>
      </c>
      <c r="AE46" s="259">
        <v>900</v>
      </c>
      <c r="AF46" s="274"/>
      <c r="AJ46" s="319" t="s">
        <v>2191</v>
      </c>
      <c r="AK46" s="274"/>
      <c r="AL46" s="319" t="s">
        <v>2190</v>
      </c>
      <c r="AM46" s="259" t="s">
        <v>1975</v>
      </c>
      <c r="AN46" s="259" t="b">
        <v>0</v>
      </c>
      <c r="AP46" s="274"/>
      <c r="AQ46" s="274"/>
      <c r="AR46" s="274"/>
      <c r="AT46" s="274"/>
      <c r="AU46" s="274"/>
      <c r="AZ46" s="274"/>
      <c r="BA46" s="259" t="s">
        <v>373</v>
      </c>
      <c r="BB46" s="259" t="s">
        <v>1610</v>
      </c>
      <c r="BC46" s="259" t="s">
        <v>2192</v>
      </c>
    </row>
    <row r="47" spans="1:55" ht="135">
      <c r="A47" s="259">
        <v>185</v>
      </c>
      <c r="B47" s="259" t="s">
        <v>2236</v>
      </c>
      <c r="C47" s="259" t="s">
        <v>2237</v>
      </c>
      <c r="D47" s="259" t="s">
        <v>8</v>
      </c>
      <c r="E47" s="259" t="s">
        <v>9</v>
      </c>
      <c r="F47" s="259" t="s">
        <v>1753</v>
      </c>
      <c r="G47" s="274">
        <v>44489</v>
      </c>
      <c r="H47" s="274"/>
      <c r="I47" s="274"/>
      <c r="N47" s="259" t="s">
        <v>122</v>
      </c>
      <c r="P47" s="259" t="s">
        <v>1554</v>
      </c>
      <c r="Q47" s="259" t="s">
        <v>2198</v>
      </c>
      <c r="R47" s="274">
        <v>44571.498113425929</v>
      </c>
      <c r="S47" s="321">
        <v>2021</v>
      </c>
      <c r="T47" s="259" t="s">
        <v>2001</v>
      </c>
      <c r="U47" s="259" t="s">
        <v>630</v>
      </c>
      <c r="V47" s="259" t="s">
        <v>631</v>
      </c>
      <c r="W47" s="259" t="s">
        <v>145</v>
      </c>
      <c r="X47" s="259" t="s">
        <v>309</v>
      </c>
      <c r="Y47" s="365">
        <v>44835</v>
      </c>
      <c r="Z47" s="259" t="s">
        <v>1875</v>
      </c>
      <c r="AA47" s="274"/>
      <c r="AB47" s="259" t="s">
        <v>139</v>
      </c>
      <c r="AC47" s="259" t="s">
        <v>1875</v>
      </c>
      <c r="AD47" s="259">
        <v>900</v>
      </c>
      <c r="AE47" s="259">
        <v>900</v>
      </c>
      <c r="AF47" s="274"/>
      <c r="AJ47" s="319" t="s">
        <v>2191</v>
      </c>
      <c r="AK47" s="274"/>
      <c r="AL47" s="319" t="s">
        <v>2190</v>
      </c>
      <c r="AM47" s="259" t="s">
        <v>1975</v>
      </c>
      <c r="AN47" s="259" t="b">
        <v>0</v>
      </c>
      <c r="AP47" s="274"/>
      <c r="AQ47" s="274"/>
      <c r="AR47" s="274"/>
      <c r="AT47" s="274"/>
      <c r="AU47" s="274"/>
      <c r="AZ47" s="274"/>
      <c r="BA47" s="259" t="s">
        <v>373</v>
      </c>
      <c r="BB47" s="259" t="s">
        <v>1610</v>
      </c>
      <c r="BC47" s="259" t="s">
        <v>2192</v>
      </c>
    </row>
    <row r="48" spans="1:55" ht="135">
      <c r="A48" s="259">
        <v>166</v>
      </c>
      <c r="B48" s="259" t="s">
        <v>2233</v>
      </c>
      <c r="C48" s="259" t="s">
        <v>2234</v>
      </c>
      <c r="D48" s="259" t="s">
        <v>8</v>
      </c>
      <c r="E48" s="259" t="s">
        <v>9</v>
      </c>
      <c r="F48" s="259" t="s">
        <v>1753</v>
      </c>
      <c r="G48" s="274">
        <v>44445</v>
      </c>
      <c r="H48" s="274"/>
      <c r="I48" s="274"/>
      <c r="N48" s="259" t="s">
        <v>122</v>
      </c>
      <c r="P48" s="259" t="s">
        <v>1554</v>
      </c>
      <c r="Q48" s="259" t="s">
        <v>2198</v>
      </c>
      <c r="R48" s="274">
        <v>44571.495995370373</v>
      </c>
      <c r="S48" s="321">
        <v>2021</v>
      </c>
      <c r="T48" s="259" t="s">
        <v>2001</v>
      </c>
      <c r="U48" s="259" t="s">
        <v>630</v>
      </c>
      <c r="V48" s="259" t="s">
        <v>631</v>
      </c>
      <c r="W48" s="259" t="s">
        <v>145</v>
      </c>
      <c r="X48" s="259" t="s">
        <v>309</v>
      </c>
      <c r="Y48" s="365">
        <v>44835</v>
      </c>
      <c r="Z48" s="259" t="s">
        <v>1875</v>
      </c>
      <c r="AA48" s="274"/>
      <c r="AB48" s="259" t="s">
        <v>139</v>
      </c>
      <c r="AC48" s="259" t="s">
        <v>1875</v>
      </c>
      <c r="AD48" s="259">
        <v>900</v>
      </c>
      <c r="AE48" s="259">
        <v>900</v>
      </c>
      <c r="AF48" s="274"/>
      <c r="AJ48" s="319" t="s">
        <v>2191</v>
      </c>
      <c r="AK48" s="274"/>
      <c r="AL48" s="319" t="s">
        <v>2190</v>
      </c>
      <c r="AM48" s="259" t="s">
        <v>1975</v>
      </c>
      <c r="AN48" s="259" t="b">
        <v>0</v>
      </c>
      <c r="AP48" s="274"/>
      <c r="AQ48" s="274"/>
      <c r="AR48" s="274"/>
      <c r="AT48" s="274"/>
      <c r="AU48" s="274"/>
      <c r="AZ48" s="274"/>
      <c r="BA48" s="259" t="s">
        <v>373</v>
      </c>
      <c r="BB48" s="259" t="s">
        <v>1610</v>
      </c>
      <c r="BC48" s="259" t="s">
        <v>2192</v>
      </c>
    </row>
    <row r="49" spans="1:55" ht="135">
      <c r="A49" s="259">
        <v>347</v>
      </c>
      <c r="B49" s="259" t="s">
        <v>2209</v>
      </c>
      <c r="C49" s="259" t="s">
        <v>2799</v>
      </c>
      <c r="D49" s="259" t="s">
        <v>8</v>
      </c>
      <c r="E49" s="259" t="s">
        <v>9</v>
      </c>
      <c r="F49" s="259" t="s">
        <v>1753</v>
      </c>
      <c r="G49" s="274">
        <v>44810</v>
      </c>
      <c r="H49" s="274"/>
      <c r="I49" s="274"/>
      <c r="N49" s="259" t="s">
        <v>122</v>
      </c>
      <c r="P49" s="259" t="s">
        <v>1554</v>
      </c>
      <c r="Q49" s="259" t="s">
        <v>2198</v>
      </c>
      <c r="R49" s="274">
        <v>44630.529953703706</v>
      </c>
      <c r="S49" s="321">
        <v>2022</v>
      </c>
      <c r="T49" s="259" t="s">
        <v>2001</v>
      </c>
      <c r="U49" s="259" t="s">
        <v>630</v>
      </c>
      <c r="V49" s="259" t="s">
        <v>631</v>
      </c>
      <c r="W49" s="259" t="s">
        <v>145</v>
      </c>
      <c r="X49" s="259" t="s">
        <v>309</v>
      </c>
      <c r="Y49" s="365">
        <v>44835</v>
      </c>
      <c r="Z49" s="259" t="s">
        <v>1875</v>
      </c>
      <c r="AA49" s="274"/>
      <c r="AB49" s="259" t="s">
        <v>139</v>
      </c>
      <c r="AC49" s="259" t="s">
        <v>1875</v>
      </c>
      <c r="AD49" s="259">
        <v>900</v>
      </c>
      <c r="AE49" s="259">
        <v>900</v>
      </c>
      <c r="AF49" s="274"/>
      <c r="AJ49" s="319" t="s">
        <v>2191</v>
      </c>
      <c r="AK49" s="274"/>
      <c r="AL49" s="319" t="s">
        <v>2190</v>
      </c>
      <c r="AM49" s="259" t="s">
        <v>1975</v>
      </c>
      <c r="AN49" s="259" t="b">
        <v>0</v>
      </c>
      <c r="AP49" s="274"/>
      <c r="AQ49" s="274"/>
      <c r="AR49" s="274"/>
      <c r="AT49" s="274"/>
      <c r="AU49" s="274"/>
      <c r="AZ49" s="274"/>
      <c r="BA49" s="259" t="s">
        <v>373</v>
      </c>
      <c r="BB49" s="259" t="s">
        <v>1610</v>
      </c>
      <c r="BC49" s="259" t="s">
        <v>2192</v>
      </c>
    </row>
    <row r="50" spans="1:55" ht="135">
      <c r="A50" s="259">
        <v>138</v>
      </c>
      <c r="B50" s="259" t="s">
        <v>2229</v>
      </c>
      <c r="C50" s="259" t="s">
        <v>2230</v>
      </c>
      <c r="D50" s="259" t="s">
        <v>8</v>
      </c>
      <c r="E50" s="259" t="s">
        <v>9</v>
      </c>
      <c r="F50" s="259" t="s">
        <v>1753</v>
      </c>
      <c r="G50" s="274">
        <v>44368</v>
      </c>
      <c r="H50" s="274"/>
      <c r="I50" s="274"/>
      <c r="N50" s="259" t="s">
        <v>129</v>
      </c>
      <c r="P50" s="259" t="s">
        <v>1554</v>
      </c>
      <c r="Q50" s="259" t="s">
        <v>2198</v>
      </c>
      <c r="R50" s="274">
        <v>44571.495081018518</v>
      </c>
      <c r="S50" s="321">
        <v>2021</v>
      </c>
      <c r="T50" s="259" t="s">
        <v>2001</v>
      </c>
      <c r="U50" s="259" t="s">
        <v>630</v>
      </c>
      <c r="V50" s="259" t="s">
        <v>631</v>
      </c>
      <c r="W50" s="259" t="s">
        <v>145</v>
      </c>
      <c r="X50" s="259" t="s">
        <v>309</v>
      </c>
      <c r="Y50" s="365">
        <v>44835</v>
      </c>
      <c r="Z50" s="259" t="s">
        <v>1875</v>
      </c>
      <c r="AA50" s="274"/>
      <c r="AB50" s="259" t="s">
        <v>139</v>
      </c>
      <c r="AC50" s="259" t="s">
        <v>1875</v>
      </c>
      <c r="AD50" s="259">
        <v>900</v>
      </c>
      <c r="AE50" s="259">
        <v>900</v>
      </c>
      <c r="AF50" s="274"/>
      <c r="AJ50" s="319" t="s">
        <v>2191</v>
      </c>
      <c r="AK50" s="274"/>
      <c r="AL50" s="319" t="s">
        <v>2190</v>
      </c>
      <c r="AM50" s="259" t="s">
        <v>1975</v>
      </c>
      <c r="AN50" s="259" t="b">
        <v>0</v>
      </c>
      <c r="AP50" s="274"/>
      <c r="AQ50" s="274"/>
      <c r="AR50" s="274"/>
      <c r="AT50" s="274"/>
      <c r="AU50" s="274"/>
      <c r="AZ50" s="274"/>
      <c r="BA50" s="259" t="s">
        <v>373</v>
      </c>
      <c r="BB50" s="259" t="s">
        <v>1610</v>
      </c>
      <c r="BC50" s="259" t="s">
        <v>2192</v>
      </c>
    </row>
    <row r="51" spans="1:55" ht="135">
      <c r="A51" s="259">
        <v>208</v>
      </c>
      <c r="B51" s="259" t="s">
        <v>2245</v>
      </c>
      <c r="C51" s="259" t="s">
        <v>2246</v>
      </c>
      <c r="D51" s="259" t="s">
        <v>8</v>
      </c>
      <c r="E51" s="259" t="s">
        <v>9</v>
      </c>
      <c r="F51" s="259" t="s">
        <v>1753</v>
      </c>
      <c r="G51" s="274">
        <v>44566</v>
      </c>
      <c r="H51" s="274"/>
      <c r="I51" s="274"/>
      <c r="N51" s="259" t="s">
        <v>122</v>
      </c>
      <c r="P51" s="259" t="s">
        <v>1554</v>
      </c>
      <c r="Q51" s="259" t="s">
        <v>2198</v>
      </c>
      <c r="R51" s="274">
        <v>44571.505902777775</v>
      </c>
      <c r="S51" s="321">
        <v>2022</v>
      </c>
      <c r="T51" s="259" t="s">
        <v>2001</v>
      </c>
      <c r="U51" s="259" t="s">
        <v>630</v>
      </c>
      <c r="V51" s="259" t="s">
        <v>631</v>
      </c>
      <c r="W51" s="259" t="s">
        <v>145</v>
      </c>
      <c r="X51" s="259" t="s">
        <v>309</v>
      </c>
      <c r="Y51" s="365">
        <v>44835</v>
      </c>
      <c r="Z51" s="259" t="s">
        <v>1875</v>
      </c>
      <c r="AA51" s="274"/>
      <c r="AB51" s="259" t="s">
        <v>139</v>
      </c>
      <c r="AC51" s="259" t="s">
        <v>1875</v>
      </c>
      <c r="AD51" s="259">
        <v>900</v>
      </c>
      <c r="AE51" s="259">
        <v>900</v>
      </c>
      <c r="AF51" s="274"/>
      <c r="AJ51" s="319" t="s">
        <v>2191</v>
      </c>
      <c r="AK51" s="274"/>
      <c r="AL51" s="319" t="s">
        <v>2190</v>
      </c>
      <c r="AM51" s="259" t="s">
        <v>1975</v>
      </c>
      <c r="AN51" s="259" t="b">
        <v>0</v>
      </c>
      <c r="AP51" s="274"/>
      <c r="AQ51" s="274"/>
      <c r="AR51" s="274"/>
      <c r="AT51" s="274"/>
      <c r="AU51" s="274"/>
      <c r="AZ51" s="274"/>
      <c r="BA51" s="259" t="s">
        <v>373</v>
      </c>
      <c r="BB51" s="259" t="s">
        <v>1610</v>
      </c>
      <c r="BC51" s="259" t="s">
        <v>2192</v>
      </c>
    </row>
    <row r="52" spans="1:55" ht="135">
      <c r="A52" s="259">
        <v>348</v>
      </c>
      <c r="B52" s="259" t="s">
        <v>2800</v>
      </c>
      <c r="C52" s="259" t="s">
        <v>2801</v>
      </c>
      <c r="D52" s="259" t="s">
        <v>8</v>
      </c>
      <c r="E52" s="259" t="s">
        <v>9</v>
      </c>
      <c r="F52" s="259" t="s">
        <v>1753</v>
      </c>
      <c r="G52" s="274">
        <v>44810</v>
      </c>
      <c r="H52" s="274"/>
      <c r="I52" s="274"/>
      <c r="N52" s="259" t="s">
        <v>122</v>
      </c>
      <c r="P52" s="259" t="s">
        <v>1554</v>
      </c>
      <c r="Q52" s="259" t="s">
        <v>2198</v>
      </c>
      <c r="R52" s="274">
        <v>44630.530277777776</v>
      </c>
      <c r="S52" s="321">
        <v>2022</v>
      </c>
      <c r="T52" s="259" t="s">
        <v>2001</v>
      </c>
      <c r="U52" s="259" t="s">
        <v>630</v>
      </c>
      <c r="V52" s="259" t="s">
        <v>631</v>
      </c>
      <c r="W52" s="259" t="s">
        <v>145</v>
      </c>
      <c r="X52" s="259" t="s">
        <v>309</v>
      </c>
      <c r="Y52" s="365">
        <v>44835</v>
      </c>
      <c r="Z52" s="259" t="s">
        <v>1875</v>
      </c>
      <c r="AA52" s="274"/>
      <c r="AB52" s="259" t="s">
        <v>139</v>
      </c>
      <c r="AC52" s="259" t="s">
        <v>1875</v>
      </c>
      <c r="AD52" s="259">
        <v>900</v>
      </c>
      <c r="AE52" s="259">
        <v>900</v>
      </c>
      <c r="AF52" s="274"/>
      <c r="AJ52" s="319" t="s">
        <v>2191</v>
      </c>
      <c r="AK52" s="274"/>
      <c r="AL52" s="319" t="s">
        <v>2190</v>
      </c>
      <c r="AM52" s="259" t="s">
        <v>1975</v>
      </c>
      <c r="AN52" s="259" t="b">
        <v>0</v>
      </c>
      <c r="AP52" s="274"/>
      <c r="AQ52" s="274"/>
      <c r="AR52" s="274"/>
      <c r="AT52" s="274"/>
      <c r="AU52" s="274"/>
      <c r="AZ52" s="274"/>
      <c r="BA52" s="259" t="s">
        <v>373</v>
      </c>
      <c r="BB52" s="259" t="s">
        <v>1610</v>
      </c>
      <c r="BC52" s="259" t="s">
        <v>2192</v>
      </c>
    </row>
    <row r="53" spans="1:55" ht="135">
      <c r="A53" s="259">
        <v>60</v>
      </c>
      <c r="B53" s="259" t="s">
        <v>2358</v>
      </c>
      <c r="C53" s="259" t="s">
        <v>2359</v>
      </c>
      <c r="D53" s="259" t="s">
        <v>8</v>
      </c>
      <c r="E53" s="259" t="s">
        <v>9</v>
      </c>
      <c r="F53" s="259" t="s">
        <v>1759</v>
      </c>
      <c r="G53" s="274">
        <v>44028</v>
      </c>
      <c r="H53" s="274"/>
      <c r="I53" s="274"/>
      <c r="N53" s="259" t="s">
        <v>122</v>
      </c>
      <c r="P53" s="259" t="s">
        <v>1554</v>
      </c>
      <c r="Q53" s="259" t="s">
        <v>2198</v>
      </c>
      <c r="R53" s="274">
        <v>44571.549016203702</v>
      </c>
      <c r="S53" s="321">
        <v>2020</v>
      </c>
      <c r="T53" s="259" t="s">
        <v>2001</v>
      </c>
      <c r="U53" s="259" t="s">
        <v>630</v>
      </c>
      <c r="V53" s="259" t="s">
        <v>631</v>
      </c>
      <c r="W53" s="259" t="s">
        <v>145</v>
      </c>
      <c r="X53" s="259" t="s">
        <v>309</v>
      </c>
      <c r="Y53" s="365">
        <v>44835</v>
      </c>
      <c r="Z53" s="259" t="s">
        <v>1875</v>
      </c>
      <c r="AA53" s="274"/>
      <c r="AB53" s="259" t="s">
        <v>139</v>
      </c>
      <c r="AC53" s="259" t="s">
        <v>1875</v>
      </c>
      <c r="AD53" s="259">
        <v>900</v>
      </c>
      <c r="AE53" s="259">
        <v>900</v>
      </c>
      <c r="AF53" s="274"/>
      <c r="AJ53" s="319" t="s">
        <v>2191</v>
      </c>
      <c r="AK53" s="274"/>
      <c r="AL53" s="319" t="s">
        <v>2190</v>
      </c>
      <c r="AM53" s="259" t="s">
        <v>1975</v>
      </c>
      <c r="AN53" s="259" t="b">
        <v>0</v>
      </c>
      <c r="AP53" s="274"/>
      <c r="AQ53" s="274"/>
      <c r="AR53" s="274"/>
      <c r="AT53" s="274"/>
      <c r="AU53" s="274"/>
      <c r="AZ53" s="274"/>
      <c r="BA53" s="259" t="s">
        <v>373</v>
      </c>
      <c r="BB53" s="259" t="s">
        <v>1610</v>
      </c>
      <c r="BC53" s="259" t="s">
        <v>2192</v>
      </c>
    </row>
    <row r="54" spans="1:55" ht="135">
      <c r="A54" s="259">
        <v>59</v>
      </c>
      <c r="B54" s="259" t="s">
        <v>2356</v>
      </c>
      <c r="C54" s="259" t="s">
        <v>2357</v>
      </c>
      <c r="D54" s="259" t="s">
        <v>8</v>
      </c>
      <c r="E54" s="259" t="s">
        <v>9</v>
      </c>
      <c r="F54" s="259" t="s">
        <v>1759</v>
      </c>
      <c r="G54" s="274">
        <v>44028</v>
      </c>
      <c r="H54" s="274"/>
      <c r="I54" s="274"/>
      <c r="N54" s="259" t="s">
        <v>122</v>
      </c>
      <c r="P54" s="259" t="s">
        <v>1554</v>
      </c>
      <c r="Q54" s="259" t="s">
        <v>2198</v>
      </c>
      <c r="R54" s="274">
        <v>44571.548668981479</v>
      </c>
      <c r="S54" s="321">
        <v>2020</v>
      </c>
      <c r="T54" s="259" t="s">
        <v>2001</v>
      </c>
      <c r="U54" s="259" t="s">
        <v>630</v>
      </c>
      <c r="V54" s="259" t="s">
        <v>631</v>
      </c>
      <c r="W54" s="259" t="s">
        <v>145</v>
      </c>
      <c r="X54" s="259" t="s">
        <v>309</v>
      </c>
      <c r="Y54" s="365">
        <v>44835</v>
      </c>
      <c r="Z54" s="259" t="s">
        <v>1875</v>
      </c>
      <c r="AA54" s="274"/>
      <c r="AB54" s="259" t="s">
        <v>139</v>
      </c>
      <c r="AC54" s="259" t="s">
        <v>1875</v>
      </c>
      <c r="AD54" s="259">
        <v>900</v>
      </c>
      <c r="AE54" s="259">
        <v>900</v>
      </c>
      <c r="AF54" s="274"/>
      <c r="AJ54" s="319" t="s">
        <v>2191</v>
      </c>
      <c r="AK54" s="274"/>
      <c r="AL54" s="319" t="s">
        <v>2190</v>
      </c>
      <c r="AM54" s="259" t="s">
        <v>1975</v>
      </c>
      <c r="AN54" s="259" t="b">
        <v>0</v>
      </c>
      <c r="AP54" s="274"/>
      <c r="AQ54" s="274"/>
      <c r="AR54" s="274"/>
      <c r="AT54" s="274"/>
      <c r="AU54" s="274"/>
      <c r="AZ54" s="274"/>
      <c r="BA54" s="259" t="s">
        <v>373</v>
      </c>
      <c r="BB54" s="259" t="s">
        <v>1610</v>
      </c>
      <c r="BC54" s="259" t="s">
        <v>2192</v>
      </c>
    </row>
    <row r="55" spans="1:55" ht="135">
      <c r="A55" s="259">
        <v>62</v>
      </c>
      <c r="B55" s="259" t="s">
        <v>2360</v>
      </c>
      <c r="C55" s="259" t="s">
        <v>2361</v>
      </c>
      <c r="D55" s="259" t="s">
        <v>8</v>
      </c>
      <c r="E55" s="259" t="s">
        <v>9</v>
      </c>
      <c r="F55" s="259" t="s">
        <v>1759</v>
      </c>
      <c r="G55" s="274">
        <v>44028</v>
      </c>
      <c r="H55" s="274"/>
      <c r="I55" s="274"/>
      <c r="N55" s="259" t="s">
        <v>122</v>
      </c>
      <c r="P55" s="259" t="s">
        <v>1554</v>
      </c>
      <c r="Q55" s="259" t="s">
        <v>2198</v>
      </c>
      <c r="R55" s="274">
        <v>44571.549398148149</v>
      </c>
      <c r="S55" s="321">
        <v>2020</v>
      </c>
      <c r="T55" s="259" t="s">
        <v>2001</v>
      </c>
      <c r="U55" s="259" t="s">
        <v>630</v>
      </c>
      <c r="V55" s="259" t="s">
        <v>631</v>
      </c>
      <c r="W55" s="259" t="s">
        <v>145</v>
      </c>
      <c r="X55" s="259" t="s">
        <v>309</v>
      </c>
      <c r="Y55" s="365">
        <v>44835</v>
      </c>
      <c r="Z55" s="259" t="s">
        <v>1875</v>
      </c>
      <c r="AA55" s="274"/>
      <c r="AB55" s="259" t="s">
        <v>139</v>
      </c>
      <c r="AC55" s="259" t="s">
        <v>1875</v>
      </c>
      <c r="AD55" s="259">
        <v>900</v>
      </c>
      <c r="AE55" s="259">
        <v>900</v>
      </c>
      <c r="AF55" s="274"/>
      <c r="AJ55" s="319" t="s">
        <v>2191</v>
      </c>
      <c r="AK55" s="274"/>
      <c r="AL55" s="319" t="s">
        <v>2190</v>
      </c>
      <c r="AM55" s="259" t="s">
        <v>1975</v>
      </c>
      <c r="AN55" s="259" t="b">
        <v>0</v>
      </c>
      <c r="AP55" s="274"/>
      <c r="AQ55" s="274"/>
      <c r="AR55" s="274"/>
      <c r="AT55" s="274"/>
      <c r="AU55" s="274"/>
      <c r="AZ55" s="274"/>
      <c r="BA55" s="259" t="s">
        <v>373</v>
      </c>
      <c r="BB55" s="259" t="s">
        <v>1610</v>
      </c>
      <c r="BC55" s="259" t="s">
        <v>2192</v>
      </c>
    </row>
    <row r="56" spans="1:55" ht="135">
      <c r="A56" s="259">
        <v>61</v>
      </c>
      <c r="B56" s="259" t="s">
        <v>2284</v>
      </c>
      <c r="C56" s="259" t="s">
        <v>2370</v>
      </c>
      <c r="D56" s="259" t="s">
        <v>8</v>
      </c>
      <c r="E56" s="259" t="s">
        <v>9</v>
      </c>
      <c r="F56" s="259" t="s">
        <v>1759</v>
      </c>
      <c r="G56" s="274">
        <v>44028</v>
      </c>
      <c r="H56" s="274"/>
      <c r="I56" s="274"/>
      <c r="N56" s="259" t="s">
        <v>122</v>
      </c>
      <c r="P56" s="259" t="s">
        <v>1554</v>
      </c>
      <c r="Q56" s="259" t="s">
        <v>2198</v>
      </c>
      <c r="R56" s="274">
        <v>44571.551238425927</v>
      </c>
      <c r="S56" s="321">
        <v>2020</v>
      </c>
      <c r="T56" s="259" t="s">
        <v>2001</v>
      </c>
      <c r="U56" s="259" t="s">
        <v>630</v>
      </c>
      <c r="V56" s="259" t="s">
        <v>631</v>
      </c>
      <c r="W56" s="259" t="s">
        <v>145</v>
      </c>
      <c r="X56" s="259" t="s">
        <v>309</v>
      </c>
      <c r="Y56" s="365">
        <v>44835</v>
      </c>
      <c r="Z56" s="259" t="s">
        <v>1875</v>
      </c>
      <c r="AA56" s="274"/>
      <c r="AB56" s="259" t="s">
        <v>139</v>
      </c>
      <c r="AC56" s="259" t="s">
        <v>1875</v>
      </c>
      <c r="AD56" s="259">
        <v>900</v>
      </c>
      <c r="AE56" s="259">
        <v>900</v>
      </c>
      <c r="AF56" s="274"/>
      <c r="AJ56" s="319" t="s">
        <v>2191</v>
      </c>
      <c r="AK56" s="274"/>
      <c r="AL56" s="319" t="s">
        <v>2190</v>
      </c>
      <c r="AM56" s="259" t="s">
        <v>1975</v>
      </c>
      <c r="AN56" s="259" t="b">
        <v>0</v>
      </c>
      <c r="AP56" s="274"/>
      <c r="AQ56" s="274"/>
      <c r="AR56" s="274"/>
      <c r="AT56" s="274"/>
      <c r="AU56" s="274"/>
      <c r="AZ56" s="274"/>
      <c r="BA56" s="259" t="s">
        <v>373</v>
      </c>
      <c r="BB56" s="259" t="s">
        <v>1610</v>
      </c>
      <c r="BC56" s="259" t="s">
        <v>2192</v>
      </c>
    </row>
    <row r="57" spans="1:55" ht="135">
      <c r="A57" s="259">
        <v>63</v>
      </c>
      <c r="B57" s="259" t="s">
        <v>2362</v>
      </c>
      <c r="C57" s="259" t="s">
        <v>2363</v>
      </c>
      <c r="D57" s="259" t="s">
        <v>8</v>
      </c>
      <c r="E57" s="259" t="s">
        <v>9</v>
      </c>
      <c r="F57" s="259" t="s">
        <v>1759</v>
      </c>
      <c r="G57" s="274">
        <v>44028</v>
      </c>
      <c r="H57" s="274"/>
      <c r="I57" s="274"/>
      <c r="N57" s="259" t="s">
        <v>122</v>
      </c>
      <c r="P57" s="259" t="s">
        <v>1554</v>
      </c>
      <c r="Q57" s="259" t="s">
        <v>2198</v>
      </c>
      <c r="R57" s="274">
        <v>44571.549768518518</v>
      </c>
      <c r="S57" s="321">
        <v>2020</v>
      </c>
      <c r="T57" s="259" t="s">
        <v>2001</v>
      </c>
      <c r="U57" s="259" t="s">
        <v>630</v>
      </c>
      <c r="V57" s="259" t="s">
        <v>631</v>
      </c>
      <c r="W57" s="259" t="s">
        <v>145</v>
      </c>
      <c r="X57" s="259" t="s">
        <v>309</v>
      </c>
      <c r="Y57" s="365">
        <v>44835</v>
      </c>
      <c r="Z57" s="259" t="s">
        <v>1875</v>
      </c>
      <c r="AA57" s="274"/>
      <c r="AB57" s="259" t="s">
        <v>139</v>
      </c>
      <c r="AC57" s="259" t="s">
        <v>1875</v>
      </c>
      <c r="AD57" s="259">
        <v>900</v>
      </c>
      <c r="AE57" s="259">
        <v>900</v>
      </c>
      <c r="AF57" s="274"/>
      <c r="AJ57" s="319" t="s">
        <v>2191</v>
      </c>
      <c r="AK57" s="274"/>
      <c r="AL57" s="319" t="s">
        <v>2190</v>
      </c>
      <c r="AM57" s="259" t="s">
        <v>1975</v>
      </c>
      <c r="AN57" s="259" t="b">
        <v>0</v>
      </c>
      <c r="AP57" s="274"/>
      <c r="AQ57" s="274"/>
      <c r="AR57" s="274"/>
      <c r="AT57" s="274"/>
      <c r="AU57" s="274"/>
      <c r="AZ57" s="274"/>
      <c r="BA57" s="259" t="s">
        <v>373</v>
      </c>
      <c r="BB57" s="259" t="s">
        <v>1610</v>
      </c>
      <c r="BC57" s="259" t="s">
        <v>2192</v>
      </c>
    </row>
    <row r="58" spans="1:55" ht="135">
      <c r="A58" s="259">
        <v>103</v>
      </c>
      <c r="B58" s="259" t="s">
        <v>2373</v>
      </c>
      <c r="C58" s="259" t="s">
        <v>2374</v>
      </c>
      <c r="D58" s="259" t="s">
        <v>8</v>
      </c>
      <c r="E58" s="259" t="s">
        <v>9</v>
      </c>
      <c r="F58" s="259" t="s">
        <v>1759</v>
      </c>
      <c r="G58" s="274">
        <v>44271</v>
      </c>
      <c r="H58" s="274"/>
      <c r="I58" s="274"/>
      <c r="N58" s="259" t="s">
        <v>122</v>
      </c>
      <c r="P58" s="259" t="s">
        <v>1554</v>
      </c>
      <c r="Q58" s="259" t="s">
        <v>2198</v>
      </c>
      <c r="R58" s="274">
        <v>44571.552210648151</v>
      </c>
      <c r="S58" s="321">
        <v>2021</v>
      </c>
      <c r="T58" s="259" t="s">
        <v>2001</v>
      </c>
      <c r="U58" s="259" t="s">
        <v>630</v>
      </c>
      <c r="V58" s="259" t="s">
        <v>631</v>
      </c>
      <c r="W58" s="259" t="s">
        <v>145</v>
      </c>
      <c r="X58" s="259" t="s">
        <v>309</v>
      </c>
      <c r="Y58" s="365">
        <v>44835</v>
      </c>
      <c r="Z58" s="259" t="s">
        <v>1875</v>
      </c>
      <c r="AA58" s="274"/>
      <c r="AB58" s="259" t="s">
        <v>139</v>
      </c>
      <c r="AC58" s="259" t="s">
        <v>1875</v>
      </c>
      <c r="AD58" s="259">
        <v>900</v>
      </c>
      <c r="AE58" s="259">
        <v>900</v>
      </c>
      <c r="AF58" s="274"/>
      <c r="AJ58" s="319" t="s">
        <v>2191</v>
      </c>
      <c r="AK58" s="274"/>
      <c r="AL58" s="319" t="s">
        <v>2190</v>
      </c>
      <c r="AM58" s="259" t="s">
        <v>1975</v>
      </c>
      <c r="AN58" s="259" t="b">
        <v>0</v>
      </c>
      <c r="AP58" s="274"/>
      <c r="AQ58" s="274"/>
      <c r="AR58" s="274"/>
      <c r="AT58" s="274"/>
      <c r="AU58" s="274"/>
      <c r="AZ58" s="274"/>
      <c r="BA58" s="259" t="s">
        <v>373</v>
      </c>
      <c r="BB58" s="259" t="s">
        <v>1610</v>
      </c>
      <c r="BC58" s="259" t="s">
        <v>2192</v>
      </c>
    </row>
    <row r="59" spans="1:55" ht="135">
      <c r="A59" s="259">
        <v>67</v>
      </c>
      <c r="B59" s="259" t="s">
        <v>2316</v>
      </c>
      <c r="C59" s="259" t="s">
        <v>2317</v>
      </c>
      <c r="D59" s="259" t="s">
        <v>8</v>
      </c>
      <c r="E59" s="259" t="s">
        <v>9</v>
      </c>
      <c r="F59" s="259" t="s">
        <v>1759</v>
      </c>
      <c r="G59" s="274">
        <v>44036</v>
      </c>
      <c r="H59" s="274"/>
      <c r="I59" s="274"/>
      <c r="N59" s="259" t="s">
        <v>122</v>
      </c>
      <c r="P59" s="259" t="s">
        <v>1554</v>
      </c>
      <c r="Q59" s="259" t="s">
        <v>2198</v>
      </c>
      <c r="R59" s="274">
        <v>44571.539131944446</v>
      </c>
      <c r="S59" s="321">
        <v>2020</v>
      </c>
      <c r="T59" s="259" t="s">
        <v>2001</v>
      </c>
      <c r="U59" s="259" t="s">
        <v>630</v>
      </c>
      <c r="V59" s="259" t="s">
        <v>631</v>
      </c>
      <c r="W59" s="259" t="s">
        <v>145</v>
      </c>
      <c r="X59" s="259" t="s">
        <v>309</v>
      </c>
      <c r="Y59" s="365">
        <v>44835</v>
      </c>
      <c r="Z59" s="259" t="s">
        <v>1875</v>
      </c>
      <c r="AA59" s="274"/>
      <c r="AB59" s="259" t="s">
        <v>139</v>
      </c>
      <c r="AC59" s="259" t="s">
        <v>1875</v>
      </c>
      <c r="AD59" s="259">
        <v>900</v>
      </c>
      <c r="AE59" s="259">
        <v>900</v>
      </c>
      <c r="AF59" s="274"/>
      <c r="AJ59" s="319" t="s">
        <v>2191</v>
      </c>
      <c r="AK59" s="274"/>
      <c r="AL59" s="319" t="s">
        <v>2190</v>
      </c>
      <c r="AM59" s="259" t="s">
        <v>1975</v>
      </c>
      <c r="AN59" s="259" t="b">
        <v>0</v>
      </c>
      <c r="AP59" s="274"/>
      <c r="AQ59" s="274"/>
      <c r="AR59" s="274"/>
      <c r="AT59" s="274"/>
      <c r="AU59" s="274"/>
      <c r="AZ59" s="274"/>
      <c r="BA59" s="259" t="s">
        <v>373</v>
      </c>
      <c r="BB59" s="259" t="s">
        <v>1610</v>
      </c>
      <c r="BC59" s="259" t="s">
        <v>2192</v>
      </c>
    </row>
    <row r="60" spans="1:55" ht="135">
      <c r="A60" s="259">
        <v>115</v>
      </c>
      <c r="B60" s="259" t="s">
        <v>2379</v>
      </c>
      <c r="C60" s="259" t="s">
        <v>2380</v>
      </c>
      <c r="D60" s="259" t="s">
        <v>8</v>
      </c>
      <c r="E60" s="259" t="s">
        <v>9</v>
      </c>
      <c r="F60" s="259" t="s">
        <v>1759</v>
      </c>
      <c r="G60" s="274">
        <v>44293</v>
      </c>
      <c r="H60" s="274"/>
      <c r="I60" s="274"/>
      <c r="N60" s="259" t="s">
        <v>122</v>
      </c>
      <c r="P60" s="259" t="s">
        <v>1554</v>
      </c>
      <c r="Q60" s="259" t="s">
        <v>2198</v>
      </c>
      <c r="R60" s="274">
        <v>44571.553425925929</v>
      </c>
      <c r="S60" s="321">
        <v>2021</v>
      </c>
      <c r="T60" s="259" t="s">
        <v>2001</v>
      </c>
      <c r="U60" s="259" t="s">
        <v>630</v>
      </c>
      <c r="V60" s="259" t="s">
        <v>631</v>
      </c>
      <c r="W60" s="259" t="s">
        <v>145</v>
      </c>
      <c r="X60" s="259" t="s">
        <v>309</v>
      </c>
      <c r="Y60" s="365">
        <v>44835</v>
      </c>
      <c r="Z60" s="259" t="s">
        <v>1875</v>
      </c>
      <c r="AA60" s="274"/>
      <c r="AB60" s="259" t="s">
        <v>139</v>
      </c>
      <c r="AC60" s="259" t="s">
        <v>1875</v>
      </c>
      <c r="AD60" s="259">
        <v>900</v>
      </c>
      <c r="AE60" s="259">
        <v>900</v>
      </c>
      <c r="AF60" s="274"/>
      <c r="AJ60" s="319" t="s">
        <v>2191</v>
      </c>
      <c r="AK60" s="274"/>
      <c r="AL60" s="319" t="s">
        <v>2190</v>
      </c>
      <c r="AM60" s="259" t="s">
        <v>1975</v>
      </c>
      <c r="AN60" s="259" t="b">
        <v>0</v>
      </c>
      <c r="AP60" s="274"/>
      <c r="AQ60" s="274"/>
      <c r="AR60" s="274"/>
      <c r="AT60" s="274"/>
      <c r="AU60" s="274"/>
      <c r="AZ60" s="274"/>
      <c r="BA60" s="259" t="s">
        <v>373</v>
      </c>
      <c r="BB60" s="259" t="s">
        <v>1610</v>
      </c>
      <c r="BC60" s="259" t="s">
        <v>2192</v>
      </c>
    </row>
    <row r="61" spans="1:55" ht="135">
      <c r="A61" s="259">
        <v>276</v>
      </c>
      <c r="B61" s="259" t="s">
        <v>2385</v>
      </c>
      <c r="C61" s="259" t="s">
        <v>2389</v>
      </c>
      <c r="D61" s="259" t="s">
        <v>8</v>
      </c>
      <c r="E61" s="259" t="s">
        <v>9</v>
      </c>
      <c r="F61" s="259" t="s">
        <v>1759</v>
      </c>
      <c r="G61" s="274">
        <v>44713</v>
      </c>
      <c r="H61" s="274"/>
      <c r="I61" s="274"/>
      <c r="N61" s="259" t="s">
        <v>122</v>
      </c>
      <c r="P61" s="259" t="s">
        <v>1554</v>
      </c>
      <c r="Q61" s="259" t="s">
        <v>2198</v>
      </c>
      <c r="R61" s="274">
        <v>44571.555300925924</v>
      </c>
      <c r="S61" s="321">
        <v>2022</v>
      </c>
      <c r="T61" s="259" t="s">
        <v>2001</v>
      </c>
      <c r="U61" s="259" t="s">
        <v>630</v>
      </c>
      <c r="V61" s="259" t="s">
        <v>631</v>
      </c>
      <c r="W61" s="259" t="s">
        <v>145</v>
      </c>
      <c r="X61" s="259" t="s">
        <v>309</v>
      </c>
      <c r="Y61" s="365">
        <v>44835</v>
      </c>
      <c r="Z61" s="259" t="s">
        <v>1875</v>
      </c>
      <c r="AA61" s="274"/>
      <c r="AB61" s="259" t="s">
        <v>139</v>
      </c>
      <c r="AC61" s="259" t="s">
        <v>1875</v>
      </c>
      <c r="AD61" s="259">
        <v>900</v>
      </c>
      <c r="AE61" s="259">
        <v>900</v>
      </c>
      <c r="AF61" s="274"/>
      <c r="AJ61" s="319" t="s">
        <v>2191</v>
      </c>
      <c r="AK61" s="274"/>
      <c r="AL61" s="319" t="s">
        <v>2190</v>
      </c>
      <c r="AM61" s="259" t="s">
        <v>1975</v>
      </c>
      <c r="AN61" s="259" t="b">
        <v>0</v>
      </c>
      <c r="AP61" s="274"/>
      <c r="AQ61" s="274"/>
      <c r="AR61" s="274"/>
      <c r="AT61" s="274"/>
      <c r="AU61" s="274"/>
      <c r="AZ61" s="274"/>
      <c r="BA61" s="259" t="s">
        <v>373</v>
      </c>
      <c r="BB61" s="259" t="s">
        <v>1610</v>
      </c>
      <c r="BC61" s="259" t="s">
        <v>2192</v>
      </c>
    </row>
    <row r="62" spans="1:55" ht="135">
      <c r="A62" s="259">
        <v>119</v>
      </c>
      <c r="B62" s="259" t="s">
        <v>2387</v>
      </c>
      <c r="C62" s="259" t="s">
        <v>2388</v>
      </c>
      <c r="D62" s="259" t="s">
        <v>8</v>
      </c>
      <c r="E62" s="259" t="s">
        <v>9</v>
      </c>
      <c r="F62" s="259" t="s">
        <v>1759</v>
      </c>
      <c r="G62" s="274">
        <v>44293</v>
      </c>
      <c r="H62" s="274"/>
      <c r="I62" s="274"/>
      <c r="N62" s="259" t="s">
        <v>122</v>
      </c>
      <c r="P62" s="259" t="s">
        <v>1554</v>
      </c>
      <c r="Q62" s="259" t="s">
        <v>2198</v>
      </c>
      <c r="R62" s="274">
        <v>44571.554768518516</v>
      </c>
      <c r="S62" s="321">
        <v>2021</v>
      </c>
      <c r="T62" s="259" t="s">
        <v>2001</v>
      </c>
      <c r="U62" s="259" t="s">
        <v>630</v>
      </c>
      <c r="V62" s="259" t="s">
        <v>631</v>
      </c>
      <c r="W62" s="259" t="s">
        <v>145</v>
      </c>
      <c r="X62" s="259" t="s">
        <v>309</v>
      </c>
      <c r="Y62" s="365">
        <v>44835</v>
      </c>
      <c r="Z62" s="259" t="s">
        <v>1875</v>
      </c>
      <c r="AA62" s="274"/>
      <c r="AB62" s="259" t="s">
        <v>139</v>
      </c>
      <c r="AC62" s="259" t="s">
        <v>1875</v>
      </c>
      <c r="AD62" s="259">
        <v>900</v>
      </c>
      <c r="AE62" s="259">
        <v>900</v>
      </c>
      <c r="AF62" s="274"/>
      <c r="AJ62" s="319" t="s">
        <v>2191</v>
      </c>
      <c r="AK62" s="274"/>
      <c r="AL62" s="319" t="s">
        <v>2190</v>
      </c>
      <c r="AM62" s="259" t="s">
        <v>1975</v>
      </c>
      <c r="AN62" s="259" t="b">
        <v>0</v>
      </c>
      <c r="AP62" s="274"/>
      <c r="AQ62" s="274"/>
      <c r="AR62" s="274"/>
      <c r="AT62" s="274"/>
      <c r="AU62" s="274"/>
      <c r="AZ62" s="274"/>
      <c r="BA62" s="259" t="s">
        <v>373</v>
      </c>
      <c r="BB62" s="259" t="s">
        <v>1610</v>
      </c>
      <c r="BC62" s="259" t="s">
        <v>2192</v>
      </c>
    </row>
    <row r="63" spans="1:55" ht="135">
      <c r="A63" s="259">
        <v>89</v>
      </c>
      <c r="B63" s="259" t="s">
        <v>2371</v>
      </c>
      <c r="C63" s="259" t="s">
        <v>2372</v>
      </c>
      <c r="D63" s="259" t="s">
        <v>8</v>
      </c>
      <c r="E63" s="259" t="s">
        <v>9</v>
      </c>
      <c r="F63" s="259" t="s">
        <v>1759</v>
      </c>
      <c r="G63" s="274">
        <v>44203</v>
      </c>
      <c r="H63" s="274"/>
      <c r="I63" s="274"/>
      <c r="N63" s="259" t="s">
        <v>122</v>
      </c>
      <c r="P63" s="259" t="s">
        <v>1554</v>
      </c>
      <c r="Q63" s="259" t="s">
        <v>2198</v>
      </c>
      <c r="R63" s="274">
        <v>44571.551724537036</v>
      </c>
      <c r="S63" s="321">
        <v>2021</v>
      </c>
      <c r="T63" s="259" t="s">
        <v>2001</v>
      </c>
      <c r="U63" s="259" t="s">
        <v>630</v>
      </c>
      <c r="V63" s="259" t="s">
        <v>631</v>
      </c>
      <c r="W63" s="259" t="s">
        <v>145</v>
      </c>
      <c r="X63" s="259" t="s">
        <v>309</v>
      </c>
      <c r="Y63" s="365">
        <v>44835</v>
      </c>
      <c r="Z63" s="259" t="s">
        <v>1875</v>
      </c>
      <c r="AA63" s="274"/>
      <c r="AB63" s="259" t="s">
        <v>139</v>
      </c>
      <c r="AC63" s="259" t="s">
        <v>1875</v>
      </c>
      <c r="AD63" s="259">
        <v>900</v>
      </c>
      <c r="AE63" s="259">
        <v>900</v>
      </c>
      <c r="AF63" s="274"/>
      <c r="AJ63" s="319" t="s">
        <v>2191</v>
      </c>
      <c r="AK63" s="274"/>
      <c r="AL63" s="319" t="s">
        <v>2190</v>
      </c>
      <c r="AM63" s="259" t="s">
        <v>1975</v>
      </c>
      <c r="AN63" s="259" t="b">
        <v>0</v>
      </c>
      <c r="AP63" s="274"/>
      <c r="AQ63" s="274"/>
      <c r="AR63" s="274"/>
      <c r="AT63" s="274"/>
      <c r="AU63" s="274"/>
      <c r="AZ63" s="274"/>
      <c r="BA63" s="259" t="s">
        <v>373</v>
      </c>
      <c r="BB63" s="259" t="s">
        <v>1610</v>
      </c>
      <c r="BC63" s="259" t="s">
        <v>2192</v>
      </c>
    </row>
    <row r="64" spans="1:55" ht="135">
      <c r="A64" s="259">
        <v>118</v>
      </c>
      <c r="B64" s="259" t="s">
        <v>2385</v>
      </c>
      <c r="C64" s="259" t="s">
        <v>2386</v>
      </c>
      <c r="D64" s="259" t="s">
        <v>8</v>
      </c>
      <c r="E64" s="259" t="s">
        <v>9</v>
      </c>
      <c r="F64" s="259" t="s">
        <v>1759</v>
      </c>
      <c r="G64" s="274">
        <v>44293</v>
      </c>
      <c r="H64" s="274"/>
      <c r="I64" s="274"/>
      <c r="N64" s="259" t="s">
        <v>122</v>
      </c>
      <c r="P64" s="259" t="s">
        <v>1554</v>
      </c>
      <c r="Q64" s="259" t="s">
        <v>2198</v>
      </c>
      <c r="R64" s="274">
        <v>44571.554432870369</v>
      </c>
      <c r="S64" s="321">
        <v>2021</v>
      </c>
      <c r="T64" s="259" t="s">
        <v>2001</v>
      </c>
      <c r="U64" s="259" t="s">
        <v>630</v>
      </c>
      <c r="V64" s="259" t="s">
        <v>631</v>
      </c>
      <c r="W64" s="259" t="s">
        <v>145</v>
      </c>
      <c r="X64" s="259" t="s">
        <v>309</v>
      </c>
      <c r="Y64" s="365">
        <v>44835</v>
      </c>
      <c r="Z64" s="259" t="s">
        <v>1875</v>
      </c>
      <c r="AA64" s="274"/>
      <c r="AB64" s="259" t="s">
        <v>139</v>
      </c>
      <c r="AC64" s="259" t="s">
        <v>1875</v>
      </c>
      <c r="AD64" s="259">
        <v>900</v>
      </c>
      <c r="AE64" s="259">
        <v>900</v>
      </c>
      <c r="AF64" s="274"/>
      <c r="AJ64" s="319" t="s">
        <v>2191</v>
      </c>
      <c r="AK64" s="274"/>
      <c r="AL64" s="319" t="s">
        <v>2190</v>
      </c>
      <c r="AM64" s="259" t="s">
        <v>1975</v>
      </c>
      <c r="AN64" s="259" t="b">
        <v>0</v>
      </c>
      <c r="AP64" s="274"/>
      <c r="AQ64" s="274"/>
      <c r="AR64" s="274"/>
      <c r="AT64" s="274"/>
      <c r="AU64" s="274"/>
      <c r="AZ64" s="274"/>
      <c r="BA64" s="259" t="s">
        <v>373</v>
      </c>
      <c r="BB64" s="259" t="s">
        <v>1610</v>
      </c>
      <c r="BC64" s="259" t="s">
        <v>2192</v>
      </c>
    </row>
    <row r="65" spans="1:55" ht="135">
      <c r="A65" s="259">
        <v>117</v>
      </c>
      <c r="B65" s="259" t="s">
        <v>2383</v>
      </c>
      <c r="C65" s="259" t="s">
        <v>2384</v>
      </c>
      <c r="D65" s="259" t="s">
        <v>8</v>
      </c>
      <c r="E65" s="259" t="s">
        <v>9</v>
      </c>
      <c r="F65" s="259" t="s">
        <v>1759</v>
      </c>
      <c r="G65" s="274">
        <v>44293</v>
      </c>
      <c r="H65" s="274"/>
      <c r="I65" s="274"/>
      <c r="N65" s="259" t="s">
        <v>122</v>
      </c>
      <c r="P65" s="259" t="s">
        <v>1554</v>
      </c>
      <c r="Q65" s="259" t="s">
        <v>2198</v>
      </c>
      <c r="R65" s="274">
        <v>44571.554097222222</v>
      </c>
      <c r="S65" s="321">
        <v>2021</v>
      </c>
      <c r="T65" s="259" t="s">
        <v>2001</v>
      </c>
      <c r="U65" s="259" t="s">
        <v>630</v>
      </c>
      <c r="V65" s="259" t="s">
        <v>631</v>
      </c>
      <c r="W65" s="259" t="s">
        <v>145</v>
      </c>
      <c r="X65" s="259" t="s">
        <v>309</v>
      </c>
      <c r="Y65" s="365">
        <v>44835</v>
      </c>
      <c r="Z65" s="259" t="s">
        <v>1875</v>
      </c>
      <c r="AA65" s="274"/>
      <c r="AB65" s="259" t="s">
        <v>139</v>
      </c>
      <c r="AC65" s="259" t="s">
        <v>1875</v>
      </c>
      <c r="AD65" s="259">
        <v>900</v>
      </c>
      <c r="AE65" s="259">
        <v>900</v>
      </c>
      <c r="AF65" s="274"/>
      <c r="AJ65" s="319" t="s">
        <v>2191</v>
      </c>
      <c r="AK65" s="274"/>
      <c r="AL65" s="319" t="s">
        <v>2190</v>
      </c>
      <c r="AM65" s="259" t="s">
        <v>1975</v>
      </c>
      <c r="AN65" s="259" t="b">
        <v>0</v>
      </c>
      <c r="AP65" s="274"/>
      <c r="AQ65" s="274"/>
      <c r="AR65" s="274"/>
      <c r="AT65" s="274"/>
      <c r="AU65" s="274"/>
      <c r="AZ65" s="274"/>
      <c r="BA65" s="259" t="s">
        <v>373</v>
      </c>
      <c r="BB65" s="259" t="s">
        <v>1610</v>
      </c>
      <c r="BC65" s="259" t="s">
        <v>2192</v>
      </c>
    </row>
    <row r="66" spans="1:55" ht="135">
      <c r="A66" s="259">
        <v>116</v>
      </c>
      <c r="B66" s="259" t="s">
        <v>2381</v>
      </c>
      <c r="C66" s="259" t="s">
        <v>2382</v>
      </c>
      <c r="D66" s="259" t="s">
        <v>8</v>
      </c>
      <c r="E66" s="259" t="s">
        <v>9</v>
      </c>
      <c r="F66" s="259" t="s">
        <v>1759</v>
      </c>
      <c r="G66" s="274">
        <v>44293</v>
      </c>
      <c r="H66" s="274"/>
      <c r="I66" s="274"/>
      <c r="N66" s="259" t="s">
        <v>122</v>
      </c>
      <c r="P66" s="259" t="s">
        <v>1554</v>
      </c>
      <c r="Q66" s="259" t="s">
        <v>2198</v>
      </c>
      <c r="R66" s="274">
        <v>44571.553749999999</v>
      </c>
      <c r="S66" s="321">
        <v>2021</v>
      </c>
      <c r="T66" s="259" t="s">
        <v>2001</v>
      </c>
      <c r="U66" s="259" t="s">
        <v>630</v>
      </c>
      <c r="V66" s="259" t="s">
        <v>631</v>
      </c>
      <c r="W66" s="259" t="s">
        <v>145</v>
      </c>
      <c r="X66" s="259" t="s">
        <v>309</v>
      </c>
      <c r="Y66" s="365">
        <v>44835</v>
      </c>
      <c r="Z66" s="259" t="s">
        <v>1875</v>
      </c>
      <c r="AA66" s="274"/>
      <c r="AB66" s="259" t="s">
        <v>139</v>
      </c>
      <c r="AC66" s="259" t="s">
        <v>1875</v>
      </c>
      <c r="AD66" s="259">
        <v>900</v>
      </c>
      <c r="AE66" s="259">
        <v>900</v>
      </c>
      <c r="AF66" s="274"/>
      <c r="AJ66" s="319" t="s">
        <v>2191</v>
      </c>
      <c r="AK66" s="274"/>
      <c r="AL66" s="319" t="s">
        <v>2190</v>
      </c>
      <c r="AM66" s="259" t="s">
        <v>1975</v>
      </c>
      <c r="AN66" s="259" t="b">
        <v>0</v>
      </c>
      <c r="AP66" s="274"/>
      <c r="AQ66" s="274"/>
      <c r="AR66" s="274"/>
      <c r="AT66" s="274"/>
      <c r="AU66" s="274"/>
      <c r="AZ66" s="274"/>
      <c r="BA66" s="259" t="s">
        <v>373</v>
      </c>
      <c r="BB66" s="259" t="s">
        <v>1610</v>
      </c>
      <c r="BC66" s="259" t="s">
        <v>2192</v>
      </c>
    </row>
    <row r="67" spans="1:55" ht="135">
      <c r="A67" s="259">
        <v>64</v>
      </c>
      <c r="B67" s="259" t="s">
        <v>2364</v>
      </c>
      <c r="C67" s="259" t="s">
        <v>2365</v>
      </c>
      <c r="D67" s="259" t="s">
        <v>8</v>
      </c>
      <c r="E67" s="259" t="s">
        <v>9</v>
      </c>
      <c r="F67" s="259" t="s">
        <v>1759</v>
      </c>
      <c r="G67" s="274">
        <v>44028</v>
      </c>
      <c r="H67" s="274"/>
      <c r="I67" s="274"/>
      <c r="N67" s="259" t="s">
        <v>122</v>
      </c>
      <c r="P67" s="259" t="s">
        <v>1554</v>
      </c>
      <c r="Q67" s="259" t="s">
        <v>2198</v>
      </c>
      <c r="R67" s="274">
        <v>44571.550173611111</v>
      </c>
      <c r="S67" s="321">
        <v>2020</v>
      </c>
      <c r="T67" s="259" t="s">
        <v>2001</v>
      </c>
      <c r="U67" s="259" t="s">
        <v>630</v>
      </c>
      <c r="V67" s="259" t="s">
        <v>631</v>
      </c>
      <c r="W67" s="259" t="s">
        <v>145</v>
      </c>
      <c r="X67" s="259" t="s">
        <v>309</v>
      </c>
      <c r="Y67" s="365">
        <v>44835</v>
      </c>
      <c r="Z67" s="259" t="s">
        <v>1875</v>
      </c>
      <c r="AA67" s="274"/>
      <c r="AB67" s="259" t="s">
        <v>139</v>
      </c>
      <c r="AC67" s="259" t="s">
        <v>1875</v>
      </c>
      <c r="AD67" s="259">
        <v>900</v>
      </c>
      <c r="AE67" s="259">
        <v>900</v>
      </c>
      <c r="AF67" s="274"/>
      <c r="AJ67" s="319" t="s">
        <v>2191</v>
      </c>
      <c r="AK67" s="274"/>
      <c r="AL67" s="319" t="s">
        <v>2190</v>
      </c>
      <c r="AM67" s="259" t="s">
        <v>1975</v>
      </c>
      <c r="AN67" s="259" t="b">
        <v>0</v>
      </c>
      <c r="AP67" s="274"/>
      <c r="AQ67" s="274"/>
      <c r="AR67" s="274"/>
      <c r="AT67" s="274"/>
      <c r="AU67" s="274"/>
      <c r="AZ67" s="274"/>
      <c r="BA67" s="259" t="s">
        <v>373</v>
      </c>
      <c r="BB67" s="259" t="s">
        <v>1610</v>
      </c>
      <c r="BC67" s="259" t="s">
        <v>2192</v>
      </c>
    </row>
    <row r="68" spans="1:55" ht="135">
      <c r="A68" s="259">
        <v>113</v>
      </c>
      <c r="B68" s="259" t="s">
        <v>2375</v>
      </c>
      <c r="C68" s="259" t="s">
        <v>2376</v>
      </c>
      <c r="D68" s="259" t="s">
        <v>8</v>
      </c>
      <c r="E68" s="259" t="s">
        <v>9</v>
      </c>
      <c r="F68" s="259" t="s">
        <v>1759</v>
      </c>
      <c r="G68" s="274">
        <v>44293</v>
      </c>
      <c r="H68" s="274"/>
      <c r="I68" s="274"/>
      <c r="N68" s="259" t="s">
        <v>122</v>
      </c>
      <c r="P68" s="259" t="s">
        <v>1554</v>
      </c>
      <c r="Q68" s="259" t="s">
        <v>2198</v>
      </c>
      <c r="R68" s="274">
        <v>44571.552615740744</v>
      </c>
      <c r="S68" s="321">
        <v>2021</v>
      </c>
      <c r="T68" s="259" t="s">
        <v>2001</v>
      </c>
      <c r="U68" s="259" t="s">
        <v>630</v>
      </c>
      <c r="V68" s="259" t="s">
        <v>631</v>
      </c>
      <c r="W68" s="259" t="s">
        <v>145</v>
      </c>
      <c r="X68" s="259" t="s">
        <v>309</v>
      </c>
      <c r="Y68" s="365">
        <v>44835</v>
      </c>
      <c r="Z68" s="259" t="s">
        <v>1875</v>
      </c>
      <c r="AA68" s="274"/>
      <c r="AB68" s="259" t="s">
        <v>139</v>
      </c>
      <c r="AC68" s="259" t="s">
        <v>1875</v>
      </c>
      <c r="AD68" s="259">
        <v>900</v>
      </c>
      <c r="AE68" s="259">
        <v>900</v>
      </c>
      <c r="AF68" s="274"/>
      <c r="AJ68" s="319" t="s">
        <v>2191</v>
      </c>
      <c r="AK68" s="274"/>
      <c r="AL68" s="319" t="s">
        <v>2190</v>
      </c>
      <c r="AM68" s="259" t="s">
        <v>1975</v>
      </c>
      <c r="AN68" s="259" t="b">
        <v>0</v>
      </c>
      <c r="AP68" s="274"/>
      <c r="AQ68" s="274"/>
      <c r="AR68" s="274"/>
      <c r="AT68" s="274"/>
      <c r="AU68" s="274"/>
      <c r="AZ68" s="274"/>
      <c r="BA68" s="259" t="s">
        <v>373</v>
      </c>
      <c r="BB68" s="259" t="s">
        <v>1610</v>
      </c>
      <c r="BC68" s="259" t="s">
        <v>2192</v>
      </c>
    </row>
    <row r="69" spans="1:55" ht="135">
      <c r="A69" s="259">
        <v>114</v>
      </c>
      <c r="B69" s="259" t="s">
        <v>2377</v>
      </c>
      <c r="C69" s="259" t="s">
        <v>2378</v>
      </c>
      <c r="D69" s="259" t="s">
        <v>8</v>
      </c>
      <c r="E69" s="259" t="s">
        <v>9</v>
      </c>
      <c r="F69" s="259" t="s">
        <v>1759</v>
      </c>
      <c r="G69" s="274">
        <v>44293</v>
      </c>
      <c r="H69" s="274"/>
      <c r="I69" s="274"/>
      <c r="N69" s="259" t="s">
        <v>122</v>
      </c>
      <c r="P69" s="259" t="s">
        <v>1554</v>
      </c>
      <c r="Q69" s="259" t="s">
        <v>2198</v>
      </c>
      <c r="R69" s="274">
        <v>44571.552997685183</v>
      </c>
      <c r="S69" s="321">
        <v>2021</v>
      </c>
      <c r="T69" s="259" t="s">
        <v>2001</v>
      </c>
      <c r="U69" s="259" t="s">
        <v>630</v>
      </c>
      <c r="V69" s="259" t="s">
        <v>631</v>
      </c>
      <c r="W69" s="259" t="s">
        <v>145</v>
      </c>
      <c r="X69" s="259" t="s">
        <v>309</v>
      </c>
      <c r="Y69" s="365">
        <v>44835</v>
      </c>
      <c r="Z69" s="259" t="s">
        <v>1875</v>
      </c>
      <c r="AA69" s="274"/>
      <c r="AB69" s="259" t="s">
        <v>139</v>
      </c>
      <c r="AC69" s="259" t="s">
        <v>1875</v>
      </c>
      <c r="AD69" s="259">
        <v>900</v>
      </c>
      <c r="AE69" s="259">
        <v>900</v>
      </c>
      <c r="AF69" s="274"/>
      <c r="AJ69" s="319" t="s">
        <v>2191</v>
      </c>
      <c r="AK69" s="274"/>
      <c r="AL69" s="319" t="s">
        <v>2190</v>
      </c>
      <c r="AM69" s="259" t="s">
        <v>1975</v>
      </c>
      <c r="AN69" s="259" t="b">
        <v>0</v>
      </c>
      <c r="AP69" s="274"/>
      <c r="AQ69" s="274"/>
      <c r="AR69" s="274"/>
      <c r="AT69" s="274"/>
      <c r="AU69" s="274"/>
      <c r="AZ69" s="274"/>
      <c r="BA69" s="259" t="s">
        <v>373</v>
      </c>
      <c r="BB69" s="259" t="s">
        <v>1610</v>
      </c>
      <c r="BC69" s="259" t="s">
        <v>2192</v>
      </c>
    </row>
    <row r="70" spans="1:55" ht="135">
      <c r="A70" s="259">
        <v>65</v>
      </c>
      <c r="B70" s="259" t="s">
        <v>2366</v>
      </c>
      <c r="C70" s="259" t="s">
        <v>2367</v>
      </c>
      <c r="D70" s="259" t="s">
        <v>8</v>
      </c>
      <c r="E70" s="259" t="s">
        <v>9</v>
      </c>
      <c r="F70" s="259" t="s">
        <v>1759</v>
      </c>
      <c r="G70" s="274">
        <v>44028</v>
      </c>
      <c r="H70" s="274"/>
      <c r="I70" s="274"/>
      <c r="N70" s="259" t="s">
        <v>122</v>
      </c>
      <c r="P70" s="259" t="s">
        <v>1554</v>
      </c>
      <c r="Q70" s="259" t="s">
        <v>2198</v>
      </c>
      <c r="R70" s="274">
        <v>44571.550555555557</v>
      </c>
      <c r="S70" s="321">
        <v>2020</v>
      </c>
      <c r="T70" s="259" t="s">
        <v>2001</v>
      </c>
      <c r="U70" s="259" t="s">
        <v>630</v>
      </c>
      <c r="V70" s="259" t="s">
        <v>631</v>
      </c>
      <c r="W70" s="259" t="s">
        <v>145</v>
      </c>
      <c r="X70" s="259" t="s">
        <v>309</v>
      </c>
      <c r="Y70" s="365">
        <v>44835</v>
      </c>
      <c r="Z70" s="259" t="s">
        <v>1875</v>
      </c>
      <c r="AA70" s="274"/>
      <c r="AB70" s="259" t="s">
        <v>139</v>
      </c>
      <c r="AC70" s="259" t="s">
        <v>1875</v>
      </c>
      <c r="AD70" s="259">
        <v>900</v>
      </c>
      <c r="AE70" s="259">
        <v>900</v>
      </c>
      <c r="AF70" s="274"/>
      <c r="AJ70" s="319" t="s">
        <v>2191</v>
      </c>
      <c r="AK70" s="274"/>
      <c r="AL70" s="319" t="s">
        <v>2190</v>
      </c>
      <c r="AM70" s="259" t="s">
        <v>1975</v>
      </c>
      <c r="AN70" s="259" t="b">
        <v>0</v>
      </c>
      <c r="AP70" s="274"/>
      <c r="AQ70" s="274"/>
      <c r="AR70" s="274"/>
      <c r="AT70" s="274"/>
      <c r="AU70" s="274"/>
      <c r="AZ70" s="274"/>
      <c r="BA70" s="259" t="s">
        <v>373</v>
      </c>
      <c r="BB70" s="259" t="s">
        <v>1610</v>
      </c>
      <c r="BC70" s="259" t="s">
        <v>2192</v>
      </c>
    </row>
    <row r="71" spans="1:55" ht="135">
      <c r="A71" s="259">
        <v>7</v>
      </c>
      <c r="B71" s="259" t="s">
        <v>2282</v>
      </c>
      <c r="C71" s="259" t="s">
        <v>2283</v>
      </c>
      <c r="D71" s="259" t="s">
        <v>8</v>
      </c>
      <c r="E71" s="259" t="s">
        <v>9</v>
      </c>
      <c r="F71" s="259" t="s">
        <v>1759</v>
      </c>
      <c r="G71" s="274">
        <v>43347</v>
      </c>
      <c r="H71" s="274">
        <v>44006</v>
      </c>
      <c r="I71" s="274"/>
      <c r="N71" s="259" t="s">
        <v>122</v>
      </c>
      <c r="P71" s="259" t="s">
        <v>1554</v>
      </c>
      <c r="Q71" s="259" t="s">
        <v>2198</v>
      </c>
      <c r="R71" s="274">
        <v>44571.524155092593</v>
      </c>
      <c r="S71" s="321">
        <v>2018</v>
      </c>
      <c r="T71" s="259" t="s">
        <v>2001</v>
      </c>
      <c r="U71" s="259" t="s">
        <v>630</v>
      </c>
      <c r="V71" s="259" t="s">
        <v>631</v>
      </c>
      <c r="W71" s="259" t="s">
        <v>145</v>
      </c>
      <c r="X71" s="259" t="s">
        <v>309</v>
      </c>
      <c r="Y71" s="365">
        <v>44835</v>
      </c>
      <c r="Z71" s="259" t="s">
        <v>1875</v>
      </c>
      <c r="AA71" s="274"/>
      <c r="AB71" s="259" t="s">
        <v>139</v>
      </c>
      <c r="AC71" s="259" t="s">
        <v>1875</v>
      </c>
      <c r="AD71" s="259">
        <v>900</v>
      </c>
      <c r="AE71" s="259">
        <v>900</v>
      </c>
      <c r="AF71" s="274"/>
      <c r="AJ71" s="319" t="s">
        <v>2191</v>
      </c>
      <c r="AK71" s="274"/>
      <c r="AL71" s="319" t="s">
        <v>2190</v>
      </c>
      <c r="AM71" s="259" t="s">
        <v>1975</v>
      </c>
      <c r="AN71" s="259" t="b">
        <v>0</v>
      </c>
      <c r="AP71" s="274"/>
      <c r="AQ71" s="274"/>
      <c r="AR71" s="274"/>
      <c r="AT71" s="274"/>
      <c r="AU71" s="274"/>
      <c r="AZ71" s="274"/>
      <c r="BA71" s="259" t="s">
        <v>373</v>
      </c>
      <c r="BB71" s="259" t="s">
        <v>1610</v>
      </c>
      <c r="BC71" s="259" t="s">
        <v>2192</v>
      </c>
    </row>
    <row r="72" spans="1:55" ht="135">
      <c r="A72" s="259">
        <v>6</v>
      </c>
      <c r="B72" s="259" t="s">
        <v>2280</v>
      </c>
      <c r="C72" s="259" t="s">
        <v>2281</v>
      </c>
      <c r="D72" s="259" t="s">
        <v>8</v>
      </c>
      <c r="E72" s="259" t="s">
        <v>9</v>
      </c>
      <c r="F72" s="259" t="s">
        <v>1759</v>
      </c>
      <c r="G72" s="274">
        <v>43285</v>
      </c>
      <c r="H72" s="274">
        <v>44014</v>
      </c>
      <c r="I72" s="274"/>
      <c r="N72" s="259" t="s">
        <v>122</v>
      </c>
      <c r="P72" s="259" t="s">
        <v>1554</v>
      </c>
      <c r="Q72" s="259" t="s">
        <v>2198</v>
      </c>
      <c r="R72" s="274">
        <v>44571.523402777777</v>
      </c>
      <c r="S72" s="321">
        <v>2018</v>
      </c>
      <c r="T72" s="259" t="s">
        <v>2001</v>
      </c>
      <c r="U72" s="259" t="s">
        <v>630</v>
      </c>
      <c r="V72" s="259" t="s">
        <v>631</v>
      </c>
      <c r="W72" s="259" t="s">
        <v>145</v>
      </c>
      <c r="X72" s="259" t="s">
        <v>309</v>
      </c>
      <c r="Y72" s="365">
        <v>44835</v>
      </c>
      <c r="Z72" s="259" t="s">
        <v>1875</v>
      </c>
      <c r="AA72" s="274"/>
      <c r="AB72" s="259" t="s">
        <v>139</v>
      </c>
      <c r="AC72" s="259" t="s">
        <v>1875</v>
      </c>
      <c r="AD72" s="259">
        <v>900</v>
      </c>
      <c r="AE72" s="259">
        <v>900</v>
      </c>
      <c r="AF72" s="274"/>
      <c r="AJ72" s="319" t="s">
        <v>2191</v>
      </c>
      <c r="AK72" s="274"/>
      <c r="AL72" s="319" t="s">
        <v>2190</v>
      </c>
      <c r="AM72" s="259" t="s">
        <v>1975</v>
      </c>
      <c r="AN72" s="259" t="b">
        <v>0</v>
      </c>
      <c r="AP72" s="274"/>
      <c r="AQ72" s="274"/>
      <c r="AR72" s="274"/>
      <c r="AT72" s="274"/>
      <c r="AU72" s="274"/>
      <c r="AZ72" s="274"/>
      <c r="BA72" s="259" t="s">
        <v>373</v>
      </c>
      <c r="BB72" s="259" t="s">
        <v>1610</v>
      </c>
      <c r="BC72" s="259" t="s">
        <v>2192</v>
      </c>
    </row>
    <row r="73" spans="1:55" ht="135">
      <c r="A73" s="259">
        <v>42</v>
      </c>
      <c r="B73" s="259" t="s">
        <v>2324</v>
      </c>
      <c r="C73" s="259" t="s">
        <v>2325</v>
      </c>
      <c r="D73" s="259" t="s">
        <v>8</v>
      </c>
      <c r="E73" s="259" t="s">
        <v>9</v>
      </c>
      <c r="F73" s="259" t="s">
        <v>1759</v>
      </c>
      <c r="G73" s="274">
        <v>44006</v>
      </c>
      <c r="H73" s="274"/>
      <c r="I73" s="274"/>
      <c r="N73" s="259" t="s">
        <v>122</v>
      </c>
      <c r="P73" s="259" t="s">
        <v>1554</v>
      </c>
      <c r="Q73" s="259" t="s">
        <v>2198</v>
      </c>
      <c r="R73" s="274">
        <v>44571.540995370371</v>
      </c>
      <c r="S73" s="321">
        <v>2020</v>
      </c>
      <c r="T73" s="259" t="s">
        <v>2001</v>
      </c>
      <c r="U73" s="259" t="s">
        <v>630</v>
      </c>
      <c r="V73" s="259" t="s">
        <v>631</v>
      </c>
      <c r="W73" s="259" t="s">
        <v>145</v>
      </c>
      <c r="X73" s="259" t="s">
        <v>309</v>
      </c>
      <c r="Y73" s="365">
        <v>44835</v>
      </c>
      <c r="Z73" s="259" t="s">
        <v>1875</v>
      </c>
      <c r="AA73" s="274"/>
      <c r="AB73" s="259" t="s">
        <v>139</v>
      </c>
      <c r="AC73" s="259" t="s">
        <v>1875</v>
      </c>
      <c r="AD73" s="259">
        <v>900</v>
      </c>
      <c r="AE73" s="259">
        <v>900</v>
      </c>
      <c r="AF73" s="274"/>
      <c r="AJ73" s="319" t="s">
        <v>2191</v>
      </c>
      <c r="AK73" s="274"/>
      <c r="AL73" s="319" t="s">
        <v>2190</v>
      </c>
      <c r="AM73" s="259" t="s">
        <v>1975</v>
      </c>
      <c r="AN73" s="259" t="b">
        <v>0</v>
      </c>
      <c r="AP73" s="274"/>
      <c r="AQ73" s="274"/>
      <c r="AR73" s="274"/>
      <c r="AT73" s="274"/>
      <c r="AU73" s="274"/>
      <c r="AZ73" s="274"/>
      <c r="BA73" s="259" t="s">
        <v>373</v>
      </c>
      <c r="BB73" s="259" t="s">
        <v>1610</v>
      </c>
      <c r="BC73" s="259" t="s">
        <v>2192</v>
      </c>
    </row>
    <row r="74" spans="1:55" ht="135">
      <c r="A74" s="259">
        <v>31</v>
      </c>
      <c r="B74" s="259" t="s">
        <v>2300</v>
      </c>
      <c r="C74" s="259" t="s">
        <v>2301</v>
      </c>
      <c r="D74" s="259" t="s">
        <v>8</v>
      </c>
      <c r="E74" s="259" t="s">
        <v>9</v>
      </c>
      <c r="F74" s="259" t="s">
        <v>1759</v>
      </c>
      <c r="G74" s="274">
        <v>43906</v>
      </c>
      <c r="H74" s="274">
        <v>43995</v>
      </c>
      <c r="I74" s="274"/>
      <c r="N74" s="259" t="s">
        <v>122</v>
      </c>
      <c r="P74" s="259" t="s">
        <v>1554</v>
      </c>
      <c r="Q74" s="259" t="s">
        <v>2198</v>
      </c>
      <c r="R74" s="274">
        <v>44571.52925925926</v>
      </c>
      <c r="S74" s="321">
        <v>2020</v>
      </c>
      <c r="T74" s="259" t="s">
        <v>2001</v>
      </c>
      <c r="U74" s="259" t="s">
        <v>630</v>
      </c>
      <c r="V74" s="259" t="s">
        <v>631</v>
      </c>
      <c r="W74" s="259" t="s">
        <v>145</v>
      </c>
      <c r="X74" s="259" t="s">
        <v>309</v>
      </c>
      <c r="Y74" s="365">
        <v>44835</v>
      </c>
      <c r="Z74" s="259" t="s">
        <v>1875</v>
      </c>
      <c r="AA74" s="274"/>
      <c r="AB74" s="259" t="s">
        <v>139</v>
      </c>
      <c r="AC74" s="259" t="s">
        <v>1875</v>
      </c>
      <c r="AD74" s="259">
        <v>900</v>
      </c>
      <c r="AE74" s="259">
        <v>900</v>
      </c>
      <c r="AF74" s="274"/>
      <c r="AJ74" s="319" t="s">
        <v>2191</v>
      </c>
      <c r="AK74" s="274"/>
      <c r="AL74" s="319" t="s">
        <v>2190</v>
      </c>
      <c r="AM74" s="259" t="s">
        <v>1975</v>
      </c>
      <c r="AN74" s="259" t="b">
        <v>0</v>
      </c>
      <c r="AP74" s="274"/>
      <c r="AQ74" s="274"/>
      <c r="AR74" s="274"/>
      <c r="AT74" s="274"/>
      <c r="AU74" s="274"/>
      <c r="AZ74" s="274"/>
      <c r="BA74" s="259" t="s">
        <v>373</v>
      </c>
      <c r="BB74" s="259" t="s">
        <v>1610</v>
      </c>
      <c r="BC74" s="259" t="s">
        <v>2192</v>
      </c>
    </row>
    <row r="75" spans="1:55" ht="135">
      <c r="A75" s="259">
        <v>26</v>
      </c>
      <c r="B75" s="259" t="s">
        <v>2290</v>
      </c>
      <c r="C75" s="259" t="s">
        <v>2291</v>
      </c>
      <c r="D75" s="259" t="s">
        <v>8</v>
      </c>
      <c r="E75" s="259" t="s">
        <v>9</v>
      </c>
      <c r="F75" s="259" t="s">
        <v>1759</v>
      </c>
      <c r="G75" s="274">
        <v>43906</v>
      </c>
      <c r="H75" s="274">
        <v>43995</v>
      </c>
      <c r="I75" s="274"/>
      <c r="N75" s="259" t="s">
        <v>122</v>
      </c>
      <c r="P75" s="259" t="s">
        <v>1554</v>
      </c>
      <c r="Q75" s="259" t="s">
        <v>2198</v>
      </c>
      <c r="R75" s="274">
        <v>44571.526620370372</v>
      </c>
      <c r="S75" s="321">
        <v>2020</v>
      </c>
      <c r="T75" s="259" t="s">
        <v>2001</v>
      </c>
      <c r="U75" s="259" t="s">
        <v>630</v>
      </c>
      <c r="V75" s="259" t="s">
        <v>631</v>
      </c>
      <c r="W75" s="259" t="s">
        <v>145</v>
      </c>
      <c r="X75" s="259" t="s">
        <v>309</v>
      </c>
      <c r="Y75" s="365">
        <v>44835</v>
      </c>
      <c r="Z75" s="259" t="s">
        <v>1875</v>
      </c>
      <c r="AA75" s="274"/>
      <c r="AB75" s="259" t="s">
        <v>139</v>
      </c>
      <c r="AC75" s="259" t="s">
        <v>1875</v>
      </c>
      <c r="AD75" s="259">
        <v>900</v>
      </c>
      <c r="AE75" s="259">
        <v>900</v>
      </c>
      <c r="AF75" s="274"/>
      <c r="AJ75" s="319" t="s">
        <v>2191</v>
      </c>
      <c r="AK75" s="274"/>
      <c r="AL75" s="319" t="s">
        <v>2190</v>
      </c>
      <c r="AM75" s="259" t="s">
        <v>1975</v>
      </c>
      <c r="AN75" s="259" t="b">
        <v>0</v>
      </c>
      <c r="AP75" s="274"/>
      <c r="AQ75" s="274"/>
      <c r="AR75" s="274"/>
      <c r="AT75" s="274"/>
      <c r="AU75" s="274"/>
      <c r="AZ75" s="274"/>
      <c r="BA75" s="259" t="s">
        <v>373</v>
      </c>
      <c r="BB75" s="259" t="s">
        <v>1610</v>
      </c>
      <c r="BC75" s="259" t="s">
        <v>2192</v>
      </c>
    </row>
    <row r="76" spans="1:55" ht="135">
      <c r="A76" s="259">
        <v>29</v>
      </c>
      <c r="B76" s="259" t="s">
        <v>2296</v>
      </c>
      <c r="C76" s="259" t="s">
        <v>2297</v>
      </c>
      <c r="D76" s="259" t="s">
        <v>8</v>
      </c>
      <c r="E76" s="259" t="s">
        <v>9</v>
      </c>
      <c r="F76" s="259" t="s">
        <v>1759</v>
      </c>
      <c r="G76" s="274">
        <v>43906</v>
      </c>
      <c r="H76" s="274">
        <v>43995</v>
      </c>
      <c r="I76" s="274"/>
      <c r="N76" s="259" t="s">
        <v>122</v>
      </c>
      <c r="P76" s="259" t="s">
        <v>1554</v>
      </c>
      <c r="Q76" s="259" t="s">
        <v>2198</v>
      </c>
      <c r="R76" s="274">
        <v>44571.528229166666</v>
      </c>
      <c r="S76" s="321">
        <v>2020</v>
      </c>
      <c r="T76" s="259" t="s">
        <v>2001</v>
      </c>
      <c r="U76" s="259" t="s">
        <v>630</v>
      </c>
      <c r="V76" s="259" t="s">
        <v>631</v>
      </c>
      <c r="W76" s="259" t="s">
        <v>145</v>
      </c>
      <c r="X76" s="259" t="s">
        <v>309</v>
      </c>
      <c r="Y76" s="365">
        <v>44835</v>
      </c>
      <c r="Z76" s="259" t="s">
        <v>1875</v>
      </c>
      <c r="AA76" s="274"/>
      <c r="AB76" s="259" t="s">
        <v>139</v>
      </c>
      <c r="AC76" s="259" t="s">
        <v>1875</v>
      </c>
      <c r="AD76" s="259">
        <v>900</v>
      </c>
      <c r="AE76" s="259">
        <v>900</v>
      </c>
      <c r="AF76" s="274"/>
      <c r="AJ76" s="319" t="s">
        <v>2191</v>
      </c>
      <c r="AK76" s="274"/>
      <c r="AL76" s="319" t="s">
        <v>2190</v>
      </c>
      <c r="AM76" s="259" t="s">
        <v>1975</v>
      </c>
      <c r="AN76" s="259" t="b">
        <v>0</v>
      </c>
      <c r="AP76" s="274"/>
      <c r="AQ76" s="274"/>
      <c r="AR76" s="274"/>
      <c r="AT76" s="274"/>
      <c r="AU76" s="274"/>
      <c r="AZ76" s="274"/>
      <c r="BA76" s="259" t="s">
        <v>373</v>
      </c>
      <c r="BB76" s="259" t="s">
        <v>1610</v>
      </c>
      <c r="BC76" s="259" t="s">
        <v>2192</v>
      </c>
    </row>
    <row r="77" spans="1:55" ht="135">
      <c r="A77" s="259">
        <v>32</v>
      </c>
      <c r="B77" s="259" t="s">
        <v>2302</v>
      </c>
      <c r="C77" s="259" t="s">
        <v>2303</v>
      </c>
      <c r="D77" s="259" t="s">
        <v>8</v>
      </c>
      <c r="E77" s="259" t="s">
        <v>9</v>
      </c>
      <c r="F77" s="259" t="s">
        <v>1759</v>
      </c>
      <c r="G77" s="274">
        <v>43906</v>
      </c>
      <c r="H77" s="274">
        <v>43995</v>
      </c>
      <c r="I77" s="274"/>
      <c r="N77" s="259" t="s">
        <v>122</v>
      </c>
      <c r="P77" s="259" t="s">
        <v>1554</v>
      </c>
      <c r="Q77" s="259" t="s">
        <v>2198</v>
      </c>
      <c r="R77" s="274">
        <v>44571.529791666668</v>
      </c>
      <c r="S77" s="321">
        <v>2020</v>
      </c>
      <c r="T77" s="259" t="s">
        <v>2001</v>
      </c>
      <c r="U77" s="259" t="s">
        <v>630</v>
      </c>
      <c r="V77" s="259" t="s">
        <v>631</v>
      </c>
      <c r="W77" s="259" t="s">
        <v>145</v>
      </c>
      <c r="X77" s="259" t="s">
        <v>309</v>
      </c>
      <c r="Y77" s="365">
        <v>44835</v>
      </c>
      <c r="Z77" s="259" t="s">
        <v>1875</v>
      </c>
      <c r="AA77" s="274"/>
      <c r="AB77" s="259" t="s">
        <v>139</v>
      </c>
      <c r="AC77" s="259" t="s">
        <v>1875</v>
      </c>
      <c r="AD77" s="259">
        <v>900</v>
      </c>
      <c r="AE77" s="259">
        <v>900</v>
      </c>
      <c r="AF77" s="274"/>
      <c r="AJ77" s="319" t="s">
        <v>2191</v>
      </c>
      <c r="AK77" s="274"/>
      <c r="AL77" s="319" t="s">
        <v>2190</v>
      </c>
      <c r="AM77" s="259" t="s">
        <v>1975</v>
      </c>
      <c r="AN77" s="259" t="b">
        <v>0</v>
      </c>
      <c r="AP77" s="274"/>
      <c r="AQ77" s="274"/>
      <c r="AR77" s="274"/>
      <c r="AT77" s="274"/>
      <c r="AU77" s="274"/>
      <c r="AZ77" s="274"/>
      <c r="BA77" s="259" t="s">
        <v>373</v>
      </c>
      <c r="BB77" s="259" t="s">
        <v>1610</v>
      </c>
      <c r="BC77" s="259" t="s">
        <v>2192</v>
      </c>
    </row>
    <row r="78" spans="1:55" ht="135">
      <c r="A78" s="259">
        <v>25</v>
      </c>
      <c r="B78" s="259" t="s">
        <v>2288</v>
      </c>
      <c r="C78" s="259" t="s">
        <v>2289</v>
      </c>
      <c r="D78" s="259" t="s">
        <v>8</v>
      </c>
      <c r="E78" s="259" t="s">
        <v>9</v>
      </c>
      <c r="F78" s="259" t="s">
        <v>1759</v>
      </c>
      <c r="G78" s="274">
        <v>43906</v>
      </c>
      <c r="H78" s="274">
        <v>43995</v>
      </c>
      <c r="I78" s="274"/>
      <c r="N78" s="259" t="s">
        <v>122</v>
      </c>
      <c r="P78" s="259" t="s">
        <v>1554</v>
      </c>
      <c r="Q78" s="259" t="s">
        <v>2198</v>
      </c>
      <c r="R78" s="274">
        <v>44571.526099537034</v>
      </c>
      <c r="S78" s="321">
        <v>2020</v>
      </c>
      <c r="T78" s="259" t="s">
        <v>2001</v>
      </c>
      <c r="U78" s="259" t="s">
        <v>630</v>
      </c>
      <c r="V78" s="259" t="s">
        <v>631</v>
      </c>
      <c r="W78" s="259" t="s">
        <v>145</v>
      </c>
      <c r="X78" s="259" t="s">
        <v>309</v>
      </c>
      <c r="Y78" s="365">
        <v>44835</v>
      </c>
      <c r="Z78" s="259" t="s">
        <v>1875</v>
      </c>
      <c r="AA78" s="274"/>
      <c r="AB78" s="259" t="s">
        <v>139</v>
      </c>
      <c r="AC78" s="259" t="s">
        <v>1875</v>
      </c>
      <c r="AD78" s="259">
        <v>900</v>
      </c>
      <c r="AE78" s="259">
        <v>900</v>
      </c>
      <c r="AF78" s="274"/>
      <c r="AJ78" s="319" t="s">
        <v>2191</v>
      </c>
      <c r="AK78" s="274"/>
      <c r="AL78" s="319" t="s">
        <v>2190</v>
      </c>
      <c r="AM78" s="259" t="s">
        <v>1975</v>
      </c>
      <c r="AN78" s="259" t="b">
        <v>0</v>
      </c>
      <c r="AP78" s="274"/>
      <c r="AQ78" s="274"/>
      <c r="AR78" s="274"/>
      <c r="AT78" s="274"/>
      <c r="AU78" s="274"/>
      <c r="AZ78" s="274"/>
      <c r="BA78" s="259" t="s">
        <v>373</v>
      </c>
      <c r="BB78" s="259" t="s">
        <v>1610</v>
      </c>
      <c r="BC78" s="259" t="s">
        <v>2192</v>
      </c>
    </row>
    <row r="79" spans="1:55" ht="135">
      <c r="A79" s="259">
        <v>35</v>
      </c>
      <c r="B79" s="259" t="s">
        <v>2308</v>
      </c>
      <c r="C79" s="259" t="s">
        <v>2309</v>
      </c>
      <c r="D79" s="259" t="s">
        <v>8</v>
      </c>
      <c r="E79" s="259" t="s">
        <v>9</v>
      </c>
      <c r="F79" s="259" t="s">
        <v>1759</v>
      </c>
      <c r="G79" s="274">
        <v>43906</v>
      </c>
      <c r="H79" s="274">
        <v>43995</v>
      </c>
      <c r="I79" s="274"/>
      <c r="N79" s="259" t="s">
        <v>122</v>
      </c>
      <c r="P79" s="259" t="s">
        <v>1554</v>
      </c>
      <c r="Q79" s="259" t="s">
        <v>2198</v>
      </c>
      <c r="R79" s="274">
        <v>44571.531493055554</v>
      </c>
      <c r="S79" s="321">
        <v>2020</v>
      </c>
      <c r="T79" s="259" t="s">
        <v>2001</v>
      </c>
      <c r="U79" s="259" t="s">
        <v>630</v>
      </c>
      <c r="V79" s="259" t="s">
        <v>631</v>
      </c>
      <c r="W79" s="259" t="s">
        <v>145</v>
      </c>
      <c r="X79" s="259" t="s">
        <v>309</v>
      </c>
      <c r="Y79" s="365">
        <v>44835</v>
      </c>
      <c r="Z79" s="259" t="s">
        <v>1875</v>
      </c>
      <c r="AA79" s="274"/>
      <c r="AB79" s="259" t="s">
        <v>139</v>
      </c>
      <c r="AC79" s="259" t="s">
        <v>1875</v>
      </c>
      <c r="AD79" s="259">
        <v>900</v>
      </c>
      <c r="AE79" s="259">
        <v>900</v>
      </c>
      <c r="AF79" s="274"/>
      <c r="AJ79" s="319" t="s">
        <v>2191</v>
      </c>
      <c r="AK79" s="274"/>
      <c r="AL79" s="319" t="s">
        <v>2190</v>
      </c>
      <c r="AM79" s="259" t="s">
        <v>1975</v>
      </c>
      <c r="AN79" s="259" t="b">
        <v>0</v>
      </c>
      <c r="AP79" s="274"/>
      <c r="AQ79" s="274"/>
      <c r="AR79" s="274"/>
      <c r="AT79" s="274"/>
      <c r="AU79" s="274"/>
      <c r="AZ79" s="274"/>
      <c r="BA79" s="259" t="s">
        <v>373</v>
      </c>
      <c r="BB79" s="259" t="s">
        <v>1610</v>
      </c>
      <c r="BC79" s="259" t="s">
        <v>2192</v>
      </c>
    </row>
    <row r="80" spans="1:55" ht="135">
      <c r="A80" s="259">
        <v>39</v>
      </c>
      <c r="B80" s="259" t="s">
        <v>2318</v>
      </c>
      <c r="C80" s="259" t="s">
        <v>2319</v>
      </c>
      <c r="D80" s="259" t="s">
        <v>8</v>
      </c>
      <c r="E80" s="259" t="s">
        <v>9</v>
      </c>
      <c r="F80" s="259" t="s">
        <v>1759</v>
      </c>
      <c r="G80" s="274">
        <v>44006</v>
      </c>
      <c r="H80" s="274"/>
      <c r="I80" s="274"/>
      <c r="N80" s="259" t="s">
        <v>122</v>
      </c>
      <c r="P80" s="259" t="s">
        <v>1554</v>
      </c>
      <c r="Q80" s="259" t="s">
        <v>2198</v>
      </c>
      <c r="R80" s="274">
        <v>44571.539803240739</v>
      </c>
      <c r="S80" s="321">
        <v>2020</v>
      </c>
      <c r="T80" s="259" t="s">
        <v>2001</v>
      </c>
      <c r="U80" s="259" t="s">
        <v>630</v>
      </c>
      <c r="V80" s="259" t="s">
        <v>631</v>
      </c>
      <c r="W80" s="259" t="s">
        <v>145</v>
      </c>
      <c r="X80" s="259" t="s">
        <v>309</v>
      </c>
      <c r="Y80" s="365">
        <v>44835</v>
      </c>
      <c r="Z80" s="259" t="s">
        <v>1875</v>
      </c>
      <c r="AA80" s="274"/>
      <c r="AB80" s="259" t="s">
        <v>139</v>
      </c>
      <c r="AC80" s="259" t="s">
        <v>1875</v>
      </c>
      <c r="AD80" s="259">
        <v>900</v>
      </c>
      <c r="AE80" s="259">
        <v>900</v>
      </c>
      <c r="AF80" s="274"/>
      <c r="AJ80" s="319" t="s">
        <v>2191</v>
      </c>
      <c r="AK80" s="274"/>
      <c r="AL80" s="319" t="s">
        <v>2190</v>
      </c>
      <c r="AM80" s="259" t="s">
        <v>1975</v>
      </c>
      <c r="AN80" s="259" t="b">
        <v>0</v>
      </c>
      <c r="AP80" s="274"/>
      <c r="AQ80" s="274"/>
      <c r="AR80" s="274"/>
      <c r="AT80" s="274"/>
      <c r="AU80" s="274"/>
      <c r="AZ80" s="274"/>
      <c r="BA80" s="259" t="s">
        <v>373</v>
      </c>
      <c r="BB80" s="259" t="s">
        <v>1610</v>
      </c>
      <c r="BC80" s="259" t="s">
        <v>2192</v>
      </c>
    </row>
    <row r="81" spans="1:55" ht="135">
      <c r="A81" s="259">
        <v>43</v>
      </c>
      <c r="B81" s="259" t="s">
        <v>2326</v>
      </c>
      <c r="C81" s="259" t="s">
        <v>2327</v>
      </c>
      <c r="D81" s="259" t="s">
        <v>8</v>
      </c>
      <c r="E81" s="259" t="s">
        <v>9</v>
      </c>
      <c r="F81" s="259" t="s">
        <v>1759</v>
      </c>
      <c r="G81" s="274">
        <v>44006</v>
      </c>
      <c r="H81" s="274"/>
      <c r="I81" s="274"/>
      <c r="N81" s="259" t="s">
        <v>122</v>
      </c>
      <c r="P81" s="259" t="s">
        <v>1554</v>
      </c>
      <c r="Q81" s="259" t="s">
        <v>2198</v>
      </c>
      <c r="R81" s="274">
        <v>44571.541817129626</v>
      </c>
      <c r="S81" s="321">
        <v>2020</v>
      </c>
      <c r="T81" s="259" t="s">
        <v>2001</v>
      </c>
      <c r="U81" s="259" t="s">
        <v>630</v>
      </c>
      <c r="V81" s="259" t="s">
        <v>631</v>
      </c>
      <c r="W81" s="259" t="s">
        <v>145</v>
      </c>
      <c r="X81" s="259" t="s">
        <v>309</v>
      </c>
      <c r="Y81" s="365">
        <v>44835</v>
      </c>
      <c r="Z81" s="259" t="s">
        <v>1875</v>
      </c>
      <c r="AA81" s="274"/>
      <c r="AB81" s="259" t="s">
        <v>139</v>
      </c>
      <c r="AC81" s="259" t="s">
        <v>1875</v>
      </c>
      <c r="AD81" s="259">
        <v>900</v>
      </c>
      <c r="AE81" s="259">
        <v>900</v>
      </c>
      <c r="AF81" s="274"/>
      <c r="AJ81" s="319" t="s">
        <v>2191</v>
      </c>
      <c r="AK81" s="274"/>
      <c r="AL81" s="319" t="s">
        <v>2190</v>
      </c>
      <c r="AM81" s="259" t="s">
        <v>1975</v>
      </c>
      <c r="AN81" s="259" t="b">
        <v>0</v>
      </c>
      <c r="AP81" s="274"/>
      <c r="AQ81" s="274"/>
      <c r="AR81" s="274"/>
      <c r="AT81" s="274"/>
      <c r="AU81" s="274"/>
      <c r="AZ81" s="274"/>
      <c r="BA81" s="259" t="s">
        <v>373</v>
      </c>
      <c r="BB81" s="259" t="s">
        <v>1610</v>
      </c>
      <c r="BC81" s="259" t="s">
        <v>2192</v>
      </c>
    </row>
    <row r="82" spans="1:55" ht="135">
      <c r="A82" s="259">
        <v>366</v>
      </c>
      <c r="B82" s="259" t="s">
        <v>2822</v>
      </c>
      <c r="C82" s="259" t="s">
        <v>2823</v>
      </c>
      <c r="D82" s="259" t="s">
        <v>8</v>
      </c>
      <c r="E82" s="259" t="s">
        <v>9</v>
      </c>
      <c r="F82" s="259" t="s">
        <v>1759</v>
      </c>
      <c r="G82" s="274">
        <v>44830</v>
      </c>
      <c r="H82" s="274"/>
      <c r="I82" s="274"/>
      <c r="N82" s="259" t="s">
        <v>122</v>
      </c>
      <c r="P82" s="259" t="s">
        <v>1554</v>
      </c>
      <c r="Q82" s="259" t="s">
        <v>2198</v>
      </c>
      <c r="R82" s="274">
        <v>44630.544699074075</v>
      </c>
      <c r="S82" s="321">
        <v>2022</v>
      </c>
      <c r="T82" s="259" t="s">
        <v>2001</v>
      </c>
      <c r="U82" s="259" t="s">
        <v>630</v>
      </c>
      <c r="V82" s="259" t="s">
        <v>631</v>
      </c>
      <c r="W82" s="259" t="s">
        <v>145</v>
      </c>
      <c r="X82" s="259" t="s">
        <v>309</v>
      </c>
      <c r="Y82" s="365">
        <v>44835</v>
      </c>
      <c r="Z82" s="259" t="s">
        <v>1875</v>
      </c>
      <c r="AA82" s="274"/>
      <c r="AB82" s="259" t="s">
        <v>139</v>
      </c>
      <c r="AC82" s="259" t="s">
        <v>1875</v>
      </c>
      <c r="AD82" s="259">
        <v>900</v>
      </c>
      <c r="AE82" s="259">
        <v>900</v>
      </c>
      <c r="AF82" s="274"/>
      <c r="AJ82" s="319" t="s">
        <v>2191</v>
      </c>
      <c r="AK82" s="274"/>
      <c r="AL82" s="319" t="s">
        <v>2190</v>
      </c>
      <c r="AM82" s="259" t="s">
        <v>1975</v>
      </c>
      <c r="AN82" s="259" t="b">
        <v>0</v>
      </c>
      <c r="AP82" s="274"/>
      <c r="AQ82" s="274"/>
      <c r="AR82" s="274"/>
      <c r="AT82" s="274"/>
      <c r="AU82" s="274"/>
      <c r="AZ82" s="274"/>
      <c r="BA82" s="259" t="s">
        <v>373</v>
      </c>
      <c r="BB82" s="259" t="s">
        <v>1610</v>
      </c>
      <c r="BC82" s="259" t="s">
        <v>2192</v>
      </c>
    </row>
    <row r="83" spans="1:55" ht="135">
      <c r="A83" s="259">
        <v>38</v>
      </c>
      <c r="B83" s="259" t="s">
        <v>2314</v>
      </c>
      <c r="C83" s="259" t="s">
        <v>2315</v>
      </c>
      <c r="D83" s="259" t="s">
        <v>8</v>
      </c>
      <c r="E83" s="259" t="s">
        <v>9</v>
      </c>
      <c r="F83" s="259" t="s">
        <v>1759</v>
      </c>
      <c r="G83" s="274">
        <v>44006</v>
      </c>
      <c r="H83" s="274"/>
      <c r="I83" s="274"/>
      <c r="N83" s="259" t="s">
        <v>122</v>
      </c>
      <c r="P83" s="259" t="s">
        <v>1554</v>
      </c>
      <c r="Q83" s="259" t="s">
        <v>2198</v>
      </c>
      <c r="R83" s="274">
        <v>44571.538738425923</v>
      </c>
      <c r="S83" s="321">
        <v>2020</v>
      </c>
      <c r="T83" s="259" t="s">
        <v>2001</v>
      </c>
      <c r="U83" s="259" t="s">
        <v>630</v>
      </c>
      <c r="V83" s="259" t="s">
        <v>631</v>
      </c>
      <c r="W83" s="259" t="s">
        <v>145</v>
      </c>
      <c r="X83" s="259" t="s">
        <v>309</v>
      </c>
      <c r="Y83" s="365">
        <v>44835</v>
      </c>
      <c r="Z83" s="259" t="s">
        <v>1875</v>
      </c>
      <c r="AA83" s="274"/>
      <c r="AB83" s="259" t="s">
        <v>139</v>
      </c>
      <c r="AC83" s="259" t="s">
        <v>1875</v>
      </c>
      <c r="AD83" s="259">
        <v>900</v>
      </c>
      <c r="AE83" s="259">
        <v>900</v>
      </c>
      <c r="AF83" s="274"/>
      <c r="AJ83" s="319" t="s">
        <v>2191</v>
      </c>
      <c r="AK83" s="274"/>
      <c r="AL83" s="319" t="s">
        <v>2190</v>
      </c>
      <c r="AM83" s="259" t="s">
        <v>1975</v>
      </c>
      <c r="AN83" s="259" t="b">
        <v>0</v>
      </c>
      <c r="AP83" s="274"/>
      <c r="AQ83" s="274"/>
      <c r="AR83" s="274"/>
      <c r="AT83" s="274"/>
      <c r="AU83" s="274"/>
      <c r="AZ83" s="274"/>
      <c r="BA83" s="259" t="s">
        <v>373</v>
      </c>
      <c r="BB83" s="259" t="s">
        <v>1610</v>
      </c>
      <c r="BC83" s="259" t="s">
        <v>2192</v>
      </c>
    </row>
    <row r="84" spans="1:55" ht="135">
      <c r="A84" s="259">
        <v>37</v>
      </c>
      <c r="B84" s="259" t="s">
        <v>2312</v>
      </c>
      <c r="C84" s="259" t="s">
        <v>2313</v>
      </c>
      <c r="D84" s="259" t="s">
        <v>8</v>
      </c>
      <c r="E84" s="259" t="s">
        <v>9</v>
      </c>
      <c r="F84" s="259" t="s">
        <v>1759</v>
      </c>
      <c r="G84" s="274">
        <v>43906</v>
      </c>
      <c r="H84" s="274">
        <v>43995</v>
      </c>
      <c r="I84" s="274"/>
      <c r="N84" s="259" t="s">
        <v>122</v>
      </c>
      <c r="P84" s="259" t="s">
        <v>1554</v>
      </c>
      <c r="Q84" s="259" t="s">
        <v>2198</v>
      </c>
      <c r="R84" s="274">
        <v>44571.532557870371</v>
      </c>
      <c r="S84" s="321">
        <v>2020</v>
      </c>
      <c r="T84" s="259" t="s">
        <v>2001</v>
      </c>
      <c r="U84" s="259" t="s">
        <v>630</v>
      </c>
      <c r="V84" s="259" t="s">
        <v>631</v>
      </c>
      <c r="W84" s="259" t="s">
        <v>145</v>
      </c>
      <c r="X84" s="259" t="s">
        <v>309</v>
      </c>
      <c r="Y84" s="365">
        <v>44835</v>
      </c>
      <c r="Z84" s="259" t="s">
        <v>1875</v>
      </c>
      <c r="AA84" s="274"/>
      <c r="AB84" s="259" t="s">
        <v>139</v>
      </c>
      <c r="AC84" s="259" t="s">
        <v>1875</v>
      </c>
      <c r="AD84" s="259">
        <v>900</v>
      </c>
      <c r="AE84" s="259">
        <v>900</v>
      </c>
      <c r="AF84" s="274"/>
      <c r="AJ84" s="319" t="s">
        <v>2191</v>
      </c>
      <c r="AK84" s="274"/>
      <c r="AL84" s="319" t="s">
        <v>2190</v>
      </c>
      <c r="AM84" s="259" t="s">
        <v>1975</v>
      </c>
      <c r="AN84" s="259" t="b">
        <v>0</v>
      </c>
      <c r="AP84" s="274"/>
      <c r="AQ84" s="274"/>
      <c r="AR84" s="274"/>
      <c r="AT84" s="274"/>
      <c r="AU84" s="274"/>
      <c r="AZ84" s="274"/>
      <c r="BA84" s="259" t="s">
        <v>373</v>
      </c>
      <c r="BB84" s="259" t="s">
        <v>1610</v>
      </c>
      <c r="BC84" s="259" t="s">
        <v>2192</v>
      </c>
    </row>
    <row r="85" spans="1:55" ht="135">
      <c r="A85" s="259">
        <v>36</v>
      </c>
      <c r="B85" s="259" t="s">
        <v>2310</v>
      </c>
      <c r="C85" s="259" t="s">
        <v>2311</v>
      </c>
      <c r="D85" s="259" t="s">
        <v>8</v>
      </c>
      <c r="E85" s="259" t="s">
        <v>9</v>
      </c>
      <c r="F85" s="259" t="s">
        <v>1759</v>
      </c>
      <c r="G85" s="274">
        <v>43906</v>
      </c>
      <c r="H85" s="274">
        <v>43995</v>
      </c>
      <c r="I85" s="274"/>
      <c r="N85" s="259" t="s">
        <v>122</v>
      </c>
      <c r="P85" s="259" t="s">
        <v>1554</v>
      </c>
      <c r="Q85" s="259" t="s">
        <v>2198</v>
      </c>
      <c r="R85" s="274">
        <v>44571.532013888886</v>
      </c>
      <c r="S85" s="321">
        <v>2020</v>
      </c>
      <c r="T85" s="259" t="s">
        <v>2001</v>
      </c>
      <c r="U85" s="259" t="s">
        <v>630</v>
      </c>
      <c r="V85" s="259" t="s">
        <v>631</v>
      </c>
      <c r="W85" s="259" t="s">
        <v>145</v>
      </c>
      <c r="X85" s="259" t="s">
        <v>309</v>
      </c>
      <c r="Y85" s="365">
        <v>44835</v>
      </c>
      <c r="Z85" s="259" t="s">
        <v>1875</v>
      </c>
      <c r="AA85" s="274"/>
      <c r="AB85" s="259" t="s">
        <v>139</v>
      </c>
      <c r="AC85" s="259" t="s">
        <v>1875</v>
      </c>
      <c r="AD85" s="259">
        <v>900</v>
      </c>
      <c r="AE85" s="259">
        <v>900</v>
      </c>
      <c r="AF85" s="274"/>
      <c r="AJ85" s="319" t="s">
        <v>2191</v>
      </c>
      <c r="AK85" s="274"/>
      <c r="AL85" s="319" t="s">
        <v>2190</v>
      </c>
      <c r="AM85" s="259" t="s">
        <v>1975</v>
      </c>
      <c r="AN85" s="259" t="b">
        <v>0</v>
      </c>
      <c r="AP85" s="274"/>
      <c r="AQ85" s="274"/>
      <c r="AR85" s="274"/>
      <c r="AT85" s="274"/>
      <c r="AU85" s="274"/>
      <c r="AZ85" s="274"/>
      <c r="BA85" s="259" t="s">
        <v>373</v>
      </c>
      <c r="BB85" s="259" t="s">
        <v>1610</v>
      </c>
      <c r="BC85" s="259" t="s">
        <v>2192</v>
      </c>
    </row>
    <row r="86" spans="1:55" ht="135">
      <c r="A86" s="259">
        <v>33</v>
      </c>
      <c r="B86" s="259" t="s">
        <v>2304</v>
      </c>
      <c r="C86" s="259" t="s">
        <v>2305</v>
      </c>
      <c r="D86" s="259" t="s">
        <v>8</v>
      </c>
      <c r="E86" s="259" t="s">
        <v>9</v>
      </c>
      <c r="F86" s="259" t="s">
        <v>1759</v>
      </c>
      <c r="G86" s="274">
        <v>43906</v>
      </c>
      <c r="H86" s="274">
        <v>43995</v>
      </c>
      <c r="I86" s="274"/>
      <c r="N86" s="259" t="s">
        <v>122</v>
      </c>
      <c r="P86" s="259" t="s">
        <v>1554</v>
      </c>
      <c r="Q86" s="259" t="s">
        <v>2198</v>
      </c>
      <c r="R86" s="274">
        <v>44571.530428240738</v>
      </c>
      <c r="S86" s="321">
        <v>2020</v>
      </c>
      <c r="T86" s="259" t="s">
        <v>2001</v>
      </c>
      <c r="U86" s="259" t="s">
        <v>630</v>
      </c>
      <c r="V86" s="259" t="s">
        <v>631</v>
      </c>
      <c r="W86" s="259" t="s">
        <v>145</v>
      </c>
      <c r="X86" s="259" t="s">
        <v>309</v>
      </c>
      <c r="Y86" s="365">
        <v>44835</v>
      </c>
      <c r="Z86" s="259" t="s">
        <v>1875</v>
      </c>
      <c r="AA86" s="274"/>
      <c r="AB86" s="259" t="s">
        <v>139</v>
      </c>
      <c r="AC86" s="259" t="s">
        <v>1875</v>
      </c>
      <c r="AD86" s="259">
        <v>900</v>
      </c>
      <c r="AE86" s="259">
        <v>900</v>
      </c>
      <c r="AF86" s="274"/>
      <c r="AJ86" s="319" t="s">
        <v>2191</v>
      </c>
      <c r="AK86" s="274"/>
      <c r="AL86" s="319" t="s">
        <v>2190</v>
      </c>
      <c r="AM86" s="259" t="s">
        <v>1975</v>
      </c>
      <c r="AN86" s="259" t="b">
        <v>0</v>
      </c>
      <c r="AP86" s="274"/>
      <c r="AQ86" s="274"/>
      <c r="AR86" s="274"/>
      <c r="AT86" s="274"/>
      <c r="AU86" s="274"/>
      <c r="AZ86" s="274"/>
      <c r="BA86" s="259" t="s">
        <v>373</v>
      </c>
      <c r="BB86" s="259" t="s">
        <v>1610</v>
      </c>
      <c r="BC86" s="259" t="s">
        <v>2192</v>
      </c>
    </row>
    <row r="87" spans="1:55" ht="135">
      <c r="A87" s="259">
        <v>34</v>
      </c>
      <c r="B87" s="259" t="s">
        <v>2306</v>
      </c>
      <c r="C87" s="259" t="s">
        <v>2307</v>
      </c>
      <c r="D87" s="259" t="s">
        <v>8</v>
      </c>
      <c r="E87" s="259" t="s">
        <v>9</v>
      </c>
      <c r="F87" s="259" t="s">
        <v>1759</v>
      </c>
      <c r="G87" s="274">
        <v>43906</v>
      </c>
      <c r="H87" s="274">
        <v>43995</v>
      </c>
      <c r="I87" s="274"/>
      <c r="N87" s="259" t="s">
        <v>122</v>
      </c>
      <c r="P87" s="259" t="s">
        <v>1554</v>
      </c>
      <c r="Q87" s="259" t="s">
        <v>2198</v>
      </c>
      <c r="R87" s="274">
        <v>44571.530972222223</v>
      </c>
      <c r="S87" s="321">
        <v>2020</v>
      </c>
      <c r="T87" s="259" t="s">
        <v>2001</v>
      </c>
      <c r="U87" s="259" t="s">
        <v>630</v>
      </c>
      <c r="V87" s="259" t="s">
        <v>631</v>
      </c>
      <c r="W87" s="259" t="s">
        <v>145</v>
      </c>
      <c r="X87" s="259" t="s">
        <v>309</v>
      </c>
      <c r="Y87" s="365">
        <v>44835</v>
      </c>
      <c r="Z87" s="259" t="s">
        <v>1875</v>
      </c>
      <c r="AA87" s="274"/>
      <c r="AB87" s="259" t="s">
        <v>139</v>
      </c>
      <c r="AC87" s="259" t="s">
        <v>1875</v>
      </c>
      <c r="AD87" s="259">
        <v>900</v>
      </c>
      <c r="AE87" s="259">
        <v>900</v>
      </c>
      <c r="AF87" s="274"/>
      <c r="AJ87" s="319" t="s">
        <v>2191</v>
      </c>
      <c r="AK87" s="274"/>
      <c r="AL87" s="319" t="s">
        <v>2190</v>
      </c>
      <c r="AM87" s="259" t="s">
        <v>1975</v>
      </c>
      <c r="AN87" s="259" t="b">
        <v>0</v>
      </c>
      <c r="AP87" s="274"/>
      <c r="AQ87" s="274"/>
      <c r="AR87" s="274"/>
      <c r="AT87" s="274"/>
      <c r="AU87" s="274"/>
      <c r="AZ87" s="274"/>
      <c r="BA87" s="259" t="s">
        <v>373</v>
      </c>
      <c r="BB87" s="259" t="s">
        <v>1610</v>
      </c>
      <c r="BC87" s="259" t="s">
        <v>2192</v>
      </c>
    </row>
    <row r="88" spans="1:55" ht="135">
      <c r="A88" s="259">
        <v>24</v>
      </c>
      <c r="B88" s="259" t="s">
        <v>2286</v>
      </c>
      <c r="C88" s="259" t="s">
        <v>2287</v>
      </c>
      <c r="D88" s="259" t="s">
        <v>8</v>
      </c>
      <c r="E88" s="259" t="s">
        <v>9</v>
      </c>
      <c r="F88" s="259" t="s">
        <v>1759</v>
      </c>
      <c r="G88" s="274">
        <v>43906</v>
      </c>
      <c r="H88" s="274">
        <v>43995</v>
      </c>
      <c r="I88" s="274"/>
      <c r="N88" s="259" t="s">
        <v>122</v>
      </c>
      <c r="P88" s="259" t="s">
        <v>1554</v>
      </c>
      <c r="Q88" s="259" t="s">
        <v>2198</v>
      </c>
      <c r="R88" s="274">
        <v>44571.52547453704</v>
      </c>
      <c r="S88" s="321">
        <v>2020</v>
      </c>
      <c r="T88" s="259" t="s">
        <v>2001</v>
      </c>
      <c r="U88" s="259" t="s">
        <v>630</v>
      </c>
      <c r="V88" s="259" t="s">
        <v>631</v>
      </c>
      <c r="W88" s="259" t="s">
        <v>145</v>
      </c>
      <c r="X88" s="259" t="s">
        <v>309</v>
      </c>
      <c r="Y88" s="365">
        <v>44835</v>
      </c>
      <c r="Z88" s="259" t="s">
        <v>1875</v>
      </c>
      <c r="AA88" s="274"/>
      <c r="AB88" s="259" t="s">
        <v>139</v>
      </c>
      <c r="AC88" s="259" t="s">
        <v>1875</v>
      </c>
      <c r="AD88" s="259">
        <v>900</v>
      </c>
      <c r="AE88" s="259">
        <v>900</v>
      </c>
      <c r="AF88" s="274"/>
      <c r="AJ88" s="319" t="s">
        <v>2191</v>
      </c>
      <c r="AK88" s="274"/>
      <c r="AL88" s="319" t="s">
        <v>2190</v>
      </c>
      <c r="AM88" s="259" t="s">
        <v>1975</v>
      </c>
      <c r="AN88" s="259" t="b">
        <v>0</v>
      </c>
      <c r="AP88" s="274"/>
      <c r="AQ88" s="274"/>
      <c r="AR88" s="274"/>
      <c r="AT88" s="274"/>
      <c r="AU88" s="274"/>
      <c r="AZ88" s="274"/>
      <c r="BA88" s="259" t="s">
        <v>373</v>
      </c>
      <c r="BB88" s="259" t="s">
        <v>1610</v>
      </c>
      <c r="BC88" s="259" t="s">
        <v>2192</v>
      </c>
    </row>
    <row r="89" spans="1:55" ht="135">
      <c r="A89" s="259">
        <v>23</v>
      </c>
      <c r="B89" s="259" t="s">
        <v>2284</v>
      </c>
      <c r="C89" s="259" t="s">
        <v>2285</v>
      </c>
      <c r="D89" s="259" t="s">
        <v>8</v>
      </c>
      <c r="E89" s="259" t="s">
        <v>9</v>
      </c>
      <c r="F89" s="259" t="s">
        <v>1759</v>
      </c>
      <c r="G89" s="274">
        <v>43906</v>
      </c>
      <c r="H89" s="274">
        <v>43995</v>
      </c>
      <c r="I89" s="274"/>
      <c r="N89" s="259" t="s">
        <v>122</v>
      </c>
      <c r="P89" s="259" t="s">
        <v>1554</v>
      </c>
      <c r="Q89" s="259" t="s">
        <v>2198</v>
      </c>
      <c r="R89" s="274">
        <v>44571.524942129632</v>
      </c>
      <c r="S89" s="321">
        <v>2020</v>
      </c>
      <c r="T89" s="259" t="s">
        <v>2001</v>
      </c>
      <c r="U89" s="259" t="s">
        <v>630</v>
      </c>
      <c r="V89" s="259" t="s">
        <v>631</v>
      </c>
      <c r="W89" s="259" t="s">
        <v>145</v>
      </c>
      <c r="X89" s="259" t="s">
        <v>309</v>
      </c>
      <c r="Y89" s="365">
        <v>44835</v>
      </c>
      <c r="Z89" s="259" t="s">
        <v>1875</v>
      </c>
      <c r="AA89" s="274"/>
      <c r="AB89" s="259" t="s">
        <v>139</v>
      </c>
      <c r="AC89" s="259" t="s">
        <v>1875</v>
      </c>
      <c r="AD89" s="259">
        <v>900</v>
      </c>
      <c r="AE89" s="259">
        <v>900</v>
      </c>
      <c r="AF89" s="274"/>
      <c r="AJ89" s="319" t="s">
        <v>2191</v>
      </c>
      <c r="AK89" s="274"/>
      <c r="AL89" s="319" t="s">
        <v>2190</v>
      </c>
      <c r="AM89" s="259" t="s">
        <v>1975</v>
      </c>
      <c r="AN89" s="259" t="b">
        <v>0</v>
      </c>
      <c r="AP89" s="274"/>
      <c r="AQ89" s="274"/>
      <c r="AR89" s="274"/>
      <c r="AT89" s="274"/>
      <c r="AU89" s="274"/>
      <c r="AZ89" s="274"/>
      <c r="BA89" s="259" t="s">
        <v>373</v>
      </c>
      <c r="BB89" s="259" t="s">
        <v>1610</v>
      </c>
      <c r="BC89" s="259" t="s">
        <v>2192</v>
      </c>
    </row>
    <row r="90" spans="1:55" ht="135">
      <c r="A90" s="259">
        <v>40</v>
      </c>
      <c r="B90" s="259" t="s">
        <v>2320</v>
      </c>
      <c r="C90" s="259" t="s">
        <v>2321</v>
      </c>
      <c r="D90" s="259" t="s">
        <v>8</v>
      </c>
      <c r="E90" s="259" t="s">
        <v>9</v>
      </c>
      <c r="F90" s="259" t="s">
        <v>1759</v>
      </c>
      <c r="G90" s="274">
        <v>44006</v>
      </c>
      <c r="H90" s="274"/>
      <c r="I90" s="274"/>
      <c r="N90" s="259" t="s">
        <v>122</v>
      </c>
      <c r="P90" s="259" t="s">
        <v>1554</v>
      </c>
      <c r="Q90" s="259" t="s">
        <v>2198</v>
      </c>
      <c r="R90" s="274">
        <v>44571.540243055555</v>
      </c>
      <c r="S90" s="321">
        <v>2020</v>
      </c>
      <c r="T90" s="259" t="s">
        <v>2001</v>
      </c>
      <c r="U90" s="259" t="s">
        <v>630</v>
      </c>
      <c r="V90" s="259" t="s">
        <v>631</v>
      </c>
      <c r="W90" s="259" t="s">
        <v>145</v>
      </c>
      <c r="X90" s="259" t="s">
        <v>309</v>
      </c>
      <c r="Y90" s="365">
        <v>44835</v>
      </c>
      <c r="Z90" s="259" t="s">
        <v>1875</v>
      </c>
      <c r="AA90" s="274"/>
      <c r="AB90" s="259" t="s">
        <v>139</v>
      </c>
      <c r="AC90" s="259" t="s">
        <v>1875</v>
      </c>
      <c r="AD90" s="259">
        <v>900</v>
      </c>
      <c r="AE90" s="259">
        <v>900</v>
      </c>
      <c r="AF90" s="274"/>
      <c r="AJ90" s="319" t="s">
        <v>2191</v>
      </c>
      <c r="AK90" s="274"/>
      <c r="AL90" s="319" t="s">
        <v>2190</v>
      </c>
      <c r="AM90" s="259" t="s">
        <v>1975</v>
      </c>
      <c r="AN90" s="259" t="b">
        <v>0</v>
      </c>
      <c r="AP90" s="274"/>
      <c r="AQ90" s="274"/>
      <c r="AR90" s="274"/>
      <c r="AT90" s="274"/>
      <c r="AU90" s="274"/>
      <c r="AZ90" s="274"/>
      <c r="BA90" s="259" t="s">
        <v>373</v>
      </c>
      <c r="BB90" s="259" t="s">
        <v>1610</v>
      </c>
      <c r="BC90" s="259" t="s">
        <v>2192</v>
      </c>
    </row>
    <row r="91" spans="1:55" ht="135">
      <c r="A91" s="259">
        <v>66</v>
      </c>
      <c r="B91" s="259" t="s">
        <v>2368</v>
      </c>
      <c r="C91" s="259" t="s">
        <v>2369</v>
      </c>
      <c r="D91" s="259" t="s">
        <v>8</v>
      </c>
      <c r="E91" s="259" t="s">
        <v>9</v>
      </c>
      <c r="F91" s="259" t="s">
        <v>1759</v>
      </c>
      <c r="G91" s="274">
        <v>44028</v>
      </c>
      <c r="H91" s="274"/>
      <c r="I91" s="274"/>
      <c r="N91" s="259" t="s">
        <v>122</v>
      </c>
      <c r="P91" s="259" t="s">
        <v>1554</v>
      </c>
      <c r="Q91" s="259" t="s">
        <v>2198</v>
      </c>
      <c r="R91" s="274">
        <v>44571.550891203704</v>
      </c>
      <c r="S91" s="321">
        <v>2020</v>
      </c>
      <c r="T91" s="259" t="s">
        <v>2001</v>
      </c>
      <c r="U91" s="259" t="s">
        <v>630</v>
      </c>
      <c r="V91" s="259" t="s">
        <v>631</v>
      </c>
      <c r="W91" s="259" t="s">
        <v>145</v>
      </c>
      <c r="X91" s="259" t="s">
        <v>309</v>
      </c>
      <c r="Y91" s="365">
        <v>44835</v>
      </c>
      <c r="Z91" s="259" t="s">
        <v>1875</v>
      </c>
      <c r="AA91" s="274"/>
      <c r="AB91" s="259" t="s">
        <v>139</v>
      </c>
      <c r="AC91" s="259" t="s">
        <v>1875</v>
      </c>
      <c r="AD91" s="259">
        <v>900</v>
      </c>
      <c r="AE91" s="259">
        <v>900</v>
      </c>
      <c r="AF91" s="274"/>
      <c r="AJ91" s="319" t="s">
        <v>2191</v>
      </c>
      <c r="AK91" s="274"/>
      <c r="AL91" s="319" t="s">
        <v>2190</v>
      </c>
      <c r="AM91" s="259" t="s">
        <v>1975</v>
      </c>
      <c r="AN91" s="259" t="b">
        <v>0</v>
      </c>
      <c r="AP91" s="274"/>
      <c r="AQ91" s="274"/>
      <c r="AR91" s="274"/>
      <c r="AT91" s="274"/>
      <c r="AU91" s="274"/>
      <c r="AZ91" s="274"/>
      <c r="BA91" s="259" t="s">
        <v>373</v>
      </c>
      <c r="BB91" s="259" t="s">
        <v>1610</v>
      </c>
      <c r="BC91" s="259" t="s">
        <v>2192</v>
      </c>
    </row>
    <row r="92" spans="1:55" ht="135">
      <c r="A92" s="259">
        <v>58</v>
      </c>
      <c r="B92" s="259" t="s">
        <v>2354</v>
      </c>
      <c r="C92" s="259" t="s">
        <v>2355</v>
      </c>
      <c r="D92" s="259" t="s">
        <v>8</v>
      </c>
      <c r="E92" s="259" t="s">
        <v>9</v>
      </c>
      <c r="F92" s="259" t="s">
        <v>1759</v>
      </c>
      <c r="G92" s="274">
        <v>44028</v>
      </c>
      <c r="H92" s="274"/>
      <c r="I92" s="274"/>
      <c r="N92" s="259" t="s">
        <v>122</v>
      </c>
      <c r="P92" s="259" t="s">
        <v>1554</v>
      </c>
      <c r="Q92" s="259" t="s">
        <v>2198</v>
      </c>
      <c r="R92" s="274">
        <v>44571.548159722224</v>
      </c>
      <c r="S92" s="321">
        <v>2020</v>
      </c>
      <c r="T92" s="259" t="s">
        <v>2001</v>
      </c>
      <c r="U92" s="259" t="s">
        <v>630</v>
      </c>
      <c r="V92" s="259" t="s">
        <v>631</v>
      </c>
      <c r="W92" s="259" t="s">
        <v>145</v>
      </c>
      <c r="X92" s="259" t="s">
        <v>309</v>
      </c>
      <c r="Y92" s="365">
        <v>44835</v>
      </c>
      <c r="Z92" s="259" t="s">
        <v>1875</v>
      </c>
      <c r="AA92" s="274"/>
      <c r="AB92" s="259" t="s">
        <v>139</v>
      </c>
      <c r="AC92" s="259" t="s">
        <v>1875</v>
      </c>
      <c r="AD92" s="259">
        <v>900</v>
      </c>
      <c r="AE92" s="259">
        <v>900</v>
      </c>
      <c r="AF92" s="274"/>
      <c r="AJ92" s="319" t="s">
        <v>2191</v>
      </c>
      <c r="AK92" s="274"/>
      <c r="AL92" s="319" t="s">
        <v>2190</v>
      </c>
      <c r="AM92" s="259" t="s">
        <v>1975</v>
      </c>
      <c r="AN92" s="259" t="b">
        <v>0</v>
      </c>
      <c r="AP92" s="274"/>
      <c r="AQ92" s="274"/>
      <c r="AR92" s="274"/>
      <c r="AT92" s="274"/>
      <c r="AU92" s="274"/>
      <c r="AZ92" s="274"/>
      <c r="BA92" s="259" t="s">
        <v>373</v>
      </c>
      <c r="BB92" s="259" t="s">
        <v>1610</v>
      </c>
      <c r="BC92" s="259" t="s">
        <v>2192</v>
      </c>
    </row>
    <row r="93" spans="1:55" ht="135">
      <c r="A93" s="259">
        <v>57</v>
      </c>
      <c r="B93" s="259" t="s">
        <v>2352</v>
      </c>
      <c r="C93" s="259" t="s">
        <v>2353</v>
      </c>
      <c r="D93" s="259" t="s">
        <v>8</v>
      </c>
      <c r="E93" s="259" t="s">
        <v>9</v>
      </c>
      <c r="F93" s="259" t="s">
        <v>1759</v>
      </c>
      <c r="G93" s="274">
        <v>44028</v>
      </c>
      <c r="H93" s="274"/>
      <c r="I93" s="274"/>
      <c r="N93" s="259" t="s">
        <v>122</v>
      </c>
      <c r="P93" s="259" t="s">
        <v>1554</v>
      </c>
      <c r="Q93" s="259" t="s">
        <v>2198</v>
      </c>
      <c r="R93" s="274">
        <v>44571.547835648147</v>
      </c>
      <c r="S93" s="321">
        <v>2020</v>
      </c>
      <c r="T93" s="259" t="s">
        <v>2001</v>
      </c>
      <c r="U93" s="259" t="s">
        <v>630</v>
      </c>
      <c r="V93" s="259" t="s">
        <v>631</v>
      </c>
      <c r="W93" s="259" t="s">
        <v>145</v>
      </c>
      <c r="X93" s="259" t="s">
        <v>309</v>
      </c>
      <c r="Y93" s="365">
        <v>44835</v>
      </c>
      <c r="Z93" s="259" t="s">
        <v>1875</v>
      </c>
      <c r="AA93" s="274"/>
      <c r="AB93" s="259" t="s">
        <v>139</v>
      </c>
      <c r="AC93" s="259" t="s">
        <v>1875</v>
      </c>
      <c r="AD93" s="259">
        <v>900</v>
      </c>
      <c r="AE93" s="259">
        <v>900</v>
      </c>
      <c r="AF93" s="274"/>
      <c r="AJ93" s="319" t="s">
        <v>2191</v>
      </c>
      <c r="AK93" s="274"/>
      <c r="AL93" s="319" t="s">
        <v>2190</v>
      </c>
      <c r="AM93" s="259" t="s">
        <v>1975</v>
      </c>
      <c r="AN93" s="259" t="b">
        <v>0</v>
      </c>
      <c r="AP93" s="274"/>
      <c r="AQ93" s="274"/>
      <c r="AR93" s="274"/>
      <c r="AT93" s="274"/>
      <c r="AU93" s="274"/>
      <c r="AZ93" s="274"/>
      <c r="BA93" s="259" t="s">
        <v>373</v>
      </c>
      <c r="BB93" s="259" t="s">
        <v>1610</v>
      </c>
      <c r="BC93" s="259" t="s">
        <v>2192</v>
      </c>
    </row>
    <row r="94" spans="1:55" ht="135">
      <c r="A94" s="259">
        <v>56</v>
      </c>
      <c r="B94" s="259" t="s">
        <v>2350</v>
      </c>
      <c r="C94" s="259" t="s">
        <v>2351</v>
      </c>
      <c r="D94" s="259" t="s">
        <v>8</v>
      </c>
      <c r="E94" s="259" t="s">
        <v>9</v>
      </c>
      <c r="F94" s="259" t="s">
        <v>1759</v>
      </c>
      <c r="G94" s="274">
        <v>44028</v>
      </c>
      <c r="H94" s="274"/>
      <c r="I94" s="274"/>
      <c r="N94" s="259" t="s">
        <v>122</v>
      </c>
      <c r="P94" s="259" t="s">
        <v>1554</v>
      </c>
      <c r="Q94" s="259" t="s">
        <v>2198</v>
      </c>
      <c r="R94" s="274">
        <v>44571.547442129631</v>
      </c>
      <c r="S94" s="321">
        <v>2020</v>
      </c>
      <c r="T94" s="259" t="s">
        <v>2001</v>
      </c>
      <c r="U94" s="259" t="s">
        <v>630</v>
      </c>
      <c r="V94" s="259" t="s">
        <v>631</v>
      </c>
      <c r="W94" s="259" t="s">
        <v>145</v>
      </c>
      <c r="X94" s="259" t="s">
        <v>309</v>
      </c>
      <c r="Y94" s="365">
        <v>44835</v>
      </c>
      <c r="Z94" s="259" t="s">
        <v>1875</v>
      </c>
      <c r="AA94" s="274"/>
      <c r="AB94" s="259" t="s">
        <v>139</v>
      </c>
      <c r="AC94" s="259" t="s">
        <v>1875</v>
      </c>
      <c r="AD94" s="259">
        <v>900</v>
      </c>
      <c r="AE94" s="259">
        <v>900</v>
      </c>
      <c r="AF94" s="274"/>
      <c r="AJ94" s="319" t="s">
        <v>2191</v>
      </c>
      <c r="AK94" s="274"/>
      <c r="AL94" s="319" t="s">
        <v>2190</v>
      </c>
      <c r="AM94" s="259" t="s">
        <v>1975</v>
      </c>
      <c r="AN94" s="259" t="b">
        <v>0</v>
      </c>
      <c r="AP94" s="274"/>
      <c r="AQ94" s="274"/>
      <c r="AR94" s="274"/>
      <c r="AT94" s="274"/>
      <c r="AU94" s="274"/>
      <c r="AZ94" s="274"/>
      <c r="BA94" s="259" t="s">
        <v>373</v>
      </c>
      <c r="BB94" s="259" t="s">
        <v>1610</v>
      </c>
      <c r="BC94" s="259" t="s">
        <v>2192</v>
      </c>
    </row>
    <row r="95" spans="1:55" ht="135">
      <c r="A95" s="259">
        <v>30</v>
      </c>
      <c r="B95" s="259" t="s">
        <v>2298</v>
      </c>
      <c r="C95" s="259" t="s">
        <v>2299</v>
      </c>
      <c r="D95" s="259" t="s">
        <v>8</v>
      </c>
      <c r="E95" s="259" t="s">
        <v>9</v>
      </c>
      <c r="F95" s="259" t="s">
        <v>1759</v>
      </c>
      <c r="G95" s="274">
        <v>43906</v>
      </c>
      <c r="H95" s="274">
        <v>43995</v>
      </c>
      <c r="I95" s="274"/>
      <c r="N95" s="259" t="s">
        <v>122</v>
      </c>
      <c r="P95" s="259" t="s">
        <v>1554</v>
      </c>
      <c r="Q95" s="259" t="s">
        <v>2198</v>
      </c>
      <c r="R95" s="274">
        <v>44571.528784722221</v>
      </c>
      <c r="S95" s="321">
        <v>2020</v>
      </c>
      <c r="T95" s="259" t="s">
        <v>2001</v>
      </c>
      <c r="U95" s="259" t="s">
        <v>630</v>
      </c>
      <c r="V95" s="259" t="s">
        <v>631</v>
      </c>
      <c r="W95" s="259" t="s">
        <v>145</v>
      </c>
      <c r="X95" s="259" t="s">
        <v>309</v>
      </c>
      <c r="Y95" s="365">
        <v>44835</v>
      </c>
      <c r="Z95" s="259" t="s">
        <v>1875</v>
      </c>
      <c r="AA95" s="274"/>
      <c r="AB95" s="259" t="s">
        <v>139</v>
      </c>
      <c r="AC95" s="259" t="s">
        <v>1875</v>
      </c>
      <c r="AD95" s="259">
        <v>900</v>
      </c>
      <c r="AE95" s="259">
        <v>900</v>
      </c>
      <c r="AF95" s="274"/>
      <c r="AJ95" s="319" t="s">
        <v>2191</v>
      </c>
      <c r="AK95" s="274"/>
      <c r="AL95" s="319" t="s">
        <v>2190</v>
      </c>
      <c r="AM95" s="259" t="s">
        <v>1975</v>
      </c>
      <c r="AN95" s="259" t="b">
        <v>0</v>
      </c>
      <c r="AP95" s="274"/>
      <c r="AQ95" s="274"/>
      <c r="AR95" s="274"/>
      <c r="AT95" s="274"/>
      <c r="AU95" s="274"/>
      <c r="AZ95" s="274"/>
      <c r="BA95" s="259" t="s">
        <v>373</v>
      </c>
      <c r="BB95" s="259" t="s">
        <v>1610</v>
      </c>
      <c r="BC95" s="259" t="s">
        <v>2192</v>
      </c>
    </row>
    <row r="96" spans="1:55" ht="135">
      <c r="A96" s="259">
        <v>55</v>
      </c>
      <c r="B96" s="259" t="s">
        <v>2348</v>
      </c>
      <c r="C96" s="259" t="s">
        <v>2349</v>
      </c>
      <c r="D96" s="259" t="s">
        <v>8</v>
      </c>
      <c r="E96" s="259" t="s">
        <v>9</v>
      </c>
      <c r="F96" s="259" t="s">
        <v>1759</v>
      </c>
      <c r="G96" s="274">
        <v>44028</v>
      </c>
      <c r="H96" s="274"/>
      <c r="I96" s="274"/>
      <c r="N96" s="259" t="s">
        <v>122</v>
      </c>
      <c r="P96" s="259" t="s">
        <v>1554</v>
      </c>
      <c r="Q96" s="259" t="s">
        <v>2198</v>
      </c>
      <c r="R96" s="274">
        <v>44571.547118055554</v>
      </c>
      <c r="S96" s="321">
        <v>2020</v>
      </c>
      <c r="T96" s="259" t="s">
        <v>2001</v>
      </c>
      <c r="U96" s="259" t="s">
        <v>630</v>
      </c>
      <c r="V96" s="259" t="s">
        <v>631</v>
      </c>
      <c r="W96" s="259" t="s">
        <v>145</v>
      </c>
      <c r="X96" s="259" t="s">
        <v>309</v>
      </c>
      <c r="Y96" s="365">
        <v>44835</v>
      </c>
      <c r="Z96" s="259" t="s">
        <v>1875</v>
      </c>
      <c r="AA96" s="274"/>
      <c r="AB96" s="259" t="s">
        <v>139</v>
      </c>
      <c r="AC96" s="259" t="s">
        <v>1875</v>
      </c>
      <c r="AD96" s="259">
        <v>900</v>
      </c>
      <c r="AE96" s="259">
        <v>900</v>
      </c>
      <c r="AF96" s="274"/>
      <c r="AJ96" s="319" t="s">
        <v>2191</v>
      </c>
      <c r="AK96" s="274"/>
      <c r="AL96" s="319" t="s">
        <v>2190</v>
      </c>
      <c r="AM96" s="259" t="s">
        <v>1975</v>
      </c>
      <c r="AN96" s="259" t="b">
        <v>0</v>
      </c>
      <c r="AP96" s="274"/>
      <c r="AQ96" s="274"/>
      <c r="AR96" s="274"/>
      <c r="AT96" s="274"/>
      <c r="AU96" s="274"/>
      <c r="AZ96" s="274"/>
      <c r="BA96" s="259" t="s">
        <v>373</v>
      </c>
      <c r="BB96" s="259" t="s">
        <v>1610</v>
      </c>
      <c r="BC96" s="259" t="s">
        <v>2192</v>
      </c>
    </row>
    <row r="97" spans="1:55" ht="135">
      <c r="A97" s="259">
        <v>54</v>
      </c>
      <c r="B97" s="259" t="s">
        <v>2346</v>
      </c>
      <c r="C97" s="259" t="s">
        <v>2347</v>
      </c>
      <c r="D97" s="259" t="s">
        <v>8</v>
      </c>
      <c r="E97" s="259" t="s">
        <v>9</v>
      </c>
      <c r="F97" s="259" t="s">
        <v>1759</v>
      </c>
      <c r="G97" s="274">
        <v>44028</v>
      </c>
      <c r="H97" s="274"/>
      <c r="I97" s="274"/>
      <c r="N97" s="259" t="s">
        <v>122</v>
      </c>
      <c r="P97" s="259" t="s">
        <v>1554</v>
      </c>
      <c r="Q97" s="259" t="s">
        <v>2198</v>
      </c>
      <c r="R97" s="274">
        <v>44571.546712962961</v>
      </c>
      <c r="S97" s="321">
        <v>2020</v>
      </c>
      <c r="T97" s="259" t="s">
        <v>2001</v>
      </c>
      <c r="U97" s="259" t="s">
        <v>630</v>
      </c>
      <c r="V97" s="259" t="s">
        <v>631</v>
      </c>
      <c r="W97" s="259" t="s">
        <v>145</v>
      </c>
      <c r="X97" s="259" t="s">
        <v>309</v>
      </c>
      <c r="Y97" s="365">
        <v>44835</v>
      </c>
      <c r="Z97" s="259" t="s">
        <v>1875</v>
      </c>
      <c r="AA97" s="274"/>
      <c r="AB97" s="259" t="s">
        <v>139</v>
      </c>
      <c r="AC97" s="259" t="s">
        <v>1875</v>
      </c>
      <c r="AD97" s="259">
        <v>900</v>
      </c>
      <c r="AE97" s="259">
        <v>900</v>
      </c>
      <c r="AF97" s="274"/>
      <c r="AJ97" s="319" t="s">
        <v>2191</v>
      </c>
      <c r="AK97" s="274"/>
      <c r="AL97" s="319" t="s">
        <v>2190</v>
      </c>
      <c r="AM97" s="259" t="s">
        <v>1975</v>
      </c>
      <c r="AN97" s="259" t="b">
        <v>0</v>
      </c>
      <c r="AP97" s="274"/>
      <c r="AQ97" s="274"/>
      <c r="AR97" s="274"/>
      <c r="AT97" s="274"/>
      <c r="AU97" s="274"/>
      <c r="AZ97" s="274"/>
      <c r="BA97" s="259" t="s">
        <v>373</v>
      </c>
      <c r="BB97" s="259" t="s">
        <v>1610</v>
      </c>
      <c r="BC97" s="259" t="s">
        <v>2192</v>
      </c>
    </row>
    <row r="98" spans="1:55" ht="135">
      <c r="A98" s="259">
        <v>53</v>
      </c>
      <c r="B98" s="259" t="s">
        <v>2344</v>
      </c>
      <c r="C98" s="259" t="s">
        <v>2345</v>
      </c>
      <c r="D98" s="259" t="s">
        <v>8</v>
      </c>
      <c r="E98" s="259" t="s">
        <v>9</v>
      </c>
      <c r="F98" s="259" t="s">
        <v>1759</v>
      </c>
      <c r="G98" s="274">
        <v>44028</v>
      </c>
      <c r="H98" s="274"/>
      <c r="I98" s="274"/>
      <c r="N98" s="259" t="s">
        <v>122</v>
      </c>
      <c r="P98" s="259" t="s">
        <v>1554</v>
      </c>
      <c r="Q98" s="259" t="s">
        <v>2198</v>
      </c>
      <c r="R98" s="274">
        <v>44571.546365740738</v>
      </c>
      <c r="S98" s="321">
        <v>2020</v>
      </c>
      <c r="T98" s="259" t="s">
        <v>2001</v>
      </c>
      <c r="U98" s="259" t="s">
        <v>630</v>
      </c>
      <c r="V98" s="259" t="s">
        <v>631</v>
      </c>
      <c r="W98" s="259" t="s">
        <v>145</v>
      </c>
      <c r="X98" s="259" t="s">
        <v>309</v>
      </c>
      <c r="Y98" s="365">
        <v>44835</v>
      </c>
      <c r="Z98" s="259" t="s">
        <v>1875</v>
      </c>
      <c r="AA98" s="274"/>
      <c r="AB98" s="259" t="s">
        <v>139</v>
      </c>
      <c r="AC98" s="259" t="s">
        <v>1875</v>
      </c>
      <c r="AD98" s="259">
        <v>900</v>
      </c>
      <c r="AE98" s="259">
        <v>900</v>
      </c>
      <c r="AF98" s="274"/>
      <c r="AJ98" s="319" t="s">
        <v>2191</v>
      </c>
      <c r="AK98" s="274"/>
      <c r="AL98" s="319" t="s">
        <v>2190</v>
      </c>
      <c r="AM98" s="259" t="s">
        <v>1975</v>
      </c>
      <c r="AN98" s="259" t="b">
        <v>0</v>
      </c>
      <c r="AP98" s="274"/>
      <c r="AQ98" s="274"/>
      <c r="AR98" s="274"/>
      <c r="AT98" s="274"/>
      <c r="AU98" s="274"/>
      <c r="AZ98" s="274"/>
      <c r="BA98" s="259" t="s">
        <v>373</v>
      </c>
      <c r="BB98" s="259" t="s">
        <v>1610</v>
      </c>
      <c r="BC98" s="259" t="s">
        <v>2192</v>
      </c>
    </row>
    <row r="99" spans="1:55" ht="135">
      <c r="A99" s="259">
        <v>52</v>
      </c>
      <c r="B99" s="259" t="s">
        <v>2342</v>
      </c>
      <c r="C99" s="259" t="s">
        <v>2343</v>
      </c>
      <c r="D99" s="259" t="s">
        <v>8</v>
      </c>
      <c r="E99" s="259" t="s">
        <v>9</v>
      </c>
      <c r="F99" s="259" t="s">
        <v>1759</v>
      </c>
      <c r="G99" s="274">
        <v>44028</v>
      </c>
      <c r="H99" s="274"/>
      <c r="I99" s="274"/>
      <c r="N99" s="259" t="s">
        <v>122</v>
      </c>
      <c r="P99" s="259" t="s">
        <v>1554</v>
      </c>
      <c r="Q99" s="259" t="s">
        <v>2198</v>
      </c>
      <c r="R99" s="274">
        <v>44571.545115740744</v>
      </c>
      <c r="S99" s="321">
        <v>2020</v>
      </c>
      <c r="T99" s="259" t="s">
        <v>2001</v>
      </c>
      <c r="U99" s="259" t="s">
        <v>630</v>
      </c>
      <c r="V99" s="259" t="s">
        <v>631</v>
      </c>
      <c r="W99" s="259" t="s">
        <v>145</v>
      </c>
      <c r="X99" s="259" t="s">
        <v>309</v>
      </c>
      <c r="Y99" s="365">
        <v>44835</v>
      </c>
      <c r="Z99" s="259" t="s">
        <v>1875</v>
      </c>
      <c r="AA99" s="274"/>
      <c r="AB99" s="259" t="s">
        <v>139</v>
      </c>
      <c r="AC99" s="259" t="s">
        <v>1875</v>
      </c>
      <c r="AD99" s="259">
        <v>900</v>
      </c>
      <c r="AE99" s="259">
        <v>900</v>
      </c>
      <c r="AF99" s="274"/>
      <c r="AJ99" s="319" t="s">
        <v>2191</v>
      </c>
      <c r="AK99" s="274"/>
      <c r="AL99" s="319" t="s">
        <v>2190</v>
      </c>
      <c r="AM99" s="259" t="s">
        <v>1975</v>
      </c>
      <c r="AN99" s="259" t="b">
        <v>0</v>
      </c>
      <c r="AP99" s="274"/>
      <c r="AQ99" s="274"/>
      <c r="AR99" s="274"/>
      <c r="AT99" s="274"/>
      <c r="AU99" s="274"/>
      <c r="AZ99" s="274"/>
      <c r="BA99" s="259" t="s">
        <v>373</v>
      </c>
      <c r="BB99" s="259" t="s">
        <v>1610</v>
      </c>
      <c r="BC99" s="259" t="s">
        <v>2192</v>
      </c>
    </row>
    <row r="100" spans="1:55" ht="135">
      <c r="A100" s="259">
        <v>5</v>
      </c>
      <c r="B100" s="259" t="s">
        <v>2278</v>
      </c>
      <c r="C100" s="259" t="s">
        <v>2279</v>
      </c>
      <c r="D100" s="259" t="s">
        <v>8</v>
      </c>
      <c r="E100" s="259" t="s">
        <v>9</v>
      </c>
      <c r="F100" s="259" t="s">
        <v>1759</v>
      </c>
      <c r="G100" s="274">
        <v>43182</v>
      </c>
      <c r="H100" s="274">
        <v>44008</v>
      </c>
      <c r="I100" s="274"/>
      <c r="N100" s="259" t="s">
        <v>122</v>
      </c>
      <c r="P100" s="259" t="s">
        <v>1554</v>
      </c>
      <c r="Q100" s="259" t="s">
        <v>2198</v>
      </c>
      <c r="R100" s="274">
        <v>44571.522222222222</v>
      </c>
      <c r="S100" s="321">
        <v>2018</v>
      </c>
      <c r="T100" s="259" t="s">
        <v>2001</v>
      </c>
      <c r="U100" s="259" t="s">
        <v>630</v>
      </c>
      <c r="V100" s="259" t="s">
        <v>631</v>
      </c>
      <c r="W100" s="259" t="s">
        <v>145</v>
      </c>
      <c r="X100" s="259" t="s">
        <v>309</v>
      </c>
      <c r="Y100" s="365">
        <v>44835</v>
      </c>
      <c r="Z100" s="259" t="s">
        <v>1875</v>
      </c>
      <c r="AA100" s="274"/>
      <c r="AB100" s="259" t="s">
        <v>139</v>
      </c>
      <c r="AC100" s="259" t="s">
        <v>1875</v>
      </c>
      <c r="AD100" s="259">
        <v>900</v>
      </c>
      <c r="AE100" s="259">
        <v>900</v>
      </c>
      <c r="AF100" s="274"/>
      <c r="AJ100" s="319" t="s">
        <v>2191</v>
      </c>
      <c r="AK100" s="274"/>
      <c r="AL100" s="319" t="s">
        <v>2190</v>
      </c>
      <c r="AM100" s="259" t="s">
        <v>1975</v>
      </c>
      <c r="AN100" s="259" t="b">
        <v>0</v>
      </c>
      <c r="AP100" s="274"/>
      <c r="AQ100" s="274"/>
      <c r="AR100" s="274"/>
      <c r="AT100" s="274"/>
      <c r="AU100" s="274"/>
      <c r="AZ100" s="274"/>
      <c r="BA100" s="259" t="s">
        <v>373</v>
      </c>
      <c r="BB100" s="259" t="s">
        <v>1610</v>
      </c>
      <c r="BC100" s="259" t="s">
        <v>2192</v>
      </c>
    </row>
    <row r="101" spans="1:55" ht="135">
      <c r="A101" s="259">
        <v>50</v>
      </c>
      <c r="B101" s="259" t="s">
        <v>2338</v>
      </c>
      <c r="C101" s="259" t="s">
        <v>2339</v>
      </c>
      <c r="D101" s="259" t="s">
        <v>8</v>
      </c>
      <c r="E101" s="259" t="s">
        <v>9</v>
      </c>
      <c r="F101" s="259" t="s">
        <v>1759</v>
      </c>
      <c r="G101" s="274">
        <v>44027</v>
      </c>
      <c r="H101" s="274"/>
      <c r="I101" s="274"/>
      <c r="N101" s="259" t="s">
        <v>122</v>
      </c>
      <c r="P101" s="259" t="s">
        <v>1554</v>
      </c>
      <c r="Q101" s="259" t="s">
        <v>2198</v>
      </c>
      <c r="R101" s="274">
        <v>44571.544247685182</v>
      </c>
      <c r="S101" s="321">
        <v>2020</v>
      </c>
      <c r="T101" s="259" t="s">
        <v>2001</v>
      </c>
      <c r="U101" s="259" t="s">
        <v>630</v>
      </c>
      <c r="V101" s="259" t="s">
        <v>631</v>
      </c>
      <c r="W101" s="259" t="s">
        <v>145</v>
      </c>
      <c r="X101" s="259" t="s">
        <v>309</v>
      </c>
      <c r="Y101" s="365">
        <v>44835</v>
      </c>
      <c r="Z101" s="259" t="s">
        <v>1875</v>
      </c>
      <c r="AA101" s="274"/>
      <c r="AB101" s="259" t="s">
        <v>139</v>
      </c>
      <c r="AC101" s="259" t="s">
        <v>1875</v>
      </c>
      <c r="AD101" s="259">
        <v>900</v>
      </c>
      <c r="AE101" s="259">
        <v>900</v>
      </c>
      <c r="AF101" s="274"/>
      <c r="AJ101" s="319" t="s">
        <v>2191</v>
      </c>
      <c r="AK101" s="274"/>
      <c r="AL101" s="319" t="s">
        <v>2190</v>
      </c>
      <c r="AM101" s="259" t="s">
        <v>1975</v>
      </c>
      <c r="AN101" s="259" t="b">
        <v>0</v>
      </c>
      <c r="AP101" s="274"/>
      <c r="AQ101" s="274"/>
      <c r="AR101" s="274"/>
      <c r="AT101" s="274"/>
      <c r="AU101" s="274"/>
      <c r="AZ101" s="274"/>
      <c r="BA101" s="259" t="s">
        <v>373</v>
      </c>
      <c r="BB101" s="259" t="s">
        <v>1610</v>
      </c>
      <c r="BC101" s="259" t="s">
        <v>2192</v>
      </c>
    </row>
    <row r="102" spans="1:55" ht="135">
      <c r="A102" s="259">
        <v>27</v>
      </c>
      <c r="B102" s="259" t="s">
        <v>2292</v>
      </c>
      <c r="C102" s="259" t="s">
        <v>2293</v>
      </c>
      <c r="D102" s="259" t="s">
        <v>8</v>
      </c>
      <c r="E102" s="259" t="s">
        <v>9</v>
      </c>
      <c r="F102" s="259" t="s">
        <v>1759</v>
      </c>
      <c r="G102" s="274">
        <v>43906</v>
      </c>
      <c r="H102" s="274">
        <v>43995</v>
      </c>
      <c r="I102" s="274"/>
      <c r="N102" s="259" t="s">
        <v>122</v>
      </c>
      <c r="P102" s="259" t="s">
        <v>1554</v>
      </c>
      <c r="Q102" s="259" t="s">
        <v>2198</v>
      </c>
      <c r="R102" s="274">
        <v>44571.527303240742</v>
      </c>
      <c r="S102" s="321">
        <v>2020</v>
      </c>
      <c r="T102" s="259" t="s">
        <v>2001</v>
      </c>
      <c r="U102" s="259" t="s">
        <v>630</v>
      </c>
      <c r="V102" s="259" t="s">
        <v>631</v>
      </c>
      <c r="W102" s="259" t="s">
        <v>145</v>
      </c>
      <c r="X102" s="259" t="s">
        <v>309</v>
      </c>
      <c r="Y102" s="365">
        <v>44835</v>
      </c>
      <c r="Z102" s="259" t="s">
        <v>1875</v>
      </c>
      <c r="AA102" s="274"/>
      <c r="AB102" s="259" t="s">
        <v>139</v>
      </c>
      <c r="AC102" s="259" t="s">
        <v>1875</v>
      </c>
      <c r="AD102" s="259">
        <v>900</v>
      </c>
      <c r="AE102" s="259">
        <v>900</v>
      </c>
      <c r="AF102" s="274"/>
      <c r="AJ102" s="319" t="s">
        <v>2191</v>
      </c>
      <c r="AK102" s="274"/>
      <c r="AL102" s="319" t="s">
        <v>2190</v>
      </c>
      <c r="AM102" s="259" t="s">
        <v>1975</v>
      </c>
      <c r="AN102" s="259" t="b">
        <v>0</v>
      </c>
      <c r="AP102" s="274"/>
      <c r="AQ102" s="274"/>
      <c r="AR102" s="274"/>
      <c r="AT102" s="274"/>
      <c r="AU102" s="274"/>
      <c r="AZ102" s="274"/>
      <c r="BA102" s="259" t="s">
        <v>373</v>
      </c>
      <c r="BB102" s="259" t="s">
        <v>1610</v>
      </c>
      <c r="BC102" s="259" t="s">
        <v>2192</v>
      </c>
    </row>
    <row r="103" spans="1:55" ht="135">
      <c r="A103" s="259">
        <v>48</v>
      </c>
      <c r="B103" s="259" t="s">
        <v>2336</v>
      </c>
      <c r="C103" s="259" t="s">
        <v>2337</v>
      </c>
      <c r="D103" s="259" t="s">
        <v>8</v>
      </c>
      <c r="E103" s="259" t="s">
        <v>9</v>
      </c>
      <c r="F103" s="259" t="s">
        <v>1759</v>
      </c>
      <c r="G103" s="274">
        <v>44006</v>
      </c>
      <c r="H103" s="274"/>
      <c r="I103" s="274"/>
      <c r="N103" s="259" t="s">
        <v>122</v>
      </c>
      <c r="P103" s="259" t="s">
        <v>1554</v>
      </c>
      <c r="Q103" s="259" t="s">
        <v>2198</v>
      </c>
      <c r="R103" s="274">
        <v>44571.543726851851</v>
      </c>
      <c r="S103" s="321">
        <v>2020</v>
      </c>
      <c r="T103" s="259" t="s">
        <v>2001</v>
      </c>
      <c r="U103" s="259" t="s">
        <v>630</v>
      </c>
      <c r="V103" s="259" t="s">
        <v>631</v>
      </c>
      <c r="W103" s="259" t="s">
        <v>145</v>
      </c>
      <c r="X103" s="259" t="s">
        <v>309</v>
      </c>
      <c r="Y103" s="365">
        <v>44835</v>
      </c>
      <c r="Z103" s="259" t="s">
        <v>1875</v>
      </c>
      <c r="AA103" s="274"/>
      <c r="AB103" s="259" t="s">
        <v>139</v>
      </c>
      <c r="AC103" s="259" t="s">
        <v>1875</v>
      </c>
      <c r="AD103" s="259">
        <v>900</v>
      </c>
      <c r="AE103" s="259">
        <v>900</v>
      </c>
      <c r="AF103" s="274"/>
      <c r="AJ103" s="319" t="s">
        <v>2191</v>
      </c>
      <c r="AK103" s="274"/>
      <c r="AL103" s="319" t="s">
        <v>2190</v>
      </c>
      <c r="AM103" s="259" t="s">
        <v>1975</v>
      </c>
      <c r="AN103" s="259" t="b">
        <v>0</v>
      </c>
      <c r="AP103" s="274"/>
      <c r="AQ103" s="274"/>
      <c r="AR103" s="274"/>
      <c r="AT103" s="274"/>
      <c r="AU103" s="274"/>
      <c r="AZ103" s="274"/>
      <c r="BA103" s="259" t="s">
        <v>373</v>
      </c>
      <c r="BB103" s="259" t="s">
        <v>1610</v>
      </c>
      <c r="BC103" s="259" t="s">
        <v>2192</v>
      </c>
    </row>
    <row r="104" spans="1:55" ht="135">
      <c r="A104" s="259">
        <v>47</v>
      </c>
      <c r="B104" s="259" t="s">
        <v>2334</v>
      </c>
      <c r="C104" s="259" t="s">
        <v>2335</v>
      </c>
      <c r="D104" s="259" t="s">
        <v>8</v>
      </c>
      <c r="E104" s="259" t="s">
        <v>9</v>
      </c>
      <c r="F104" s="259" t="s">
        <v>1759</v>
      </c>
      <c r="G104" s="274">
        <v>44006</v>
      </c>
      <c r="H104" s="274"/>
      <c r="I104" s="274"/>
      <c r="N104" s="259" t="s">
        <v>122</v>
      </c>
      <c r="P104" s="259" t="s">
        <v>1554</v>
      </c>
      <c r="Q104" s="259" t="s">
        <v>2198</v>
      </c>
      <c r="R104" s="274">
        <v>44571.543344907404</v>
      </c>
      <c r="S104" s="321">
        <v>2020</v>
      </c>
      <c r="T104" s="259" t="s">
        <v>2001</v>
      </c>
      <c r="U104" s="259" t="s">
        <v>630</v>
      </c>
      <c r="V104" s="259" t="s">
        <v>631</v>
      </c>
      <c r="W104" s="259" t="s">
        <v>145</v>
      </c>
      <c r="X104" s="259" t="s">
        <v>309</v>
      </c>
      <c r="Y104" s="365">
        <v>44835</v>
      </c>
      <c r="Z104" s="259" t="s">
        <v>1875</v>
      </c>
      <c r="AA104" s="274"/>
      <c r="AB104" s="259" t="s">
        <v>139</v>
      </c>
      <c r="AC104" s="259" t="s">
        <v>1875</v>
      </c>
      <c r="AD104" s="259">
        <v>900</v>
      </c>
      <c r="AE104" s="259">
        <v>900</v>
      </c>
      <c r="AF104" s="274"/>
      <c r="AJ104" s="319" t="s">
        <v>2191</v>
      </c>
      <c r="AK104" s="274"/>
      <c r="AL104" s="319" t="s">
        <v>2190</v>
      </c>
      <c r="AM104" s="259" t="s">
        <v>1975</v>
      </c>
      <c r="AN104" s="259" t="b">
        <v>0</v>
      </c>
      <c r="AP104" s="274"/>
      <c r="AQ104" s="274"/>
      <c r="AR104" s="274"/>
      <c r="AT104" s="274"/>
      <c r="AU104" s="274"/>
      <c r="AZ104" s="274"/>
      <c r="BA104" s="259" t="s">
        <v>373</v>
      </c>
      <c r="BB104" s="259" t="s">
        <v>1610</v>
      </c>
      <c r="BC104" s="259" t="s">
        <v>2192</v>
      </c>
    </row>
    <row r="105" spans="1:55" ht="135">
      <c r="A105" s="259">
        <v>28</v>
      </c>
      <c r="B105" s="259" t="s">
        <v>2294</v>
      </c>
      <c r="C105" s="259" t="s">
        <v>2295</v>
      </c>
      <c r="D105" s="259" t="s">
        <v>8</v>
      </c>
      <c r="E105" s="259" t="s">
        <v>9</v>
      </c>
      <c r="F105" s="259" t="s">
        <v>1759</v>
      </c>
      <c r="G105" s="274">
        <v>43906</v>
      </c>
      <c r="H105" s="274">
        <v>43995</v>
      </c>
      <c r="I105" s="274"/>
      <c r="N105" s="259" t="s">
        <v>122</v>
      </c>
      <c r="P105" s="259" t="s">
        <v>1554</v>
      </c>
      <c r="Q105" s="259" t="s">
        <v>2198</v>
      </c>
      <c r="R105" s="274">
        <v>44571.527754629627</v>
      </c>
      <c r="S105" s="321">
        <v>2020</v>
      </c>
      <c r="T105" s="259" t="s">
        <v>2001</v>
      </c>
      <c r="U105" s="259" t="s">
        <v>630</v>
      </c>
      <c r="V105" s="259" t="s">
        <v>631</v>
      </c>
      <c r="W105" s="259" t="s">
        <v>145</v>
      </c>
      <c r="X105" s="259" t="s">
        <v>309</v>
      </c>
      <c r="Y105" s="365">
        <v>44835</v>
      </c>
      <c r="Z105" s="259" t="s">
        <v>1875</v>
      </c>
      <c r="AA105" s="274"/>
      <c r="AB105" s="259" t="s">
        <v>139</v>
      </c>
      <c r="AC105" s="259" t="s">
        <v>1875</v>
      </c>
      <c r="AD105" s="259">
        <v>900</v>
      </c>
      <c r="AE105" s="259">
        <v>900</v>
      </c>
      <c r="AF105" s="274"/>
      <c r="AJ105" s="319" t="s">
        <v>2191</v>
      </c>
      <c r="AK105" s="274"/>
      <c r="AL105" s="319" t="s">
        <v>2190</v>
      </c>
      <c r="AM105" s="259" t="s">
        <v>1975</v>
      </c>
      <c r="AN105" s="259" t="b">
        <v>0</v>
      </c>
      <c r="AP105" s="274"/>
      <c r="AQ105" s="274"/>
      <c r="AR105" s="274"/>
      <c r="AT105" s="274"/>
      <c r="AU105" s="274"/>
      <c r="AZ105" s="274"/>
      <c r="BA105" s="259" t="s">
        <v>373</v>
      </c>
      <c r="BB105" s="259" t="s">
        <v>1610</v>
      </c>
      <c r="BC105" s="259" t="s">
        <v>2192</v>
      </c>
    </row>
    <row r="106" spans="1:55" ht="135">
      <c r="A106" s="259">
        <v>46</v>
      </c>
      <c r="B106" s="259" t="s">
        <v>2332</v>
      </c>
      <c r="C106" s="259" t="s">
        <v>2333</v>
      </c>
      <c r="D106" s="259" t="s">
        <v>8</v>
      </c>
      <c r="E106" s="259" t="s">
        <v>9</v>
      </c>
      <c r="F106" s="259" t="s">
        <v>1759</v>
      </c>
      <c r="G106" s="274">
        <v>44006</v>
      </c>
      <c r="H106" s="274"/>
      <c r="I106" s="274"/>
      <c r="N106" s="259" t="s">
        <v>122</v>
      </c>
      <c r="P106" s="259" t="s">
        <v>1554</v>
      </c>
      <c r="Q106" s="259" t="s">
        <v>2198</v>
      </c>
      <c r="R106" s="274">
        <v>44571.542951388888</v>
      </c>
      <c r="S106" s="321">
        <v>2020</v>
      </c>
      <c r="T106" s="259" t="s">
        <v>2001</v>
      </c>
      <c r="U106" s="259" t="s">
        <v>630</v>
      </c>
      <c r="V106" s="259" t="s">
        <v>631</v>
      </c>
      <c r="W106" s="259" t="s">
        <v>145</v>
      </c>
      <c r="X106" s="259" t="s">
        <v>309</v>
      </c>
      <c r="Y106" s="365">
        <v>44835</v>
      </c>
      <c r="Z106" s="259" t="s">
        <v>1875</v>
      </c>
      <c r="AA106" s="274"/>
      <c r="AB106" s="259" t="s">
        <v>139</v>
      </c>
      <c r="AC106" s="259" t="s">
        <v>1875</v>
      </c>
      <c r="AD106" s="259">
        <v>900</v>
      </c>
      <c r="AE106" s="259">
        <v>900</v>
      </c>
      <c r="AF106" s="274"/>
      <c r="AJ106" s="319" t="s">
        <v>2191</v>
      </c>
      <c r="AK106" s="274"/>
      <c r="AL106" s="319" t="s">
        <v>2190</v>
      </c>
      <c r="AM106" s="259" t="s">
        <v>1975</v>
      </c>
      <c r="AN106" s="259" t="b">
        <v>0</v>
      </c>
      <c r="AP106" s="274"/>
      <c r="AQ106" s="274"/>
      <c r="AR106" s="274"/>
      <c r="AT106" s="274"/>
      <c r="AU106" s="274"/>
      <c r="AZ106" s="274"/>
      <c r="BA106" s="259" t="s">
        <v>373</v>
      </c>
      <c r="BB106" s="259" t="s">
        <v>1610</v>
      </c>
      <c r="BC106" s="259" t="s">
        <v>2192</v>
      </c>
    </row>
    <row r="107" spans="1:55" ht="135">
      <c r="A107" s="259">
        <v>45</v>
      </c>
      <c r="B107" s="259" t="s">
        <v>2330</v>
      </c>
      <c r="C107" s="259" t="s">
        <v>2331</v>
      </c>
      <c r="D107" s="259" t="s">
        <v>8</v>
      </c>
      <c r="E107" s="259" t="s">
        <v>9</v>
      </c>
      <c r="F107" s="259" t="s">
        <v>1759</v>
      </c>
      <c r="G107" s="274">
        <v>44006</v>
      </c>
      <c r="H107" s="274"/>
      <c r="I107" s="274"/>
      <c r="N107" s="259" t="s">
        <v>122</v>
      </c>
      <c r="P107" s="259" t="s">
        <v>1554</v>
      </c>
      <c r="Q107" s="259" t="s">
        <v>2198</v>
      </c>
      <c r="R107" s="274">
        <v>44571.542511574073</v>
      </c>
      <c r="S107" s="321">
        <v>2020</v>
      </c>
      <c r="T107" s="259" t="s">
        <v>2001</v>
      </c>
      <c r="U107" s="259" t="s">
        <v>630</v>
      </c>
      <c r="V107" s="259" t="s">
        <v>631</v>
      </c>
      <c r="W107" s="259" t="s">
        <v>145</v>
      </c>
      <c r="X107" s="259" t="s">
        <v>309</v>
      </c>
      <c r="Y107" s="365">
        <v>44835</v>
      </c>
      <c r="Z107" s="259" t="s">
        <v>1875</v>
      </c>
      <c r="AA107" s="274"/>
      <c r="AB107" s="259" t="s">
        <v>139</v>
      </c>
      <c r="AC107" s="259" t="s">
        <v>1875</v>
      </c>
      <c r="AD107" s="259">
        <v>900</v>
      </c>
      <c r="AE107" s="259">
        <v>900</v>
      </c>
      <c r="AF107" s="274"/>
      <c r="AJ107" s="319" t="s">
        <v>2191</v>
      </c>
      <c r="AK107" s="274"/>
      <c r="AL107" s="319" t="s">
        <v>2190</v>
      </c>
      <c r="AM107" s="259" t="s">
        <v>1975</v>
      </c>
      <c r="AN107" s="259" t="b">
        <v>0</v>
      </c>
      <c r="AP107" s="274"/>
      <c r="AQ107" s="274"/>
      <c r="AR107" s="274"/>
      <c r="AT107" s="274"/>
      <c r="AU107" s="274"/>
      <c r="AZ107" s="274"/>
      <c r="BA107" s="259" t="s">
        <v>373</v>
      </c>
      <c r="BB107" s="259" t="s">
        <v>1610</v>
      </c>
      <c r="BC107" s="259" t="s">
        <v>2192</v>
      </c>
    </row>
    <row r="108" spans="1:55" ht="135">
      <c r="A108" s="259">
        <v>44</v>
      </c>
      <c r="B108" s="259" t="s">
        <v>2328</v>
      </c>
      <c r="C108" s="259" t="s">
        <v>2329</v>
      </c>
      <c r="D108" s="259" t="s">
        <v>8</v>
      </c>
      <c r="E108" s="259" t="s">
        <v>9</v>
      </c>
      <c r="F108" s="259" t="s">
        <v>1759</v>
      </c>
      <c r="G108" s="274">
        <v>44006</v>
      </c>
      <c r="H108" s="274"/>
      <c r="I108" s="274"/>
      <c r="N108" s="259" t="s">
        <v>122</v>
      </c>
      <c r="P108" s="259" t="s">
        <v>1554</v>
      </c>
      <c r="Q108" s="259" t="s">
        <v>2198</v>
      </c>
      <c r="R108" s="274">
        <v>44571.542164351849</v>
      </c>
      <c r="S108" s="321">
        <v>2020</v>
      </c>
      <c r="T108" s="259" t="s">
        <v>2001</v>
      </c>
      <c r="U108" s="259" t="s">
        <v>630</v>
      </c>
      <c r="V108" s="259" t="s">
        <v>631</v>
      </c>
      <c r="W108" s="259" t="s">
        <v>145</v>
      </c>
      <c r="X108" s="259" t="s">
        <v>309</v>
      </c>
      <c r="Y108" s="365">
        <v>44835</v>
      </c>
      <c r="Z108" s="259" t="s">
        <v>1875</v>
      </c>
      <c r="AA108" s="274"/>
      <c r="AB108" s="259" t="s">
        <v>139</v>
      </c>
      <c r="AC108" s="259" t="s">
        <v>1875</v>
      </c>
      <c r="AD108" s="259">
        <v>900</v>
      </c>
      <c r="AE108" s="259">
        <v>900</v>
      </c>
      <c r="AF108" s="274"/>
      <c r="AJ108" s="319" t="s">
        <v>2191</v>
      </c>
      <c r="AK108" s="274"/>
      <c r="AL108" s="319" t="s">
        <v>2190</v>
      </c>
      <c r="AM108" s="259" t="s">
        <v>1975</v>
      </c>
      <c r="AN108" s="259" t="b">
        <v>0</v>
      </c>
      <c r="AP108" s="274"/>
      <c r="AQ108" s="274"/>
      <c r="AR108" s="274"/>
      <c r="AT108" s="274"/>
      <c r="AU108" s="274"/>
      <c r="AZ108" s="274"/>
      <c r="BA108" s="259" t="s">
        <v>373</v>
      </c>
      <c r="BB108" s="259" t="s">
        <v>1610</v>
      </c>
      <c r="BC108" s="259" t="s">
        <v>2192</v>
      </c>
    </row>
    <row r="109" spans="1:55" ht="135">
      <c r="A109" s="259">
        <v>41</v>
      </c>
      <c r="B109" s="259" t="s">
        <v>2322</v>
      </c>
      <c r="C109" s="259" t="s">
        <v>2323</v>
      </c>
      <c r="D109" s="259" t="s">
        <v>8</v>
      </c>
      <c r="E109" s="259" t="s">
        <v>9</v>
      </c>
      <c r="F109" s="259" t="s">
        <v>1759</v>
      </c>
      <c r="G109" s="274">
        <v>44006</v>
      </c>
      <c r="H109" s="274"/>
      <c r="I109" s="274"/>
      <c r="N109" s="259" t="s">
        <v>122</v>
      </c>
      <c r="P109" s="259" t="s">
        <v>1554</v>
      </c>
      <c r="Q109" s="259" t="s">
        <v>2198</v>
      </c>
      <c r="R109" s="274">
        <v>44571.540601851855</v>
      </c>
      <c r="S109" s="321">
        <v>2020</v>
      </c>
      <c r="T109" s="259" t="s">
        <v>2001</v>
      </c>
      <c r="U109" s="259" t="s">
        <v>630</v>
      </c>
      <c r="V109" s="259" t="s">
        <v>631</v>
      </c>
      <c r="W109" s="259" t="s">
        <v>145</v>
      </c>
      <c r="X109" s="259" t="s">
        <v>309</v>
      </c>
      <c r="Y109" s="365">
        <v>44835</v>
      </c>
      <c r="Z109" s="259" t="s">
        <v>1875</v>
      </c>
      <c r="AA109" s="274"/>
      <c r="AB109" s="259" t="s">
        <v>139</v>
      </c>
      <c r="AC109" s="259" t="s">
        <v>1875</v>
      </c>
      <c r="AD109" s="259">
        <v>900</v>
      </c>
      <c r="AE109" s="259">
        <v>900</v>
      </c>
      <c r="AF109" s="274"/>
      <c r="AJ109" s="319" t="s">
        <v>2191</v>
      </c>
      <c r="AK109" s="274"/>
      <c r="AL109" s="319" t="s">
        <v>2190</v>
      </c>
      <c r="AM109" s="259" t="s">
        <v>1975</v>
      </c>
      <c r="AN109" s="259" t="b">
        <v>0</v>
      </c>
      <c r="AP109" s="274"/>
      <c r="AQ109" s="274"/>
      <c r="AR109" s="274"/>
      <c r="AT109" s="274"/>
      <c r="AU109" s="274"/>
      <c r="AZ109" s="274"/>
      <c r="BA109" s="259" t="s">
        <v>373</v>
      </c>
      <c r="BB109" s="259" t="s">
        <v>1610</v>
      </c>
      <c r="BC109" s="259" t="s">
        <v>2192</v>
      </c>
    </row>
    <row r="110" spans="1:55" ht="135">
      <c r="A110" s="259">
        <v>51</v>
      </c>
      <c r="B110" s="259" t="s">
        <v>2340</v>
      </c>
      <c r="C110" s="259" t="s">
        <v>2341</v>
      </c>
      <c r="D110" s="259" t="s">
        <v>8</v>
      </c>
      <c r="E110" s="259" t="s">
        <v>9</v>
      </c>
      <c r="F110" s="259" t="s">
        <v>1759</v>
      </c>
      <c r="G110" s="274">
        <v>44028</v>
      </c>
      <c r="H110" s="274"/>
      <c r="I110" s="274"/>
      <c r="N110" s="259" t="s">
        <v>122</v>
      </c>
      <c r="P110" s="259" t="s">
        <v>1554</v>
      </c>
      <c r="Q110" s="259" t="s">
        <v>2198</v>
      </c>
      <c r="R110" s="274">
        <v>44571.544733796298</v>
      </c>
      <c r="S110" s="321">
        <v>2020</v>
      </c>
      <c r="T110" s="259" t="s">
        <v>2001</v>
      </c>
      <c r="U110" s="259" t="s">
        <v>630</v>
      </c>
      <c r="V110" s="259" t="s">
        <v>631</v>
      </c>
      <c r="W110" s="259" t="s">
        <v>145</v>
      </c>
      <c r="X110" s="259" t="s">
        <v>309</v>
      </c>
      <c r="Y110" s="365">
        <v>44835</v>
      </c>
      <c r="Z110" s="259" t="s">
        <v>1875</v>
      </c>
      <c r="AA110" s="274"/>
      <c r="AB110" s="259" t="s">
        <v>139</v>
      </c>
      <c r="AC110" s="259" t="s">
        <v>1875</v>
      </c>
      <c r="AD110" s="259">
        <v>900</v>
      </c>
      <c r="AE110" s="259">
        <v>900</v>
      </c>
      <c r="AF110" s="274"/>
      <c r="AJ110" s="319" t="s">
        <v>2191</v>
      </c>
      <c r="AK110" s="274"/>
      <c r="AL110" s="319" t="s">
        <v>2190</v>
      </c>
      <c r="AM110" s="259" t="s">
        <v>1975</v>
      </c>
      <c r="AN110" s="259" t="b">
        <v>0</v>
      </c>
      <c r="AP110" s="274"/>
      <c r="AQ110" s="274"/>
      <c r="AR110" s="274"/>
      <c r="AT110" s="274"/>
      <c r="AU110" s="274"/>
      <c r="AZ110" s="274"/>
      <c r="BA110" s="259" t="s">
        <v>373</v>
      </c>
      <c r="BB110" s="259" t="s">
        <v>1610</v>
      </c>
      <c r="BC110" s="259" t="s">
        <v>2192</v>
      </c>
    </row>
    <row r="111" spans="1:55" ht="135">
      <c r="A111" s="259">
        <v>111</v>
      </c>
      <c r="B111" s="259" t="s">
        <v>2402</v>
      </c>
      <c r="C111" s="259" t="s">
        <v>2408</v>
      </c>
      <c r="D111" s="259" t="s">
        <v>8</v>
      </c>
      <c r="E111" s="259" t="s">
        <v>9</v>
      </c>
      <c r="F111" s="259" t="s">
        <v>1765</v>
      </c>
      <c r="G111" s="274">
        <v>44289</v>
      </c>
      <c r="H111" s="274"/>
      <c r="I111" s="274"/>
      <c r="N111" s="259" t="s">
        <v>122</v>
      </c>
      <c r="P111" s="259" t="s">
        <v>1554</v>
      </c>
      <c r="Q111" s="259" t="s">
        <v>2198</v>
      </c>
      <c r="R111" s="274">
        <v>44571.582997685182</v>
      </c>
      <c r="S111" s="321">
        <v>2021</v>
      </c>
      <c r="T111" s="259" t="s">
        <v>2001</v>
      </c>
      <c r="U111" s="259" t="s">
        <v>630</v>
      </c>
      <c r="V111" s="259" t="s">
        <v>631</v>
      </c>
      <c r="W111" s="259" t="s">
        <v>145</v>
      </c>
      <c r="X111" s="259" t="s">
        <v>309</v>
      </c>
      <c r="Y111" s="365">
        <v>44835</v>
      </c>
      <c r="Z111" s="259" t="s">
        <v>1875</v>
      </c>
      <c r="AA111" s="274"/>
      <c r="AB111" s="259" t="s">
        <v>139</v>
      </c>
      <c r="AC111" s="259" t="s">
        <v>1875</v>
      </c>
      <c r="AD111" s="259">
        <v>900</v>
      </c>
      <c r="AE111" s="259">
        <v>900</v>
      </c>
      <c r="AF111" s="274"/>
      <c r="AJ111" s="319" t="s">
        <v>2191</v>
      </c>
      <c r="AK111" s="274"/>
      <c r="AL111" s="319" t="s">
        <v>2190</v>
      </c>
      <c r="AM111" s="259" t="s">
        <v>1975</v>
      </c>
      <c r="AN111" s="259" t="b">
        <v>0</v>
      </c>
      <c r="AP111" s="274"/>
      <c r="AQ111" s="274"/>
      <c r="AR111" s="274"/>
      <c r="AT111" s="274"/>
      <c r="AU111" s="274"/>
      <c r="AZ111" s="274"/>
      <c r="BA111" s="259" t="s">
        <v>373</v>
      </c>
      <c r="BB111" s="259" t="s">
        <v>1610</v>
      </c>
      <c r="BC111" s="259" t="s">
        <v>2192</v>
      </c>
    </row>
    <row r="112" spans="1:55" ht="135">
      <c r="A112" s="259">
        <v>352</v>
      </c>
      <c r="B112" s="259" t="s">
        <v>2804</v>
      </c>
      <c r="C112" s="259" t="s">
        <v>2805</v>
      </c>
      <c r="D112" s="259" t="s">
        <v>8</v>
      </c>
      <c r="E112" s="259" t="s">
        <v>9</v>
      </c>
      <c r="F112" s="259" t="s">
        <v>1765</v>
      </c>
      <c r="G112" s="274">
        <v>44817</v>
      </c>
      <c r="H112" s="274"/>
      <c r="I112" s="274"/>
      <c r="N112" s="259" t="s">
        <v>122</v>
      </c>
      <c r="P112" s="259" t="s">
        <v>1554</v>
      </c>
      <c r="Q112" s="259" t="s">
        <v>2198</v>
      </c>
      <c r="R112" s="274">
        <v>44630.531886574077</v>
      </c>
      <c r="S112" s="321">
        <v>2022</v>
      </c>
      <c r="T112" s="259" t="s">
        <v>2001</v>
      </c>
      <c r="U112" s="259" t="s">
        <v>630</v>
      </c>
      <c r="V112" s="259" t="s">
        <v>631</v>
      </c>
      <c r="W112" s="259" t="s">
        <v>145</v>
      </c>
      <c r="X112" s="259" t="s">
        <v>309</v>
      </c>
      <c r="Y112" s="365">
        <v>44835</v>
      </c>
      <c r="Z112" s="259" t="s">
        <v>1875</v>
      </c>
      <c r="AA112" s="274"/>
      <c r="AB112" s="259" t="s">
        <v>139</v>
      </c>
      <c r="AC112" s="259" t="s">
        <v>1875</v>
      </c>
      <c r="AD112" s="259">
        <v>900</v>
      </c>
      <c r="AE112" s="259">
        <v>900</v>
      </c>
      <c r="AF112" s="274"/>
      <c r="AJ112" s="319" t="s">
        <v>2191</v>
      </c>
      <c r="AK112" s="274"/>
      <c r="AL112" s="319" t="s">
        <v>2190</v>
      </c>
      <c r="AM112" s="259" t="s">
        <v>1975</v>
      </c>
      <c r="AN112" s="259" t="b">
        <v>0</v>
      </c>
      <c r="AP112" s="274"/>
      <c r="AQ112" s="274"/>
      <c r="AR112" s="274"/>
      <c r="AT112" s="274"/>
      <c r="AU112" s="274"/>
      <c r="AZ112" s="274"/>
      <c r="BA112" s="259" t="s">
        <v>373</v>
      </c>
      <c r="BB112" s="259" t="s">
        <v>1610</v>
      </c>
      <c r="BC112" s="259" t="s">
        <v>2192</v>
      </c>
    </row>
    <row r="113" spans="1:55" ht="135">
      <c r="A113" s="259">
        <v>21</v>
      </c>
      <c r="B113" s="259" t="s">
        <v>2398</v>
      </c>
      <c r="C113" s="259" t="s">
        <v>2399</v>
      </c>
      <c r="D113" s="259" t="s">
        <v>8</v>
      </c>
      <c r="E113" s="259" t="s">
        <v>9</v>
      </c>
      <c r="F113" s="259" t="s">
        <v>1765</v>
      </c>
      <c r="G113" s="274">
        <v>43896</v>
      </c>
      <c r="H113" s="274">
        <v>44006</v>
      </c>
      <c r="I113" s="274"/>
      <c r="N113" s="259" t="s">
        <v>122</v>
      </c>
      <c r="P113" s="259" t="s">
        <v>1554</v>
      </c>
      <c r="Q113" s="259" t="s">
        <v>2198</v>
      </c>
      <c r="R113" s="274">
        <v>44571.572592592594</v>
      </c>
      <c r="S113" s="321">
        <v>2020</v>
      </c>
      <c r="T113" s="259" t="s">
        <v>2001</v>
      </c>
      <c r="U113" s="259" t="s">
        <v>630</v>
      </c>
      <c r="V113" s="259" t="s">
        <v>631</v>
      </c>
      <c r="W113" s="259" t="s">
        <v>145</v>
      </c>
      <c r="X113" s="259" t="s">
        <v>309</v>
      </c>
      <c r="Y113" s="365">
        <v>44835</v>
      </c>
      <c r="Z113" s="259" t="s">
        <v>1875</v>
      </c>
      <c r="AA113" s="274"/>
      <c r="AB113" s="259" t="s">
        <v>139</v>
      </c>
      <c r="AC113" s="259" t="s">
        <v>1875</v>
      </c>
      <c r="AD113" s="259">
        <v>900</v>
      </c>
      <c r="AE113" s="259">
        <v>900</v>
      </c>
      <c r="AF113" s="274"/>
      <c r="AJ113" s="319" t="s">
        <v>2191</v>
      </c>
      <c r="AK113" s="274"/>
      <c r="AL113" s="319" t="s">
        <v>2190</v>
      </c>
      <c r="AM113" s="259" t="s">
        <v>1975</v>
      </c>
      <c r="AN113" s="259" t="b">
        <v>0</v>
      </c>
      <c r="AP113" s="274"/>
      <c r="AQ113" s="274"/>
      <c r="AR113" s="274"/>
      <c r="AT113" s="274"/>
      <c r="AU113" s="274"/>
      <c r="AZ113" s="274"/>
      <c r="BA113" s="259" t="s">
        <v>373</v>
      </c>
      <c r="BB113" s="259" t="s">
        <v>1610</v>
      </c>
      <c r="BC113" s="259" t="s">
        <v>2192</v>
      </c>
    </row>
    <row r="114" spans="1:55" ht="135">
      <c r="A114" s="259">
        <v>148</v>
      </c>
      <c r="B114" s="259" t="s">
        <v>2409</v>
      </c>
      <c r="C114" s="259" t="s">
        <v>2410</v>
      </c>
      <c r="D114" s="259" t="s">
        <v>8</v>
      </c>
      <c r="E114" s="259" t="s">
        <v>9</v>
      </c>
      <c r="F114" s="259" t="s">
        <v>1765</v>
      </c>
      <c r="G114" s="274">
        <v>44377</v>
      </c>
      <c r="H114" s="274"/>
      <c r="I114" s="274"/>
      <c r="N114" s="259" t="s">
        <v>122</v>
      </c>
      <c r="P114" s="259" t="s">
        <v>1554</v>
      </c>
      <c r="Q114" s="259" t="s">
        <v>2198</v>
      </c>
      <c r="R114" s="274">
        <v>44571.583449074074</v>
      </c>
      <c r="S114" s="321">
        <v>2021</v>
      </c>
      <c r="T114" s="259" t="s">
        <v>2001</v>
      </c>
      <c r="U114" s="259" t="s">
        <v>630</v>
      </c>
      <c r="V114" s="259" t="s">
        <v>631</v>
      </c>
      <c r="W114" s="259" t="s">
        <v>145</v>
      </c>
      <c r="X114" s="259" t="s">
        <v>309</v>
      </c>
      <c r="Y114" s="365">
        <v>44835</v>
      </c>
      <c r="Z114" s="259" t="s">
        <v>1875</v>
      </c>
      <c r="AA114" s="274"/>
      <c r="AB114" s="259" t="s">
        <v>139</v>
      </c>
      <c r="AC114" s="259" t="s">
        <v>1875</v>
      </c>
      <c r="AD114" s="259">
        <v>900</v>
      </c>
      <c r="AE114" s="259">
        <v>900</v>
      </c>
      <c r="AF114" s="274"/>
      <c r="AJ114" s="319" t="s">
        <v>2191</v>
      </c>
      <c r="AK114" s="274"/>
      <c r="AL114" s="319" t="s">
        <v>2190</v>
      </c>
      <c r="AM114" s="259" t="s">
        <v>1975</v>
      </c>
      <c r="AN114" s="259" t="b">
        <v>0</v>
      </c>
      <c r="AP114" s="274"/>
      <c r="AQ114" s="274"/>
      <c r="AR114" s="274"/>
      <c r="AT114" s="274"/>
      <c r="AU114" s="274"/>
      <c r="AZ114" s="274"/>
      <c r="BA114" s="259" t="s">
        <v>373</v>
      </c>
      <c r="BB114" s="259" t="s">
        <v>1610</v>
      </c>
      <c r="BC114" s="259" t="s">
        <v>2192</v>
      </c>
    </row>
    <row r="115" spans="1:55" ht="135">
      <c r="A115" s="259">
        <v>149</v>
      </c>
      <c r="B115" s="259" t="s">
        <v>2411</v>
      </c>
      <c r="C115" s="259" t="s">
        <v>2412</v>
      </c>
      <c r="D115" s="259" t="s">
        <v>8</v>
      </c>
      <c r="E115" s="259" t="s">
        <v>9</v>
      </c>
      <c r="F115" s="259" t="s">
        <v>1765</v>
      </c>
      <c r="G115" s="274">
        <v>44377</v>
      </c>
      <c r="H115" s="274"/>
      <c r="I115" s="274"/>
      <c r="N115" s="259" t="s">
        <v>122</v>
      </c>
      <c r="P115" s="259" t="s">
        <v>1554</v>
      </c>
      <c r="Q115" s="259" t="s">
        <v>2198</v>
      </c>
      <c r="R115" s="274">
        <v>44571.58390046296</v>
      </c>
      <c r="S115" s="321">
        <v>2021</v>
      </c>
      <c r="T115" s="259" t="s">
        <v>2001</v>
      </c>
      <c r="U115" s="259" t="s">
        <v>630</v>
      </c>
      <c r="V115" s="259" t="s">
        <v>631</v>
      </c>
      <c r="W115" s="259" t="s">
        <v>145</v>
      </c>
      <c r="X115" s="259" t="s">
        <v>309</v>
      </c>
      <c r="Y115" s="365">
        <v>44835</v>
      </c>
      <c r="Z115" s="259" t="s">
        <v>1875</v>
      </c>
      <c r="AA115" s="274"/>
      <c r="AB115" s="259" t="s">
        <v>139</v>
      </c>
      <c r="AC115" s="259" t="s">
        <v>1875</v>
      </c>
      <c r="AD115" s="259">
        <v>900</v>
      </c>
      <c r="AE115" s="259">
        <v>900</v>
      </c>
      <c r="AF115" s="274"/>
      <c r="AJ115" s="319" t="s">
        <v>2191</v>
      </c>
      <c r="AK115" s="274"/>
      <c r="AL115" s="319" t="s">
        <v>2190</v>
      </c>
      <c r="AM115" s="259" t="s">
        <v>1975</v>
      </c>
      <c r="AN115" s="259" t="b">
        <v>0</v>
      </c>
      <c r="AP115" s="274"/>
      <c r="AQ115" s="274"/>
      <c r="AR115" s="274"/>
      <c r="AT115" s="274"/>
      <c r="AU115" s="274"/>
      <c r="AZ115" s="274"/>
      <c r="BA115" s="259" t="s">
        <v>373</v>
      </c>
      <c r="BB115" s="259" t="s">
        <v>1610</v>
      </c>
      <c r="BC115" s="259" t="s">
        <v>2192</v>
      </c>
    </row>
    <row r="116" spans="1:55" ht="135">
      <c r="A116" s="259">
        <v>108</v>
      </c>
      <c r="B116" s="259" t="s">
        <v>2406</v>
      </c>
      <c r="C116" s="259" t="s">
        <v>2407</v>
      </c>
      <c r="D116" s="259" t="s">
        <v>8</v>
      </c>
      <c r="E116" s="259" t="s">
        <v>9</v>
      </c>
      <c r="F116" s="259" t="s">
        <v>1765</v>
      </c>
      <c r="G116" s="274">
        <v>44286</v>
      </c>
      <c r="H116" s="274"/>
      <c r="I116" s="274"/>
      <c r="N116" s="259" t="s">
        <v>122</v>
      </c>
      <c r="P116" s="259" t="s">
        <v>1554</v>
      </c>
      <c r="Q116" s="259" t="s">
        <v>2198</v>
      </c>
      <c r="R116" s="274">
        <v>44571.582546296297</v>
      </c>
      <c r="S116" s="321">
        <v>2021</v>
      </c>
      <c r="T116" s="259" t="s">
        <v>2001</v>
      </c>
      <c r="U116" s="259" t="s">
        <v>630</v>
      </c>
      <c r="V116" s="259" t="s">
        <v>631</v>
      </c>
      <c r="W116" s="259" t="s">
        <v>145</v>
      </c>
      <c r="X116" s="259" t="s">
        <v>309</v>
      </c>
      <c r="Y116" s="365">
        <v>44835</v>
      </c>
      <c r="Z116" s="259" t="s">
        <v>1875</v>
      </c>
      <c r="AA116" s="274"/>
      <c r="AB116" s="259" t="s">
        <v>139</v>
      </c>
      <c r="AC116" s="259" t="s">
        <v>1875</v>
      </c>
      <c r="AD116" s="259">
        <v>900</v>
      </c>
      <c r="AE116" s="259">
        <v>900</v>
      </c>
      <c r="AF116" s="274"/>
      <c r="AJ116" s="319" t="s">
        <v>2191</v>
      </c>
      <c r="AK116" s="274"/>
      <c r="AL116" s="319" t="s">
        <v>2190</v>
      </c>
      <c r="AM116" s="259" t="s">
        <v>1975</v>
      </c>
      <c r="AN116" s="259" t="b">
        <v>0</v>
      </c>
      <c r="AP116" s="274"/>
      <c r="AQ116" s="274"/>
      <c r="AR116" s="274"/>
      <c r="AT116" s="274"/>
      <c r="AU116" s="274"/>
      <c r="AZ116" s="274"/>
      <c r="BA116" s="259" t="s">
        <v>373</v>
      </c>
      <c r="BB116" s="259" t="s">
        <v>1610</v>
      </c>
      <c r="BC116" s="259" t="s">
        <v>2192</v>
      </c>
    </row>
    <row r="117" spans="1:55" ht="135">
      <c r="A117" s="259">
        <v>215</v>
      </c>
      <c r="B117" s="259" t="s">
        <v>2417</v>
      </c>
      <c r="C117" s="259" t="s">
        <v>2418</v>
      </c>
      <c r="D117" s="259" t="s">
        <v>8</v>
      </c>
      <c r="E117" s="259" t="s">
        <v>9</v>
      </c>
      <c r="F117" s="259" t="s">
        <v>1765</v>
      </c>
      <c r="G117" s="274">
        <v>44581</v>
      </c>
      <c r="H117" s="274"/>
      <c r="I117" s="274"/>
      <c r="N117" s="259" t="s">
        <v>122</v>
      </c>
      <c r="P117" s="259" t="s">
        <v>1554</v>
      </c>
      <c r="Q117" s="259" t="s">
        <v>2198</v>
      </c>
      <c r="R117" s="274">
        <v>44571.585462962961</v>
      </c>
      <c r="S117" s="321">
        <v>2022</v>
      </c>
      <c r="T117" s="259" t="s">
        <v>2001</v>
      </c>
      <c r="U117" s="259" t="s">
        <v>630</v>
      </c>
      <c r="V117" s="259" t="s">
        <v>631</v>
      </c>
      <c r="W117" s="259" t="s">
        <v>145</v>
      </c>
      <c r="X117" s="259" t="s">
        <v>309</v>
      </c>
      <c r="Y117" s="365">
        <v>44835</v>
      </c>
      <c r="Z117" s="259" t="s">
        <v>1875</v>
      </c>
      <c r="AA117" s="274"/>
      <c r="AB117" s="259" t="s">
        <v>139</v>
      </c>
      <c r="AC117" s="259" t="s">
        <v>1875</v>
      </c>
      <c r="AD117" s="259">
        <v>900</v>
      </c>
      <c r="AE117" s="259">
        <v>900</v>
      </c>
      <c r="AF117" s="274"/>
      <c r="AJ117" s="319" t="s">
        <v>2191</v>
      </c>
      <c r="AK117" s="274"/>
      <c r="AL117" s="319" t="s">
        <v>2190</v>
      </c>
      <c r="AM117" s="259" t="s">
        <v>1975</v>
      </c>
      <c r="AN117" s="259" t="b">
        <v>0</v>
      </c>
      <c r="AP117" s="274"/>
      <c r="AQ117" s="274"/>
      <c r="AR117" s="274"/>
      <c r="AT117" s="274"/>
      <c r="AU117" s="274"/>
      <c r="AZ117" s="274"/>
      <c r="BA117" s="259" t="s">
        <v>373</v>
      </c>
      <c r="BB117" s="259" t="s">
        <v>1610</v>
      </c>
      <c r="BC117" s="259" t="s">
        <v>2192</v>
      </c>
    </row>
    <row r="118" spans="1:55" ht="135">
      <c r="A118" s="259">
        <v>184</v>
      </c>
      <c r="B118" s="259" t="s">
        <v>2413</v>
      </c>
      <c r="C118" s="259" t="s">
        <v>2414</v>
      </c>
      <c r="D118" s="259" t="s">
        <v>8</v>
      </c>
      <c r="E118" s="259" t="s">
        <v>9</v>
      </c>
      <c r="F118" s="259" t="s">
        <v>1765</v>
      </c>
      <c r="G118" s="274">
        <v>44484</v>
      </c>
      <c r="H118" s="274"/>
      <c r="I118" s="274"/>
      <c r="N118" s="259" t="s">
        <v>122</v>
      </c>
      <c r="P118" s="259" t="s">
        <v>1554</v>
      </c>
      <c r="Q118" s="259" t="s">
        <v>2198</v>
      </c>
      <c r="R118" s="274">
        <v>44571.584467592591</v>
      </c>
      <c r="S118" s="321">
        <v>2021</v>
      </c>
      <c r="T118" s="259" t="s">
        <v>2001</v>
      </c>
      <c r="U118" s="259" t="s">
        <v>630</v>
      </c>
      <c r="V118" s="259" t="s">
        <v>631</v>
      </c>
      <c r="W118" s="259" t="s">
        <v>145</v>
      </c>
      <c r="X118" s="259" t="s">
        <v>309</v>
      </c>
      <c r="Y118" s="365">
        <v>44835</v>
      </c>
      <c r="Z118" s="259" t="s">
        <v>1875</v>
      </c>
      <c r="AA118" s="274"/>
      <c r="AB118" s="259" t="s">
        <v>139</v>
      </c>
      <c r="AC118" s="259" t="s">
        <v>1875</v>
      </c>
      <c r="AD118" s="259">
        <v>900</v>
      </c>
      <c r="AE118" s="259">
        <v>900</v>
      </c>
      <c r="AF118" s="274"/>
      <c r="AJ118" s="319" t="s">
        <v>2191</v>
      </c>
      <c r="AK118" s="274"/>
      <c r="AL118" s="319" t="s">
        <v>2190</v>
      </c>
      <c r="AM118" s="259" t="s">
        <v>1975</v>
      </c>
      <c r="AN118" s="259" t="b">
        <v>0</v>
      </c>
      <c r="AP118" s="274"/>
      <c r="AQ118" s="274"/>
      <c r="AR118" s="274"/>
      <c r="AT118" s="274"/>
      <c r="AU118" s="274"/>
      <c r="AZ118" s="274"/>
      <c r="BA118" s="259" t="s">
        <v>373</v>
      </c>
      <c r="BB118" s="259" t="s">
        <v>1610</v>
      </c>
      <c r="BC118" s="259" t="s">
        <v>2192</v>
      </c>
    </row>
    <row r="119" spans="1:55" ht="135">
      <c r="A119" s="259">
        <v>211</v>
      </c>
      <c r="B119" s="259" t="s">
        <v>2398</v>
      </c>
      <c r="C119" s="259" t="s">
        <v>2419</v>
      </c>
      <c r="D119" s="259" t="s">
        <v>8</v>
      </c>
      <c r="E119" s="259" t="s">
        <v>9</v>
      </c>
      <c r="F119" s="259" t="s">
        <v>1765</v>
      </c>
      <c r="G119" s="274">
        <v>44577</v>
      </c>
      <c r="H119" s="274"/>
      <c r="I119" s="274"/>
      <c r="N119" s="259" t="s">
        <v>122</v>
      </c>
      <c r="P119" s="259" t="s">
        <v>1554</v>
      </c>
      <c r="Q119" s="259" t="s">
        <v>2198</v>
      </c>
      <c r="R119" s="274">
        <v>44571.585914351854</v>
      </c>
      <c r="S119" s="321">
        <v>2022</v>
      </c>
      <c r="T119" s="259" t="s">
        <v>2001</v>
      </c>
      <c r="U119" s="259" t="s">
        <v>630</v>
      </c>
      <c r="V119" s="259" t="s">
        <v>631</v>
      </c>
      <c r="W119" s="259" t="s">
        <v>145</v>
      </c>
      <c r="X119" s="259" t="s">
        <v>309</v>
      </c>
      <c r="Y119" s="365">
        <v>44835</v>
      </c>
      <c r="Z119" s="259" t="s">
        <v>1875</v>
      </c>
      <c r="AA119" s="274"/>
      <c r="AB119" s="259" t="s">
        <v>139</v>
      </c>
      <c r="AC119" s="259" t="s">
        <v>1875</v>
      </c>
      <c r="AD119" s="259">
        <v>900</v>
      </c>
      <c r="AE119" s="259">
        <v>900</v>
      </c>
      <c r="AF119" s="274"/>
      <c r="AJ119" s="319" t="s">
        <v>2191</v>
      </c>
      <c r="AK119" s="274"/>
      <c r="AL119" s="319" t="s">
        <v>2190</v>
      </c>
      <c r="AM119" s="259" t="s">
        <v>1975</v>
      </c>
      <c r="AN119" s="259" t="b">
        <v>0</v>
      </c>
      <c r="AP119" s="274"/>
      <c r="AQ119" s="274"/>
      <c r="AR119" s="274"/>
      <c r="AT119" s="274"/>
      <c r="AU119" s="274"/>
      <c r="AZ119" s="274"/>
      <c r="BA119" s="259" t="s">
        <v>373</v>
      </c>
      <c r="BB119" s="259" t="s">
        <v>1610</v>
      </c>
      <c r="BC119" s="259" t="s">
        <v>2192</v>
      </c>
    </row>
    <row r="120" spans="1:55" ht="135">
      <c r="A120" s="259">
        <v>4</v>
      </c>
      <c r="B120" s="259" t="s">
        <v>2396</v>
      </c>
      <c r="C120" s="259" t="s">
        <v>2397</v>
      </c>
      <c r="D120" s="259" t="s">
        <v>8</v>
      </c>
      <c r="E120" s="259" t="s">
        <v>9</v>
      </c>
      <c r="F120" s="259" t="s">
        <v>1765</v>
      </c>
      <c r="G120" s="274">
        <v>42692</v>
      </c>
      <c r="H120" s="274">
        <v>44020</v>
      </c>
      <c r="I120" s="274"/>
      <c r="N120" s="259" t="s">
        <v>122</v>
      </c>
      <c r="P120" s="259" t="s">
        <v>1554</v>
      </c>
      <c r="Q120" s="259" t="s">
        <v>2198</v>
      </c>
      <c r="R120" s="274">
        <v>44571.572002314817</v>
      </c>
      <c r="S120" s="321">
        <v>2016</v>
      </c>
      <c r="T120" s="259" t="s">
        <v>2001</v>
      </c>
      <c r="U120" s="259" t="s">
        <v>630</v>
      </c>
      <c r="V120" s="259" t="s">
        <v>631</v>
      </c>
      <c r="W120" s="259" t="s">
        <v>145</v>
      </c>
      <c r="X120" s="259" t="s">
        <v>309</v>
      </c>
      <c r="Y120" s="365">
        <v>44835</v>
      </c>
      <c r="Z120" s="259" t="s">
        <v>1875</v>
      </c>
      <c r="AA120" s="274"/>
      <c r="AB120" s="259" t="s">
        <v>139</v>
      </c>
      <c r="AC120" s="259" t="s">
        <v>1875</v>
      </c>
      <c r="AD120" s="259">
        <v>900</v>
      </c>
      <c r="AE120" s="259">
        <v>900</v>
      </c>
      <c r="AF120" s="274"/>
      <c r="AJ120" s="319" t="s">
        <v>2191</v>
      </c>
      <c r="AK120" s="274"/>
      <c r="AL120" s="319" t="s">
        <v>2190</v>
      </c>
      <c r="AM120" s="259" t="s">
        <v>1975</v>
      </c>
      <c r="AN120" s="259" t="b">
        <v>0</v>
      </c>
      <c r="AP120" s="274"/>
      <c r="AQ120" s="274"/>
      <c r="AR120" s="274"/>
      <c r="AT120" s="274"/>
      <c r="AU120" s="274"/>
      <c r="AZ120" s="274"/>
      <c r="BA120" s="259" t="s">
        <v>373</v>
      </c>
      <c r="BB120" s="259" t="s">
        <v>1610</v>
      </c>
      <c r="BC120" s="259" t="s">
        <v>2192</v>
      </c>
    </row>
    <row r="121" spans="1:55" ht="135">
      <c r="A121" s="259">
        <v>1</v>
      </c>
      <c r="B121" s="259" t="s">
        <v>2390</v>
      </c>
      <c r="C121" s="259" t="s">
        <v>2391</v>
      </c>
      <c r="D121" s="259" t="s">
        <v>8</v>
      </c>
      <c r="E121" s="259" t="s">
        <v>9</v>
      </c>
      <c r="F121" s="259" t="s">
        <v>1765</v>
      </c>
      <c r="G121" s="274">
        <v>38142</v>
      </c>
      <c r="H121" s="274">
        <v>44020</v>
      </c>
      <c r="I121" s="274"/>
      <c r="N121" s="259" t="s">
        <v>122</v>
      </c>
      <c r="P121" s="259" t="s">
        <v>1554</v>
      </c>
      <c r="Q121" s="259" t="s">
        <v>2198</v>
      </c>
      <c r="R121" s="274">
        <v>44571.570347222223</v>
      </c>
      <c r="S121" s="321">
        <v>2004</v>
      </c>
      <c r="T121" s="259" t="s">
        <v>2001</v>
      </c>
      <c r="U121" s="259" t="s">
        <v>630</v>
      </c>
      <c r="V121" s="259" t="s">
        <v>631</v>
      </c>
      <c r="W121" s="259" t="s">
        <v>145</v>
      </c>
      <c r="X121" s="259" t="s">
        <v>309</v>
      </c>
      <c r="Y121" s="365">
        <v>44835</v>
      </c>
      <c r="Z121" s="259" t="s">
        <v>1875</v>
      </c>
      <c r="AA121" s="274"/>
      <c r="AB121" s="259" t="s">
        <v>139</v>
      </c>
      <c r="AC121" s="259" t="s">
        <v>1875</v>
      </c>
      <c r="AD121" s="259">
        <v>900</v>
      </c>
      <c r="AE121" s="259">
        <v>900</v>
      </c>
      <c r="AF121" s="274"/>
      <c r="AJ121" s="319" t="s">
        <v>2191</v>
      </c>
      <c r="AK121" s="274"/>
      <c r="AL121" s="319" t="s">
        <v>2190</v>
      </c>
      <c r="AM121" s="259" t="s">
        <v>1975</v>
      </c>
      <c r="AN121" s="259" t="b">
        <v>0</v>
      </c>
      <c r="AP121" s="274"/>
      <c r="AQ121" s="274"/>
      <c r="AR121" s="274"/>
      <c r="AT121" s="274"/>
      <c r="AU121" s="274"/>
      <c r="AZ121" s="274"/>
      <c r="BA121" s="259" t="s">
        <v>373</v>
      </c>
      <c r="BB121" s="259" t="s">
        <v>1610</v>
      </c>
      <c r="BC121" s="259" t="s">
        <v>2192</v>
      </c>
    </row>
    <row r="122" spans="1:55" ht="135">
      <c r="A122" s="259">
        <v>206</v>
      </c>
      <c r="B122" s="259" t="s">
        <v>2415</v>
      </c>
      <c r="C122" s="259" t="s">
        <v>2416</v>
      </c>
      <c r="D122" s="259" t="s">
        <v>8</v>
      </c>
      <c r="E122" s="259" t="s">
        <v>9</v>
      </c>
      <c r="F122" s="259" t="s">
        <v>1765</v>
      </c>
      <c r="G122" s="274">
        <v>44553</v>
      </c>
      <c r="H122" s="274"/>
      <c r="I122" s="274"/>
      <c r="N122" s="259" t="s">
        <v>122</v>
      </c>
      <c r="P122" s="259" t="s">
        <v>1554</v>
      </c>
      <c r="Q122" s="259" t="s">
        <v>2198</v>
      </c>
      <c r="R122" s="274">
        <v>44571.584953703707</v>
      </c>
      <c r="S122" s="321">
        <v>2021</v>
      </c>
      <c r="T122" s="259" t="s">
        <v>2001</v>
      </c>
      <c r="U122" s="259" t="s">
        <v>630</v>
      </c>
      <c r="V122" s="259" t="s">
        <v>631</v>
      </c>
      <c r="W122" s="259" t="s">
        <v>145</v>
      </c>
      <c r="X122" s="259" t="s">
        <v>309</v>
      </c>
      <c r="Y122" s="365">
        <v>44835</v>
      </c>
      <c r="Z122" s="259" t="s">
        <v>1875</v>
      </c>
      <c r="AA122" s="274"/>
      <c r="AB122" s="259" t="s">
        <v>139</v>
      </c>
      <c r="AC122" s="259" t="s">
        <v>1875</v>
      </c>
      <c r="AD122" s="259">
        <v>900</v>
      </c>
      <c r="AE122" s="259">
        <v>900</v>
      </c>
      <c r="AF122" s="274"/>
      <c r="AJ122" s="319" t="s">
        <v>2191</v>
      </c>
      <c r="AK122" s="274"/>
      <c r="AL122" s="319" t="s">
        <v>2190</v>
      </c>
      <c r="AM122" s="259" t="s">
        <v>1975</v>
      </c>
      <c r="AN122" s="259" t="b">
        <v>0</v>
      </c>
      <c r="AP122" s="274"/>
      <c r="AQ122" s="274"/>
      <c r="AR122" s="274"/>
      <c r="AT122" s="274"/>
      <c r="AU122" s="274"/>
      <c r="AZ122" s="274"/>
      <c r="BA122" s="259" t="s">
        <v>373</v>
      </c>
      <c r="BB122" s="259" t="s">
        <v>1610</v>
      </c>
      <c r="BC122" s="259" t="s">
        <v>2192</v>
      </c>
    </row>
    <row r="123" spans="1:55" ht="135">
      <c r="A123" s="259">
        <v>3</v>
      </c>
      <c r="B123" s="259" t="s">
        <v>2394</v>
      </c>
      <c r="C123" s="259" t="s">
        <v>2395</v>
      </c>
      <c r="D123" s="259" t="s">
        <v>8</v>
      </c>
      <c r="E123" s="259" t="s">
        <v>9</v>
      </c>
      <c r="F123" s="259" t="s">
        <v>1765</v>
      </c>
      <c r="G123" s="274">
        <v>41388</v>
      </c>
      <c r="H123" s="274">
        <v>44020</v>
      </c>
      <c r="I123" s="274"/>
      <c r="N123" s="259" t="s">
        <v>98</v>
      </c>
      <c r="P123" s="259" t="s">
        <v>1554</v>
      </c>
      <c r="Q123" s="259" t="s">
        <v>2198</v>
      </c>
      <c r="R123" s="274">
        <v>44571.571481481478</v>
      </c>
      <c r="S123" s="321">
        <v>2013</v>
      </c>
      <c r="T123" s="259" t="s">
        <v>2001</v>
      </c>
      <c r="U123" s="259" t="s">
        <v>630</v>
      </c>
      <c r="V123" s="259" t="s">
        <v>631</v>
      </c>
      <c r="W123" s="259" t="s">
        <v>145</v>
      </c>
      <c r="X123" s="259" t="s">
        <v>309</v>
      </c>
      <c r="Y123" s="365">
        <v>44835</v>
      </c>
      <c r="Z123" s="259" t="s">
        <v>1875</v>
      </c>
      <c r="AA123" s="274"/>
      <c r="AB123" s="259" t="s">
        <v>139</v>
      </c>
      <c r="AC123" s="259" t="s">
        <v>1875</v>
      </c>
      <c r="AD123" s="259">
        <v>900</v>
      </c>
      <c r="AE123" s="259">
        <v>900</v>
      </c>
      <c r="AF123" s="274"/>
      <c r="AJ123" s="319" t="s">
        <v>2191</v>
      </c>
      <c r="AK123" s="274"/>
      <c r="AL123" s="319" t="s">
        <v>2190</v>
      </c>
      <c r="AM123" s="259" t="s">
        <v>1975</v>
      </c>
      <c r="AN123" s="259" t="b">
        <v>0</v>
      </c>
      <c r="AP123" s="274"/>
      <c r="AQ123" s="274"/>
      <c r="AR123" s="274"/>
      <c r="AT123" s="274"/>
      <c r="AU123" s="274"/>
      <c r="AZ123" s="274"/>
      <c r="BA123" s="259" t="s">
        <v>373</v>
      </c>
      <c r="BB123" s="259" t="s">
        <v>1610</v>
      </c>
      <c r="BC123" s="259" t="s">
        <v>2192</v>
      </c>
    </row>
    <row r="124" spans="1:55" ht="135">
      <c r="A124" s="259">
        <v>2</v>
      </c>
      <c r="B124" s="259" t="s">
        <v>2392</v>
      </c>
      <c r="C124" s="259" t="s">
        <v>2393</v>
      </c>
      <c r="D124" s="259" t="s">
        <v>8</v>
      </c>
      <c r="E124" s="259" t="s">
        <v>9</v>
      </c>
      <c r="F124" s="259" t="s">
        <v>1765</v>
      </c>
      <c r="G124" s="274">
        <v>40851</v>
      </c>
      <c r="H124" s="274">
        <v>44020</v>
      </c>
      <c r="I124" s="274"/>
      <c r="N124" s="259" t="s">
        <v>122</v>
      </c>
      <c r="P124" s="259" t="s">
        <v>1554</v>
      </c>
      <c r="Q124" s="259" t="s">
        <v>2198</v>
      </c>
      <c r="R124" s="274">
        <v>44571.570891203701</v>
      </c>
      <c r="S124" s="321">
        <v>2011</v>
      </c>
      <c r="T124" s="259" t="s">
        <v>2001</v>
      </c>
      <c r="U124" s="259" t="s">
        <v>630</v>
      </c>
      <c r="V124" s="259" t="s">
        <v>631</v>
      </c>
      <c r="W124" s="259" t="s">
        <v>145</v>
      </c>
      <c r="X124" s="259" t="s">
        <v>309</v>
      </c>
      <c r="Y124" s="365">
        <v>44835</v>
      </c>
      <c r="Z124" s="259" t="s">
        <v>1875</v>
      </c>
      <c r="AA124" s="274"/>
      <c r="AB124" s="259" t="s">
        <v>139</v>
      </c>
      <c r="AC124" s="259" t="s">
        <v>1875</v>
      </c>
      <c r="AD124" s="259">
        <v>900</v>
      </c>
      <c r="AE124" s="259">
        <v>900</v>
      </c>
      <c r="AF124" s="274"/>
      <c r="AJ124" s="319" t="s">
        <v>2191</v>
      </c>
      <c r="AK124" s="274"/>
      <c r="AL124" s="319" t="s">
        <v>2190</v>
      </c>
      <c r="AM124" s="259" t="s">
        <v>1975</v>
      </c>
      <c r="AN124" s="259" t="b">
        <v>0</v>
      </c>
      <c r="AP124" s="274"/>
      <c r="AQ124" s="274"/>
      <c r="AR124" s="274"/>
      <c r="AT124" s="274"/>
      <c r="AU124" s="274"/>
      <c r="AZ124" s="274"/>
      <c r="BA124" s="259" t="s">
        <v>373</v>
      </c>
      <c r="BB124" s="259" t="s">
        <v>1610</v>
      </c>
      <c r="BC124" s="259" t="s">
        <v>2192</v>
      </c>
    </row>
    <row r="125" spans="1:55" ht="135">
      <c r="A125" s="259">
        <v>216</v>
      </c>
      <c r="B125" s="259" t="s">
        <v>2420</v>
      </c>
      <c r="C125" s="259" t="s">
        <v>2421</v>
      </c>
      <c r="D125" s="259" t="s">
        <v>8</v>
      </c>
      <c r="E125" s="259" t="s">
        <v>9</v>
      </c>
      <c r="F125" s="259" t="s">
        <v>1765</v>
      </c>
      <c r="G125" s="274">
        <v>44582</v>
      </c>
      <c r="H125" s="274"/>
      <c r="I125" s="274"/>
      <c r="N125" s="259" t="s">
        <v>122</v>
      </c>
      <c r="P125" s="259" t="s">
        <v>1554</v>
      </c>
      <c r="Q125" s="259" t="s">
        <v>2198</v>
      </c>
      <c r="R125" s="274">
        <v>44571.586273148147</v>
      </c>
      <c r="S125" s="321">
        <v>2022</v>
      </c>
      <c r="T125" s="259" t="s">
        <v>2001</v>
      </c>
      <c r="U125" s="259" t="s">
        <v>630</v>
      </c>
      <c r="V125" s="259" t="s">
        <v>631</v>
      </c>
      <c r="W125" s="259" t="s">
        <v>145</v>
      </c>
      <c r="X125" s="259" t="s">
        <v>309</v>
      </c>
      <c r="Y125" s="365">
        <v>44835</v>
      </c>
      <c r="Z125" s="259" t="s">
        <v>1875</v>
      </c>
      <c r="AA125" s="274"/>
      <c r="AB125" s="259" t="s">
        <v>139</v>
      </c>
      <c r="AC125" s="259" t="s">
        <v>1875</v>
      </c>
      <c r="AD125" s="259">
        <v>900</v>
      </c>
      <c r="AE125" s="259">
        <v>900</v>
      </c>
      <c r="AF125" s="274"/>
      <c r="AJ125" s="319" t="s">
        <v>2191</v>
      </c>
      <c r="AK125" s="274"/>
      <c r="AL125" s="319" t="s">
        <v>2190</v>
      </c>
      <c r="AM125" s="259" t="s">
        <v>1975</v>
      </c>
      <c r="AN125" s="259" t="b">
        <v>0</v>
      </c>
      <c r="AP125" s="274"/>
      <c r="AQ125" s="274"/>
      <c r="AR125" s="274"/>
      <c r="AT125" s="274"/>
      <c r="AU125" s="274"/>
      <c r="AZ125" s="274"/>
      <c r="BA125" s="259" t="s">
        <v>373</v>
      </c>
      <c r="BB125" s="259" t="s">
        <v>1610</v>
      </c>
      <c r="BC125" s="259" t="s">
        <v>2192</v>
      </c>
    </row>
    <row r="126" spans="1:55" ht="135">
      <c r="A126" s="259">
        <v>90</v>
      </c>
      <c r="B126" s="259" t="s">
        <v>2404</v>
      </c>
      <c r="C126" s="259" t="s">
        <v>2405</v>
      </c>
      <c r="D126" s="259" t="s">
        <v>8</v>
      </c>
      <c r="E126" s="259" t="s">
        <v>9</v>
      </c>
      <c r="F126" s="259" t="s">
        <v>1765</v>
      </c>
      <c r="G126" s="274">
        <v>44216</v>
      </c>
      <c r="H126" s="274"/>
      <c r="I126" s="274"/>
      <c r="N126" s="259" t="s">
        <v>122</v>
      </c>
      <c r="P126" s="259" t="s">
        <v>1554</v>
      </c>
      <c r="Q126" s="259" t="s">
        <v>2198</v>
      </c>
      <c r="R126" s="274">
        <v>44571.582118055558</v>
      </c>
      <c r="S126" s="321">
        <v>2021</v>
      </c>
      <c r="T126" s="259" t="s">
        <v>2001</v>
      </c>
      <c r="U126" s="259" t="s">
        <v>630</v>
      </c>
      <c r="V126" s="259" t="s">
        <v>631</v>
      </c>
      <c r="W126" s="259" t="s">
        <v>145</v>
      </c>
      <c r="X126" s="259" t="s">
        <v>309</v>
      </c>
      <c r="Y126" s="365">
        <v>44835</v>
      </c>
      <c r="Z126" s="259" t="s">
        <v>1875</v>
      </c>
      <c r="AA126" s="274"/>
      <c r="AB126" s="259" t="s">
        <v>139</v>
      </c>
      <c r="AC126" s="259" t="s">
        <v>1875</v>
      </c>
      <c r="AD126" s="259">
        <v>900</v>
      </c>
      <c r="AE126" s="259">
        <v>900</v>
      </c>
      <c r="AF126" s="274"/>
      <c r="AJ126" s="319" t="s">
        <v>2191</v>
      </c>
      <c r="AK126" s="274"/>
      <c r="AL126" s="319" t="s">
        <v>2190</v>
      </c>
      <c r="AM126" s="259" t="s">
        <v>1975</v>
      </c>
      <c r="AN126" s="259" t="b">
        <v>0</v>
      </c>
      <c r="AP126" s="274"/>
      <c r="AQ126" s="274"/>
      <c r="AR126" s="274"/>
      <c r="AT126" s="274"/>
      <c r="AU126" s="274"/>
      <c r="AZ126" s="274"/>
      <c r="BA126" s="259" t="s">
        <v>373</v>
      </c>
      <c r="BB126" s="259" t="s">
        <v>1610</v>
      </c>
      <c r="BC126" s="259" t="s">
        <v>2192</v>
      </c>
    </row>
    <row r="127" spans="1:55" ht="135">
      <c r="A127" s="259">
        <v>287</v>
      </c>
      <c r="B127" s="259" t="s">
        <v>2404</v>
      </c>
      <c r="C127" s="259" t="s">
        <v>2422</v>
      </c>
      <c r="D127" s="259" t="s">
        <v>8</v>
      </c>
      <c r="E127" s="259" t="s">
        <v>9</v>
      </c>
      <c r="F127" s="259" t="s">
        <v>1765</v>
      </c>
      <c r="G127" s="274">
        <v>44733</v>
      </c>
      <c r="H127" s="274"/>
      <c r="I127" s="274"/>
      <c r="N127" s="259" t="s">
        <v>122</v>
      </c>
      <c r="P127" s="259" t="s">
        <v>1554</v>
      </c>
      <c r="Q127" s="259" t="s">
        <v>2198</v>
      </c>
      <c r="R127" s="274">
        <v>44571.587187500001</v>
      </c>
      <c r="S127" s="321">
        <v>2022</v>
      </c>
      <c r="T127" s="259" t="s">
        <v>2001</v>
      </c>
      <c r="U127" s="259" t="s">
        <v>630</v>
      </c>
      <c r="V127" s="259" t="s">
        <v>631</v>
      </c>
      <c r="W127" s="259" t="s">
        <v>145</v>
      </c>
      <c r="X127" s="259" t="s">
        <v>309</v>
      </c>
      <c r="Y127" s="365">
        <v>44835</v>
      </c>
      <c r="Z127" s="259" t="s">
        <v>1875</v>
      </c>
      <c r="AA127" s="274"/>
      <c r="AB127" s="259" t="s">
        <v>139</v>
      </c>
      <c r="AC127" s="259" t="s">
        <v>1875</v>
      </c>
      <c r="AD127" s="259">
        <v>900</v>
      </c>
      <c r="AE127" s="259">
        <v>900</v>
      </c>
      <c r="AF127" s="274"/>
      <c r="AJ127" s="319" t="s">
        <v>2191</v>
      </c>
      <c r="AK127" s="274"/>
      <c r="AL127" s="319" t="s">
        <v>2190</v>
      </c>
      <c r="AM127" s="259" t="s">
        <v>1975</v>
      </c>
      <c r="AN127" s="259" t="b">
        <v>0</v>
      </c>
      <c r="AP127" s="274"/>
      <c r="AQ127" s="274"/>
      <c r="AR127" s="274"/>
      <c r="AT127" s="274"/>
      <c r="AU127" s="274"/>
      <c r="AZ127" s="274"/>
      <c r="BA127" s="259" t="s">
        <v>373</v>
      </c>
      <c r="BB127" s="259" t="s">
        <v>1610</v>
      </c>
      <c r="BC127" s="259" t="s">
        <v>2192</v>
      </c>
    </row>
    <row r="128" spans="1:55" ht="135">
      <c r="A128" s="259">
        <v>73</v>
      </c>
      <c r="B128" s="259" t="s">
        <v>2400</v>
      </c>
      <c r="C128" s="259" t="s">
        <v>2401</v>
      </c>
      <c r="D128" s="259" t="s">
        <v>8</v>
      </c>
      <c r="E128" s="259" t="s">
        <v>9</v>
      </c>
      <c r="F128" s="259" t="s">
        <v>1765</v>
      </c>
      <c r="G128" s="274">
        <v>44110</v>
      </c>
      <c r="H128" s="274"/>
      <c r="I128" s="274"/>
      <c r="N128" s="259" t="s">
        <v>122</v>
      </c>
      <c r="P128" s="259" t="s">
        <v>1554</v>
      </c>
      <c r="Q128" s="259" t="s">
        <v>2198</v>
      </c>
      <c r="R128" s="274">
        <v>44571.581192129626</v>
      </c>
      <c r="S128" s="321">
        <v>2020</v>
      </c>
      <c r="T128" s="259" t="s">
        <v>2001</v>
      </c>
      <c r="U128" s="259" t="s">
        <v>630</v>
      </c>
      <c r="V128" s="259" t="s">
        <v>631</v>
      </c>
      <c r="W128" s="259" t="s">
        <v>145</v>
      </c>
      <c r="X128" s="259" t="s">
        <v>309</v>
      </c>
      <c r="Y128" s="365">
        <v>44835</v>
      </c>
      <c r="Z128" s="259" t="s">
        <v>1875</v>
      </c>
      <c r="AA128" s="274"/>
      <c r="AB128" s="259" t="s">
        <v>139</v>
      </c>
      <c r="AC128" s="259" t="s">
        <v>1875</v>
      </c>
      <c r="AD128" s="259">
        <v>900</v>
      </c>
      <c r="AE128" s="259">
        <v>900</v>
      </c>
      <c r="AF128" s="274"/>
      <c r="AJ128" s="319" t="s">
        <v>2191</v>
      </c>
      <c r="AK128" s="274"/>
      <c r="AL128" s="319" t="s">
        <v>2190</v>
      </c>
      <c r="AM128" s="259" t="s">
        <v>1975</v>
      </c>
      <c r="AN128" s="259" t="b">
        <v>0</v>
      </c>
      <c r="AP128" s="274"/>
      <c r="AQ128" s="274"/>
      <c r="AR128" s="274"/>
      <c r="AT128" s="274"/>
      <c r="AU128" s="274"/>
      <c r="AZ128" s="274"/>
      <c r="BA128" s="259" t="s">
        <v>373</v>
      </c>
      <c r="BB128" s="259" t="s">
        <v>1610</v>
      </c>
      <c r="BC128" s="259" t="s">
        <v>2192</v>
      </c>
    </row>
    <row r="129" spans="1:55" ht="135">
      <c r="A129" s="259">
        <v>80</v>
      </c>
      <c r="B129" s="259" t="s">
        <v>2402</v>
      </c>
      <c r="C129" s="259" t="s">
        <v>2403</v>
      </c>
      <c r="D129" s="259" t="s">
        <v>8</v>
      </c>
      <c r="E129" s="259" t="s">
        <v>9</v>
      </c>
      <c r="F129" s="259" t="s">
        <v>1765</v>
      </c>
      <c r="G129" s="274">
        <v>44140</v>
      </c>
      <c r="H129" s="274"/>
      <c r="I129" s="274"/>
      <c r="N129" s="259" t="s">
        <v>122</v>
      </c>
      <c r="P129" s="259" t="s">
        <v>1554</v>
      </c>
      <c r="Q129" s="259" t="s">
        <v>2198</v>
      </c>
      <c r="R129" s="274">
        <v>44571.581701388888</v>
      </c>
      <c r="S129" s="321">
        <v>2020</v>
      </c>
      <c r="T129" s="259" t="s">
        <v>2001</v>
      </c>
      <c r="U129" s="259" t="s">
        <v>630</v>
      </c>
      <c r="V129" s="259" t="s">
        <v>631</v>
      </c>
      <c r="W129" s="259" t="s">
        <v>145</v>
      </c>
      <c r="X129" s="259" t="s">
        <v>309</v>
      </c>
      <c r="Y129" s="365">
        <v>44835</v>
      </c>
      <c r="Z129" s="259" t="s">
        <v>1875</v>
      </c>
      <c r="AA129" s="274"/>
      <c r="AB129" s="259" t="s">
        <v>139</v>
      </c>
      <c r="AC129" s="259" t="s">
        <v>1875</v>
      </c>
      <c r="AD129" s="259">
        <v>900</v>
      </c>
      <c r="AE129" s="259">
        <v>900</v>
      </c>
      <c r="AF129" s="274"/>
      <c r="AJ129" s="319" t="s">
        <v>2191</v>
      </c>
      <c r="AK129" s="274"/>
      <c r="AL129" s="319" t="s">
        <v>2190</v>
      </c>
      <c r="AM129" s="259" t="s">
        <v>1975</v>
      </c>
      <c r="AN129" s="259" t="b">
        <v>0</v>
      </c>
      <c r="AP129" s="274"/>
      <c r="AQ129" s="274"/>
      <c r="AR129" s="274"/>
      <c r="AT129" s="274"/>
      <c r="AU129" s="274"/>
      <c r="AZ129" s="274"/>
      <c r="BA129" s="259" t="s">
        <v>373</v>
      </c>
      <c r="BB129" s="259" t="s">
        <v>1610</v>
      </c>
      <c r="BC129" s="259" t="s">
        <v>2192</v>
      </c>
    </row>
    <row r="130" spans="1:55" ht="135">
      <c r="A130" s="259">
        <v>364</v>
      </c>
      <c r="B130" s="259" t="s">
        <v>2810</v>
      </c>
      <c r="C130" s="259" t="s">
        <v>2811</v>
      </c>
      <c r="D130" s="259" t="s">
        <v>8</v>
      </c>
      <c r="E130" s="259" t="s">
        <v>9</v>
      </c>
      <c r="F130" s="259" t="s">
        <v>1745</v>
      </c>
      <c r="G130" s="274">
        <v>44830</v>
      </c>
      <c r="H130" s="274"/>
      <c r="I130" s="274"/>
      <c r="N130" s="259" t="s">
        <v>122</v>
      </c>
      <c r="P130" s="259" t="s">
        <v>1554</v>
      </c>
      <c r="Q130" s="259" t="s">
        <v>2198</v>
      </c>
      <c r="R130" s="274">
        <v>44630.535104166665</v>
      </c>
      <c r="S130" s="321">
        <v>2022</v>
      </c>
      <c r="T130" s="259" t="s">
        <v>2001</v>
      </c>
      <c r="U130" s="259" t="s">
        <v>630</v>
      </c>
      <c r="V130" s="259" t="s">
        <v>631</v>
      </c>
      <c r="W130" s="259" t="s">
        <v>145</v>
      </c>
      <c r="X130" s="259" t="s">
        <v>309</v>
      </c>
      <c r="Y130" s="365">
        <v>44835</v>
      </c>
      <c r="Z130" s="259" t="s">
        <v>1875</v>
      </c>
      <c r="AA130" s="274"/>
      <c r="AB130" s="259" t="s">
        <v>139</v>
      </c>
      <c r="AC130" s="259" t="s">
        <v>1875</v>
      </c>
      <c r="AD130" s="259">
        <v>900</v>
      </c>
      <c r="AE130" s="259">
        <v>900</v>
      </c>
      <c r="AF130" s="274"/>
      <c r="AJ130" s="319" t="s">
        <v>2191</v>
      </c>
      <c r="AK130" s="274"/>
      <c r="AL130" s="319" t="s">
        <v>2190</v>
      </c>
      <c r="AM130" s="259" t="s">
        <v>1975</v>
      </c>
      <c r="AN130" s="259" t="b">
        <v>0</v>
      </c>
      <c r="AP130" s="274"/>
      <c r="AQ130" s="274"/>
      <c r="AR130" s="274"/>
      <c r="AT130" s="274"/>
      <c r="AU130" s="274"/>
      <c r="AZ130" s="274"/>
      <c r="BA130" s="259" t="s">
        <v>373</v>
      </c>
      <c r="BB130" s="259" t="s">
        <v>1610</v>
      </c>
      <c r="BC130" s="259" t="s">
        <v>2192</v>
      </c>
    </row>
    <row r="131" spans="1:55" ht="135">
      <c r="A131" s="259">
        <v>305</v>
      </c>
      <c r="B131" s="259" t="s">
        <v>2436</v>
      </c>
      <c r="C131" s="259" t="s">
        <v>2437</v>
      </c>
      <c r="D131" s="259" t="s">
        <v>8</v>
      </c>
      <c r="E131" s="259" t="s">
        <v>9</v>
      </c>
      <c r="F131" s="259" t="s">
        <v>1745</v>
      </c>
      <c r="G131" s="274">
        <v>44746</v>
      </c>
      <c r="H131" s="274"/>
      <c r="I131" s="274"/>
      <c r="N131" s="259" t="s">
        <v>122</v>
      </c>
      <c r="P131" s="259" t="s">
        <v>1554</v>
      </c>
      <c r="Q131" s="259" t="s">
        <v>2198</v>
      </c>
      <c r="R131" s="274">
        <v>44571.590868055559</v>
      </c>
      <c r="S131" s="321">
        <v>2022</v>
      </c>
      <c r="T131" s="259" t="s">
        <v>2001</v>
      </c>
      <c r="U131" s="259" t="s">
        <v>630</v>
      </c>
      <c r="V131" s="259" t="s">
        <v>631</v>
      </c>
      <c r="W131" s="259" t="s">
        <v>145</v>
      </c>
      <c r="X131" s="259" t="s">
        <v>309</v>
      </c>
      <c r="Y131" s="365">
        <v>44835</v>
      </c>
      <c r="Z131" s="259" t="s">
        <v>1875</v>
      </c>
      <c r="AA131" s="274"/>
      <c r="AB131" s="259" t="s">
        <v>139</v>
      </c>
      <c r="AC131" s="259" t="s">
        <v>1875</v>
      </c>
      <c r="AD131" s="259">
        <v>900</v>
      </c>
      <c r="AE131" s="259">
        <v>900</v>
      </c>
      <c r="AF131" s="274"/>
      <c r="AJ131" s="319" t="s">
        <v>2191</v>
      </c>
      <c r="AK131" s="274"/>
      <c r="AL131" s="319" t="s">
        <v>2190</v>
      </c>
      <c r="AM131" s="259" t="s">
        <v>1975</v>
      </c>
      <c r="AN131" s="259" t="b">
        <v>0</v>
      </c>
      <c r="AP131" s="274"/>
      <c r="AQ131" s="274"/>
      <c r="AR131" s="274"/>
      <c r="AT131" s="274"/>
      <c r="AU131" s="274"/>
      <c r="AZ131" s="274"/>
      <c r="BA131" s="259" t="s">
        <v>373</v>
      </c>
      <c r="BB131" s="259" t="s">
        <v>1610</v>
      </c>
      <c r="BC131" s="259" t="s">
        <v>2192</v>
      </c>
    </row>
    <row r="132" spans="1:55" ht="135">
      <c r="A132" s="259">
        <v>365</v>
      </c>
      <c r="B132" s="259" t="s">
        <v>2812</v>
      </c>
      <c r="C132" s="259" t="s">
        <v>2813</v>
      </c>
      <c r="D132" s="259" t="s">
        <v>8</v>
      </c>
      <c r="E132" s="259" t="s">
        <v>9</v>
      </c>
      <c r="F132" s="259" t="s">
        <v>1745</v>
      </c>
      <c r="G132" s="274">
        <v>44830</v>
      </c>
      <c r="H132" s="274"/>
      <c r="I132" s="274"/>
      <c r="N132" s="259" t="s">
        <v>122</v>
      </c>
      <c r="P132" s="259" t="s">
        <v>1554</v>
      </c>
      <c r="Q132" s="259" t="s">
        <v>2198</v>
      </c>
      <c r="R132" s="274">
        <v>44630.535509259258</v>
      </c>
      <c r="S132" s="321">
        <v>2022</v>
      </c>
      <c r="T132" s="259" t="s">
        <v>2001</v>
      </c>
      <c r="U132" s="259" t="s">
        <v>630</v>
      </c>
      <c r="V132" s="259" t="s">
        <v>631</v>
      </c>
      <c r="W132" s="259" t="s">
        <v>145</v>
      </c>
      <c r="X132" s="259" t="s">
        <v>309</v>
      </c>
      <c r="Y132" s="365">
        <v>44835</v>
      </c>
      <c r="Z132" s="259" t="s">
        <v>1875</v>
      </c>
      <c r="AA132" s="274"/>
      <c r="AB132" s="259" t="s">
        <v>139</v>
      </c>
      <c r="AC132" s="259" t="s">
        <v>1875</v>
      </c>
      <c r="AD132" s="259">
        <v>900</v>
      </c>
      <c r="AE132" s="259">
        <v>900</v>
      </c>
      <c r="AF132" s="274"/>
      <c r="AJ132" s="319" t="s">
        <v>2191</v>
      </c>
      <c r="AK132" s="274"/>
      <c r="AL132" s="319" t="s">
        <v>2190</v>
      </c>
      <c r="AM132" s="259" t="s">
        <v>1975</v>
      </c>
      <c r="AN132" s="259" t="b">
        <v>0</v>
      </c>
      <c r="AP132" s="274"/>
      <c r="AQ132" s="274"/>
      <c r="AR132" s="274"/>
      <c r="AT132" s="274"/>
      <c r="AU132" s="274"/>
      <c r="AZ132" s="274"/>
      <c r="BA132" s="259" t="s">
        <v>373</v>
      </c>
      <c r="BB132" s="259" t="s">
        <v>1610</v>
      </c>
      <c r="BC132" s="259" t="s">
        <v>2192</v>
      </c>
    </row>
    <row r="133" spans="1:55" ht="135">
      <c r="A133" s="259">
        <v>342</v>
      </c>
      <c r="B133" s="259" t="s">
        <v>2806</v>
      </c>
      <c r="C133" s="259" t="s">
        <v>2807</v>
      </c>
      <c r="D133" s="259" t="s">
        <v>8</v>
      </c>
      <c r="E133" s="259" t="s">
        <v>9</v>
      </c>
      <c r="F133" s="259" t="s">
        <v>1745</v>
      </c>
      <c r="G133" s="274">
        <v>44807</v>
      </c>
      <c r="H133" s="274"/>
      <c r="I133" s="274"/>
      <c r="N133" s="259" t="s">
        <v>122</v>
      </c>
      <c r="P133" s="259" t="s">
        <v>1554</v>
      </c>
      <c r="Q133" s="259" t="s">
        <v>2198</v>
      </c>
      <c r="R133" s="274">
        <v>44630.532523148147</v>
      </c>
      <c r="S133" s="321">
        <v>2022</v>
      </c>
      <c r="T133" s="259" t="s">
        <v>2001</v>
      </c>
      <c r="U133" s="259" t="s">
        <v>630</v>
      </c>
      <c r="V133" s="259" t="s">
        <v>631</v>
      </c>
      <c r="W133" s="259" t="s">
        <v>145</v>
      </c>
      <c r="X133" s="259" t="s">
        <v>309</v>
      </c>
      <c r="Y133" s="365">
        <v>44835</v>
      </c>
      <c r="Z133" s="259" t="s">
        <v>1875</v>
      </c>
      <c r="AA133" s="274"/>
      <c r="AB133" s="259" t="s">
        <v>139</v>
      </c>
      <c r="AC133" s="259" t="s">
        <v>1875</v>
      </c>
      <c r="AD133" s="259">
        <v>900</v>
      </c>
      <c r="AE133" s="259">
        <v>900</v>
      </c>
      <c r="AF133" s="274"/>
      <c r="AJ133" s="319" t="s">
        <v>2191</v>
      </c>
      <c r="AK133" s="274"/>
      <c r="AL133" s="319" t="s">
        <v>2190</v>
      </c>
      <c r="AM133" s="259" t="s">
        <v>1975</v>
      </c>
      <c r="AN133" s="259" t="b">
        <v>0</v>
      </c>
      <c r="AP133" s="274"/>
      <c r="AQ133" s="274"/>
      <c r="AR133" s="274"/>
      <c r="AT133" s="274"/>
      <c r="AU133" s="274"/>
      <c r="AZ133" s="274"/>
      <c r="BA133" s="259" t="s">
        <v>373</v>
      </c>
      <c r="BB133" s="259" t="s">
        <v>1610</v>
      </c>
      <c r="BC133" s="259" t="s">
        <v>2192</v>
      </c>
    </row>
    <row r="134" spans="1:55" ht="135">
      <c r="A134" s="259">
        <v>157</v>
      </c>
      <c r="B134" s="259" t="s">
        <v>2425</v>
      </c>
      <c r="C134" s="259" t="s">
        <v>2426</v>
      </c>
      <c r="D134" s="259" t="s">
        <v>8</v>
      </c>
      <c r="E134" s="259" t="s">
        <v>9</v>
      </c>
      <c r="F134" s="259" t="s">
        <v>1745</v>
      </c>
      <c r="G134" s="274">
        <v>44389</v>
      </c>
      <c r="H134" s="274"/>
      <c r="I134" s="274"/>
      <c r="N134" s="259" t="s">
        <v>122</v>
      </c>
      <c r="P134" s="259" t="s">
        <v>1554</v>
      </c>
      <c r="Q134" s="259" t="s">
        <v>2198</v>
      </c>
      <c r="R134" s="274">
        <v>44571.588020833333</v>
      </c>
      <c r="S134" s="321">
        <v>2021</v>
      </c>
      <c r="T134" s="259" t="s">
        <v>2001</v>
      </c>
      <c r="U134" s="259" t="s">
        <v>630</v>
      </c>
      <c r="V134" s="259" t="s">
        <v>631</v>
      </c>
      <c r="W134" s="259" t="s">
        <v>145</v>
      </c>
      <c r="X134" s="259" t="s">
        <v>309</v>
      </c>
      <c r="Y134" s="365">
        <v>44835</v>
      </c>
      <c r="Z134" s="259" t="s">
        <v>1875</v>
      </c>
      <c r="AA134" s="274"/>
      <c r="AB134" s="259" t="s">
        <v>139</v>
      </c>
      <c r="AC134" s="259" t="s">
        <v>1875</v>
      </c>
      <c r="AD134" s="259">
        <v>900</v>
      </c>
      <c r="AE134" s="259">
        <v>900</v>
      </c>
      <c r="AF134" s="274"/>
      <c r="AJ134" s="319" t="s">
        <v>2191</v>
      </c>
      <c r="AK134" s="274"/>
      <c r="AL134" s="319" t="s">
        <v>2190</v>
      </c>
      <c r="AM134" s="259" t="s">
        <v>1975</v>
      </c>
      <c r="AN134" s="259" t="b">
        <v>0</v>
      </c>
      <c r="AP134" s="274"/>
      <c r="AQ134" s="274"/>
      <c r="AR134" s="274"/>
      <c r="AT134" s="274"/>
      <c r="AU134" s="274"/>
      <c r="AZ134" s="274"/>
      <c r="BA134" s="259" t="s">
        <v>373</v>
      </c>
      <c r="BB134" s="259" t="s">
        <v>1610</v>
      </c>
      <c r="BC134" s="259" t="s">
        <v>2192</v>
      </c>
    </row>
    <row r="135" spans="1:55" ht="135">
      <c r="A135" s="259">
        <v>133</v>
      </c>
      <c r="B135" s="259" t="s">
        <v>2423</v>
      </c>
      <c r="C135" s="259" t="s">
        <v>2424</v>
      </c>
      <c r="D135" s="259" t="s">
        <v>8</v>
      </c>
      <c r="E135" s="259" t="s">
        <v>9</v>
      </c>
      <c r="F135" s="259" t="s">
        <v>1745</v>
      </c>
      <c r="G135" s="274">
        <v>44354</v>
      </c>
      <c r="H135" s="274"/>
      <c r="I135" s="274"/>
      <c r="N135" s="259" t="s">
        <v>122</v>
      </c>
      <c r="P135" s="259" t="s">
        <v>1554</v>
      </c>
      <c r="Q135" s="259" t="s">
        <v>2198</v>
      </c>
      <c r="R135" s="274">
        <v>44571.587557870371</v>
      </c>
      <c r="S135" s="321">
        <v>2021</v>
      </c>
      <c r="T135" s="259" t="s">
        <v>2001</v>
      </c>
      <c r="U135" s="259" t="s">
        <v>630</v>
      </c>
      <c r="V135" s="259" t="s">
        <v>631</v>
      </c>
      <c r="W135" s="259" t="s">
        <v>145</v>
      </c>
      <c r="X135" s="259" t="s">
        <v>309</v>
      </c>
      <c r="Y135" s="365">
        <v>44835</v>
      </c>
      <c r="Z135" s="259" t="s">
        <v>1875</v>
      </c>
      <c r="AA135" s="274"/>
      <c r="AB135" s="259" t="s">
        <v>139</v>
      </c>
      <c r="AC135" s="259" t="s">
        <v>1875</v>
      </c>
      <c r="AD135" s="259">
        <v>900</v>
      </c>
      <c r="AE135" s="259">
        <v>900</v>
      </c>
      <c r="AF135" s="274"/>
      <c r="AJ135" s="319" t="s">
        <v>2191</v>
      </c>
      <c r="AK135" s="274"/>
      <c r="AL135" s="319" t="s">
        <v>2190</v>
      </c>
      <c r="AM135" s="259" t="s">
        <v>1975</v>
      </c>
      <c r="AN135" s="259" t="b">
        <v>0</v>
      </c>
      <c r="AP135" s="274"/>
      <c r="AQ135" s="274"/>
      <c r="AR135" s="274"/>
      <c r="AT135" s="274"/>
      <c r="AU135" s="274"/>
      <c r="AZ135" s="274"/>
      <c r="BA135" s="259" t="s">
        <v>373</v>
      </c>
      <c r="BB135" s="259" t="s">
        <v>1610</v>
      </c>
      <c r="BC135" s="259" t="s">
        <v>2192</v>
      </c>
    </row>
    <row r="136" spans="1:55" ht="135">
      <c r="A136" s="259">
        <v>326</v>
      </c>
      <c r="B136" s="259" t="s">
        <v>2444</v>
      </c>
      <c r="C136" s="259" t="s">
        <v>2445</v>
      </c>
      <c r="D136" s="259" t="s">
        <v>8</v>
      </c>
      <c r="E136" s="259" t="s">
        <v>9</v>
      </c>
      <c r="F136" s="259" t="s">
        <v>1745</v>
      </c>
      <c r="G136" s="274">
        <v>44786</v>
      </c>
      <c r="H136" s="274"/>
      <c r="I136" s="274"/>
      <c r="N136" s="259" t="s">
        <v>122</v>
      </c>
      <c r="P136" s="259" t="s">
        <v>1554</v>
      </c>
      <c r="Q136" s="259" t="s">
        <v>2198</v>
      </c>
      <c r="R136" s="274">
        <v>44571.592789351853</v>
      </c>
      <c r="S136" s="321">
        <v>2022</v>
      </c>
      <c r="T136" s="259" t="s">
        <v>2001</v>
      </c>
      <c r="U136" s="259" t="s">
        <v>630</v>
      </c>
      <c r="V136" s="259" t="s">
        <v>631</v>
      </c>
      <c r="W136" s="259" t="s">
        <v>145</v>
      </c>
      <c r="X136" s="259" t="s">
        <v>309</v>
      </c>
      <c r="Y136" s="365">
        <v>44835</v>
      </c>
      <c r="Z136" s="259" t="s">
        <v>1875</v>
      </c>
      <c r="AA136" s="274"/>
      <c r="AB136" s="259" t="s">
        <v>139</v>
      </c>
      <c r="AC136" s="259" t="s">
        <v>1875</v>
      </c>
      <c r="AD136" s="259">
        <v>900</v>
      </c>
      <c r="AE136" s="259">
        <v>900</v>
      </c>
      <c r="AF136" s="274"/>
      <c r="AJ136" s="319" t="s">
        <v>2191</v>
      </c>
      <c r="AK136" s="274"/>
      <c r="AL136" s="319" t="s">
        <v>2190</v>
      </c>
      <c r="AM136" s="259" t="s">
        <v>1975</v>
      </c>
      <c r="AN136" s="259" t="b">
        <v>0</v>
      </c>
      <c r="AP136" s="274"/>
      <c r="AQ136" s="274"/>
      <c r="AR136" s="274"/>
      <c r="AT136" s="274"/>
      <c r="AU136" s="274"/>
      <c r="AZ136" s="274"/>
      <c r="BA136" s="259" t="s">
        <v>373</v>
      </c>
      <c r="BB136" s="259" t="s">
        <v>1610</v>
      </c>
      <c r="BC136" s="259" t="s">
        <v>2192</v>
      </c>
    </row>
    <row r="137" spans="1:55" ht="135">
      <c r="A137" s="259">
        <v>325</v>
      </c>
      <c r="B137" s="259" t="s">
        <v>2442</v>
      </c>
      <c r="C137" s="259" t="s">
        <v>2443</v>
      </c>
      <c r="D137" s="259" t="s">
        <v>8</v>
      </c>
      <c r="E137" s="259" t="s">
        <v>9</v>
      </c>
      <c r="F137" s="259" t="s">
        <v>1745</v>
      </c>
      <c r="G137" s="274">
        <v>44786</v>
      </c>
      <c r="H137" s="274"/>
      <c r="I137" s="274"/>
      <c r="N137" s="259" t="s">
        <v>122</v>
      </c>
      <c r="P137" s="259" t="s">
        <v>1554</v>
      </c>
      <c r="Q137" s="259" t="s">
        <v>2198</v>
      </c>
      <c r="R137" s="274">
        <v>44571.592268518521</v>
      </c>
      <c r="S137" s="321">
        <v>2022</v>
      </c>
      <c r="T137" s="259" t="s">
        <v>2001</v>
      </c>
      <c r="U137" s="259" t="s">
        <v>630</v>
      </c>
      <c r="V137" s="259" t="s">
        <v>631</v>
      </c>
      <c r="W137" s="259" t="s">
        <v>145</v>
      </c>
      <c r="X137" s="259" t="s">
        <v>309</v>
      </c>
      <c r="Y137" s="365">
        <v>44835</v>
      </c>
      <c r="Z137" s="259" t="s">
        <v>1875</v>
      </c>
      <c r="AA137" s="274"/>
      <c r="AB137" s="259" t="s">
        <v>139</v>
      </c>
      <c r="AC137" s="259" t="s">
        <v>1875</v>
      </c>
      <c r="AD137" s="259">
        <v>900</v>
      </c>
      <c r="AE137" s="259">
        <v>900</v>
      </c>
      <c r="AF137" s="274"/>
      <c r="AJ137" s="319" t="s">
        <v>2191</v>
      </c>
      <c r="AK137" s="274"/>
      <c r="AL137" s="319" t="s">
        <v>2190</v>
      </c>
      <c r="AM137" s="259" t="s">
        <v>1975</v>
      </c>
      <c r="AN137" s="259" t="b">
        <v>0</v>
      </c>
      <c r="AP137" s="274"/>
      <c r="AQ137" s="274"/>
      <c r="AR137" s="274"/>
      <c r="AT137" s="274"/>
      <c r="AU137" s="274"/>
      <c r="AZ137" s="274"/>
      <c r="BA137" s="259" t="s">
        <v>373</v>
      </c>
      <c r="BB137" s="259" t="s">
        <v>1610</v>
      </c>
      <c r="BC137" s="259" t="s">
        <v>2192</v>
      </c>
    </row>
    <row r="138" spans="1:55" ht="135">
      <c r="A138" s="259">
        <v>291</v>
      </c>
      <c r="B138" s="259" t="s">
        <v>2434</v>
      </c>
      <c r="C138" s="259" t="s">
        <v>2435</v>
      </c>
      <c r="D138" s="259" t="s">
        <v>8</v>
      </c>
      <c r="E138" s="259" t="s">
        <v>9</v>
      </c>
      <c r="F138" s="259" t="s">
        <v>1745</v>
      </c>
      <c r="G138" s="274">
        <v>44737</v>
      </c>
      <c r="H138" s="274"/>
      <c r="I138" s="274"/>
      <c r="N138" s="259" t="s">
        <v>122</v>
      </c>
      <c r="P138" s="259" t="s">
        <v>1554</v>
      </c>
      <c r="Q138" s="259" t="s">
        <v>2198</v>
      </c>
      <c r="R138" s="274">
        <v>44571.590324074074</v>
      </c>
      <c r="S138" s="321">
        <v>2022</v>
      </c>
      <c r="T138" s="259" t="s">
        <v>2001</v>
      </c>
      <c r="U138" s="259" t="s">
        <v>630</v>
      </c>
      <c r="V138" s="259" t="s">
        <v>631</v>
      </c>
      <c r="W138" s="259" t="s">
        <v>145</v>
      </c>
      <c r="X138" s="259" t="s">
        <v>309</v>
      </c>
      <c r="Y138" s="365">
        <v>44835</v>
      </c>
      <c r="Z138" s="259" t="s">
        <v>1875</v>
      </c>
      <c r="AA138" s="274"/>
      <c r="AB138" s="259" t="s">
        <v>139</v>
      </c>
      <c r="AC138" s="259" t="s">
        <v>1875</v>
      </c>
      <c r="AD138" s="259">
        <v>900</v>
      </c>
      <c r="AE138" s="259">
        <v>900</v>
      </c>
      <c r="AF138" s="274"/>
      <c r="AJ138" s="319" t="s">
        <v>2191</v>
      </c>
      <c r="AK138" s="274"/>
      <c r="AL138" s="319" t="s">
        <v>2190</v>
      </c>
      <c r="AM138" s="259" t="s">
        <v>1975</v>
      </c>
      <c r="AN138" s="259" t="b">
        <v>0</v>
      </c>
      <c r="AP138" s="274"/>
      <c r="AQ138" s="274"/>
      <c r="AR138" s="274"/>
      <c r="AT138" s="274"/>
      <c r="AU138" s="274"/>
      <c r="AZ138" s="274"/>
      <c r="BA138" s="259" t="s">
        <v>373</v>
      </c>
      <c r="BB138" s="259" t="s">
        <v>1610</v>
      </c>
      <c r="BC138" s="259" t="s">
        <v>2192</v>
      </c>
    </row>
    <row r="139" spans="1:55" ht="135">
      <c r="A139" s="259">
        <v>316</v>
      </c>
      <c r="B139" s="259" t="s">
        <v>2440</v>
      </c>
      <c r="C139" s="259" t="s">
        <v>2441</v>
      </c>
      <c r="D139" s="259" t="s">
        <v>8</v>
      </c>
      <c r="E139" s="259" t="s">
        <v>9</v>
      </c>
      <c r="F139" s="259" t="s">
        <v>1745</v>
      </c>
      <c r="G139" s="274">
        <v>44760</v>
      </c>
      <c r="H139" s="274"/>
      <c r="I139" s="274"/>
      <c r="N139" s="259" t="s">
        <v>122</v>
      </c>
      <c r="P139" s="259" t="s">
        <v>1554</v>
      </c>
      <c r="Q139" s="259" t="s">
        <v>2198</v>
      </c>
      <c r="R139" s="274">
        <v>44571.591851851852</v>
      </c>
      <c r="S139" s="321">
        <v>2022</v>
      </c>
      <c r="T139" s="259" t="s">
        <v>2001</v>
      </c>
      <c r="U139" s="259" t="s">
        <v>630</v>
      </c>
      <c r="V139" s="259" t="s">
        <v>631</v>
      </c>
      <c r="W139" s="259" t="s">
        <v>145</v>
      </c>
      <c r="X139" s="259" t="s">
        <v>309</v>
      </c>
      <c r="Y139" s="365">
        <v>44835</v>
      </c>
      <c r="Z139" s="259" t="s">
        <v>1875</v>
      </c>
      <c r="AA139" s="274"/>
      <c r="AB139" s="259" t="s">
        <v>139</v>
      </c>
      <c r="AC139" s="259" t="s">
        <v>1875</v>
      </c>
      <c r="AD139" s="259">
        <v>900</v>
      </c>
      <c r="AE139" s="259">
        <v>900</v>
      </c>
      <c r="AF139" s="274"/>
      <c r="AJ139" s="319" t="s">
        <v>2191</v>
      </c>
      <c r="AK139" s="274"/>
      <c r="AL139" s="319" t="s">
        <v>2190</v>
      </c>
      <c r="AM139" s="259" t="s">
        <v>1975</v>
      </c>
      <c r="AN139" s="259" t="b">
        <v>0</v>
      </c>
      <c r="AP139" s="274"/>
      <c r="AQ139" s="274"/>
      <c r="AR139" s="274"/>
      <c r="AT139" s="274"/>
      <c r="AU139" s="274"/>
      <c r="AZ139" s="274"/>
      <c r="BA139" s="259" t="s">
        <v>373</v>
      </c>
      <c r="BB139" s="259" t="s">
        <v>1610</v>
      </c>
      <c r="BC139" s="259" t="s">
        <v>2192</v>
      </c>
    </row>
    <row r="140" spans="1:55" ht="135">
      <c r="A140" s="259">
        <v>200</v>
      </c>
      <c r="B140" s="259" t="s">
        <v>2429</v>
      </c>
      <c r="C140" s="259" t="s">
        <v>2430</v>
      </c>
      <c r="D140" s="259" t="s">
        <v>8</v>
      </c>
      <c r="E140" s="259" t="s">
        <v>9</v>
      </c>
      <c r="F140" s="259" t="s">
        <v>1745</v>
      </c>
      <c r="G140" s="274">
        <v>44541</v>
      </c>
      <c r="H140" s="274"/>
      <c r="I140" s="274"/>
      <c r="N140" s="259" t="s">
        <v>122</v>
      </c>
      <c r="P140" s="259" t="s">
        <v>1554</v>
      </c>
      <c r="Q140" s="259" t="s">
        <v>2198</v>
      </c>
      <c r="R140" s="274">
        <v>44571.588969907411</v>
      </c>
      <c r="S140" s="321">
        <v>2021</v>
      </c>
      <c r="T140" s="259" t="s">
        <v>2001</v>
      </c>
      <c r="U140" s="259" t="s">
        <v>630</v>
      </c>
      <c r="V140" s="259" t="s">
        <v>631</v>
      </c>
      <c r="W140" s="259" t="s">
        <v>145</v>
      </c>
      <c r="X140" s="259" t="s">
        <v>309</v>
      </c>
      <c r="Y140" s="365">
        <v>44835</v>
      </c>
      <c r="Z140" s="259" t="s">
        <v>1875</v>
      </c>
      <c r="AA140" s="274"/>
      <c r="AB140" s="259" t="s">
        <v>139</v>
      </c>
      <c r="AC140" s="259" t="s">
        <v>1875</v>
      </c>
      <c r="AD140" s="259">
        <v>900</v>
      </c>
      <c r="AE140" s="259">
        <v>900</v>
      </c>
      <c r="AF140" s="274"/>
      <c r="AJ140" s="319" t="s">
        <v>2191</v>
      </c>
      <c r="AK140" s="274"/>
      <c r="AL140" s="319" t="s">
        <v>2190</v>
      </c>
      <c r="AM140" s="259" t="s">
        <v>1975</v>
      </c>
      <c r="AN140" s="259" t="b">
        <v>0</v>
      </c>
      <c r="AP140" s="274"/>
      <c r="AQ140" s="274"/>
      <c r="AR140" s="274"/>
      <c r="AT140" s="274"/>
      <c r="AU140" s="274"/>
      <c r="AZ140" s="274"/>
      <c r="BA140" s="259" t="s">
        <v>373</v>
      </c>
      <c r="BB140" s="259" t="s">
        <v>1610</v>
      </c>
      <c r="BC140" s="259" t="s">
        <v>2192</v>
      </c>
    </row>
    <row r="141" spans="1:55" ht="135">
      <c r="A141" s="259">
        <v>199</v>
      </c>
      <c r="B141" s="259" t="s">
        <v>2427</v>
      </c>
      <c r="C141" s="259" t="s">
        <v>2428</v>
      </c>
      <c r="D141" s="259" t="s">
        <v>8</v>
      </c>
      <c r="E141" s="259" t="s">
        <v>9</v>
      </c>
      <c r="F141" s="259" t="s">
        <v>1745</v>
      </c>
      <c r="G141" s="274">
        <v>44540</v>
      </c>
      <c r="H141" s="274"/>
      <c r="I141" s="274"/>
      <c r="N141" s="259" t="s">
        <v>122</v>
      </c>
      <c r="P141" s="259" t="s">
        <v>1554</v>
      </c>
      <c r="Q141" s="259" t="s">
        <v>2198</v>
      </c>
      <c r="R141" s="274">
        <v>44571.588483796295</v>
      </c>
      <c r="S141" s="321">
        <v>2021</v>
      </c>
      <c r="T141" s="259" t="s">
        <v>2001</v>
      </c>
      <c r="U141" s="259" t="s">
        <v>630</v>
      </c>
      <c r="V141" s="259" t="s">
        <v>631</v>
      </c>
      <c r="W141" s="259" t="s">
        <v>145</v>
      </c>
      <c r="X141" s="259" t="s">
        <v>309</v>
      </c>
      <c r="Y141" s="365">
        <v>44835</v>
      </c>
      <c r="Z141" s="259" t="s">
        <v>1875</v>
      </c>
      <c r="AA141" s="274"/>
      <c r="AB141" s="259" t="s">
        <v>139</v>
      </c>
      <c r="AC141" s="259" t="s">
        <v>1875</v>
      </c>
      <c r="AD141" s="259">
        <v>900</v>
      </c>
      <c r="AE141" s="259">
        <v>900</v>
      </c>
      <c r="AF141" s="274"/>
      <c r="AJ141" s="319" t="s">
        <v>2191</v>
      </c>
      <c r="AK141" s="274"/>
      <c r="AL141" s="319" t="s">
        <v>2190</v>
      </c>
      <c r="AM141" s="259" t="s">
        <v>1975</v>
      </c>
      <c r="AN141" s="259" t="b">
        <v>0</v>
      </c>
      <c r="AP141" s="274"/>
      <c r="AQ141" s="274"/>
      <c r="AR141" s="274"/>
      <c r="AT141" s="274"/>
      <c r="AU141" s="274"/>
      <c r="AZ141" s="274"/>
      <c r="BA141" s="259" t="s">
        <v>373</v>
      </c>
      <c r="BB141" s="259" t="s">
        <v>1610</v>
      </c>
      <c r="BC141" s="259" t="s">
        <v>2192</v>
      </c>
    </row>
    <row r="142" spans="1:55" ht="135">
      <c r="A142" s="259">
        <v>309</v>
      </c>
      <c r="B142" s="259" t="s">
        <v>2438</v>
      </c>
      <c r="C142" s="259" t="s">
        <v>2439</v>
      </c>
      <c r="D142" s="259" t="s">
        <v>8</v>
      </c>
      <c r="E142" s="259" t="s">
        <v>9</v>
      </c>
      <c r="F142" s="259" t="s">
        <v>1745</v>
      </c>
      <c r="G142" s="274">
        <v>44747</v>
      </c>
      <c r="H142" s="274"/>
      <c r="I142" s="274"/>
      <c r="N142" s="259" t="s">
        <v>122</v>
      </c>
      <c r="P142" s="259" t="s">
        <v>1554</v>
      </c>
      <c r="Q142" s="259" t="s">
        <v>2198</v>
      </c>
      <c r="R142" s="274">
        <v>44571.591331018521</v>
      </c>
      <c r="S142" s="321">
        <v>2022</v>
      </c>
      <c r="T142" s="259" t="s">
        <v>2001</v>
      </c>
      <c r="U142" s="259" t="s">
        <v>630</v>
      </c>
      <c r="V142" s="259" t="s">
        <v>631</v>
      </c>
      <c r="W142" s="259" t="s">
        <v>145</v>
      </c>
      <c r="X142" s="259" t="s">
        <v>309</v>
      </c>
      <c r="Y142" s="365">
        <v>44835</v>
      </c>
      <c r="Z142" s="259" t="s">
        <v>1875</v>
      </c>
      <c r="AA142" s="274"/>
      <c r="AB142" s="259" t="s">
        <v>139</v>
      </c>
      <c r="AC142" s="259" t="s">
        <v>1875</v>
      </c>
      <c r="AD142" s="259">
        <v>900</v>
      </c>
      <c r="AE142" s="259">
        <v>900</v>
      </c>
      <c r="AF142" s="274"/>
      <c r="AJ142" s="319" t="s">
        <v>2191</v>
      </c>
      <c r="AK142" s="274"/>
      <c r="AL142" s="319" t="s">
        <v>2190</v>
      </c>
      <c r="AM142" s="259" t="s">
        <v>1975</v>
      </c>
      <c r="AN142" s="259" t="b">
        <v>0</v>
      </c>
      <c r="AP142" s="274"/>
      <c r="AQ142" s="274"/>
      <c r="AR142" s="274"/>
      <c r="AT142" s="274"/>
      <c r="AU142" s="274"/>
      <c r="AZ142" s="274"/>
      <c r="BA142" s="259" t="s">
        <v>373</v>
      </c>
      <c r="BB142" s="259" t="s">
        <v>1610</v>
      </c>
      <c r="BC142" s="259" t="s">
        <v>2192</v>
      </c>
    </row>
    <row r="143" spans="1:55" ht="135">
      <c r="A143" s="259">
        <v>283</v>
      </c>
      <c r="B143" s="259" t="s">
        <v>2432</v>
      </c>
      <c r="C143" s="259" t="s">
        <v>2433</v>
      </c>
      <c r="D143" s="259" t="s">
        <v>8</v>
      </c>
      <c r="E143" s="259" t="s">
        <v>9</v>
      </c>
      <c r="F143" s="259" t="s">
        <v>1745</v>
      </c>
      <c r="G143" s="274">
        <v>44726</v>
      </c>
      <c r="H143" s="274"/>
      <c r="I143" s="274"/>
      <c r="N143" s="259" t="s">
        <v>122</v>
      </c>
      <c r="P143" s="259" t="s">
        <v>1554</v>
      </c>
      <c r="Q143" s="259" t="s">
        <v>2198</v>
      </c>
      <c r="R143" s="274">
        <v>44571.589895833335</v>
      </c>
      <c r="S143" s="321">
        <v>2022</v>
      </c>
      <c r="T143" s="259" t="s">
        <v>2001</v>
      </c>
      <c r="U143" s="259" t="s">
        <v>630</v>
      </c>
      <c r="V143" s="259" t="s">
        <v>631</v>
      </c>
      <c r="W143" s="259" t="s">
        <v>145</v>
      </c>
      <c r="X143" s="259" t="s">
        <v>309</v>
      </c>
      <c r="Y143" s="365">
        <v>44835</v>
      </c>
      <c r="Z143" s="259" t="s">
        <v>1875</v>
      </c>
      <c r="AA143" s="274"/>
      <c r="AB143" s="259" t="s">
        <v>139</v>
      </c>
      <c r="AC143" s="259" t="s">
        <v>1875</v>
      </c>
      <c r="AD143" s="259">
        <v>900</v>
      </c>
      <c r="AE143" s="259">
        <v>900</v>
      </c>
      <c r="AF143" s="274"/>
      <c r="AJ143" s="319" t="s">
        <v>2191</v>
      </c>
      <c r="AK143" s="274"/>
      <c r="AL143" s="319" t="s">
        <v>2190</v>
      </c>
      <c r="AM143" s="259" t="s">
        <v>1975</v>
      </c>
      <c r="AN143" s="259" t="b">
        <v>0</v>
      </c>
      <c r="AP143" s="274"/>
      <c r="AQ143" s="274"/>
      <c r="AR143" s="274"/>
      <c r="AT143" s="274"/>
      <c r="AU143" s="274"/>
      <c r="AZ143" s="274"/>
      <c r="BA143" s="259" t="s">
        <v>373</v>
      </c>
      <c r="BB143" s="259" t="s">
        <v>1610</v>
      </c>
      <c r="BC143" s="259" t="s">
        <v>2192</v>
      </c>
    </row>
    <row r="144" spans="1:55" ht="135">
      <c r="A144" s="259">
        <v>349</v>
      </c>
      <c r="B144" s="259" t="s">
        <v>2808</v>
      </c>
      <c r="C144" s="259" t="s">
        <v>2809</v>
      </c>
      <c r="D144" s="259" t="s">
        <v>8</v>
      </c>
      <c r="E144" s="259" t="s">
        <v>9</v>
      </c>
      <c r="F144" s="259" t="s">
        <v>1745</v>
      </c>
      <c r="G144" s="274">
        <v>44810</v>
      </c>
      <c r="H144" s="274"/>
      <c r="I144" s="274"/>
      <c r="N144" s="259" t="s">
        <v>122</v>
      </c>
      <c r="P144" s="259" t="s">
        <v>1554</v>
      </c>
      <c r="Q144" s="259" t="s">
        <v>2198</v>
      </c>
      <c r="R144" s="274">
        <v>44630.533055555556</v>
      </c>
      <c r="S144" s="321">
        <v>2022</v>
      </c>
      <c r="T144" s="259" t="s">
        <v>2001</v>
      </c>
      <c r="U144" s="259" t="s">
        <v>630</v>
      </c>
      <c r="V144" s="259" t="s">
        <v>631</v>
      </c>
      <c r="W144" s="259" t="s">
        <v>145</v>
      </c>
      <c r="X144" s="259" t="s">
        <v>309</v>
      </c>
      <c r="Y144" s="365">
        <v>44835</v>
      </c>
      <c r="Z144" s="259" t="s">
        <v>1875</v>
      </c>
      <c r="AA144" s="274"/>
      <c r="AB144" s="259" t="s">
        <v>139</v>
      </c>
      <c r="AC144" s="259" t="s">
        <v>1875</v>
      </c>
      <c r="AD144" s="259">
        <v>900</v>
      </c>
      <c r="AE144" s="259">
        <v>900</v>
      </c>
      <c r="AF144" s="274"/>
      <c r="AJ144" s="319" t="s">
        <v>2191</v>
      </c>
      <c r="AK144" s="274"/>
      <c r="AL144" s="319" t="s">
        <v>2190</v>
      </c>
      <c r="AM144" s="259" t="s">
        <v>1975</v>
      </c>
      <c r="AN144" s="259" t="b">
        <v>0</v>
      </c>
      <c r="AP144" s="274"/>
      <c r="AQ144" s="274"/>
      <c r="AR144" s="274"/>
      <c r="AT144" s="274"/>
      <c r="AU144" s="274"/>
      <c r="AZ144" s="274"/>
      <c r="BA144" s="259" t="s">
        <v>373</v>
      </c>
      <c r="BB144" s="259" t="s">
        <v>1610</v>
      </c>
      <c r="BC144" s="259" t="s">
        <v>2192</v>
      </c>
    </row>
    <row r="145" spans="1:55" ht="135">
      <c r="A145" s="259">
        <v>243</v>
      </c>
      <c r="B145" s="259" t="s">
        <v>2423</v>
      </c>
      <c r="C145" s="259" t="s">
        <v>2431</v>
      </c>
      <c r="D145" s="259" t="s">
        <v>8</v>
      </c>
      <c r="E145" s="259" t="s">
        <v>9</v>
      </c>
      <c r="F145" s="259" t="s">
        <v>1745</v>
      </c>
      <c r="G145" s="274">
        <v>44644</v>
      </c>
      <c r="H145" s="274"/>
      <c r="I145" s="274"/>
      <c r="N145" s="259" t="s">
        <v>122</v>
      </c>
      <c r="P145" s="259" t="s">
        <v>1554</v>
      </c>
      <c r="Q145" s="259" t="s">
        <v>2198</v>
      </c>
      <c r="R145" s="274">
        <v>44571.589375000003</v>
      </c>
      <c r="S145" s="321">
        <v>2022</v>
      </c>
      <c r="T145" s="259" t="s">
        <v>2001</v>
      </c>
      <c r="U145" s="259" t="s">
        <v>630</v>
      </c>
      <c r="V145" s="259" t="s">
        <v>631</v>
      </c>
      <c r="W145" s="259" t="s">
        <v>145</v>
      </c>
      <c r="X145" s="259" t="s">
        <v>309</v>
      </c>
      <c r="Y145" s="365">
        <v>44835</v>
      </c>
      <c r="Z145" s="259" t="s">
        <v>1875</v>
      </c>
      <c r="AA145" s="274"/>
      <c r="AB145" s="259" t="s">
        <v>139</v>
      </c>
      <c r="AC145" s="259" t="s">
        <v>1875</v>
      </c>
      <c r="AD145" s="259">
        <v>900</v>
      </c>
      <c r="AE145" s="259">
        <v>900</v>
      </c>
      <c r="AF145" s="274"/>
      <c r="AJ145" s="319" t="s">
        <v>2191</v>
      </c>
      <c r="AK145" s="274"/>
      <c r="AL145" s="319" t="s">
        <v>2190</v>
      </c>
      <c r="AM145" s="259" t="s">
        <v>1975</v>
      </c>
      <c r="AN145" s="259" t="b">
        <v>0</v>
      </c>
      <c r="AP145" s="274"/>
      <c r="AQ145" s="274"/>
      <c r="AR145" s="274"/>
      <c r="AT145" s="274"/>
      <c r="AU145" s="274"/>
      <c r="AZ145" s="274"/>
      <c r="BA145" s="259" t="s">
        <v>373</v>
      </c>
      <c r="BB145" s="259" t="s">
        <v>1610</v>
      </c>
      <c r="BC145" s="259" t="s">
        <v>2192</v>
      </c>
    </row>
    <row r="146" spans="1:55" ht="135">
      <c r="A146" s="259">
        <v>140</v>
      </c>
      <c r="B146" s="259" t="s">
        <v>2446</v>
      </c>
      <c r="C146" s="259" t="s">
        <v>2447</v>
      </c>
      <c r="D146" s="259" t="s">
        <v>8</v>
      </c>
      <c r="E146" s="259" t="s">
        <v>9</v>
      </c>
      <c r="F146" s="259" t="s">
        <v>1768</v>
      </c>
      <c r="G146" s="274">
        <v>44370</v>
      </c>
      <c r="H146" s="274"/>
      <c r="I146" s="274"/>
      <c r="N146" s="259" t="s">
        <v>122</v>
      </c>
      <c r="P146" s="259" t="s">
        <v>1554</v>
      </c>
      <c r="Q146" s="259" t="s">
        <v>2198</v>
      </c>
      <c r="R146" s="274">
        <v>44571.593368055554</v>
      </c>
      <c r="S146" s="321">
        <v>2021</v>
      </c>
      <c r="T146" s="259" t="s">
        <v>2001</v>
      </c>
      <c r="U146" s="259" t="s">
        <v>630</v>
      </c>
      <c r="V146" s="259" t="s">
        <v>631</v>
      </c>
      <c r="W146" s="259" t="s">
        <v>145</v>
      </c>
      <c r="X146" s="259" t="s">
        <v>309</v>
      </c>
      <c r="Y146" s="365">
        <v>44835</v>
      </c>
      <c r="Z146" s="259" t="s">
        <v>1875</v>
      </c>
      <c r="AA146" s="274"/>
      <c r="AB146" s="259" t="s">
        <v>139</v>
      </c>
      <c r="AC146" s="259" t="s">
        <v>1875</v>
      </c>
      <c r="AD146" s="259">
        <v>900</v>
      </c>
      <c r="AE146" s="259">
        <v>900</v>
      </c>
      <c r="AF146" s="274"/>
      <c r="AJ146" s="319" t="s">
        <v>2191</v>
      </c>
      <c r="AK146" s="274"/>
      <c r="AL146" s="319" t="s">
        <v>2190</v>
      </c>
      <c r="AM146" s="259" t="s">
        <v>1975</v>
      </c>
      <c r="AN146" s="259" t="b">
        <v>0</v>
      </c>
      <c r="AP146" s="274"/>
      <c r="AQ146" s="274"/>
      <c r="AR146" s="274"/>
      <c r="AT146" s="274"/>
      <c r="AU146" s="274"/>
      <c r="AZ146" s="274"/>
      <c r="BA146" s="259" t="s">
        <v>373</v>
      </c>
      <c r="BB146" s="259" t="s">
        <v>1610</v>
      </c>
      <c r="BC146" s="259" t="s">
        <v>2192</v>
      </c>
    </row>
    <row r="147" spans="1:55" ht="135">
      <c r="A147" s="259">
        <v>191</v>
      </c>
      <c r="B147" s="259" t="s">
        <v>2459</v>
      </c>
      <c r="C147" s="259" t="s">
        <v>2511</v>
      </c>
      <c r="D147" s="259" t="s">
        <v>8</v>
      </c>
      <c r="E147" s="259" t="s">
        <v>9</v>
      </c>
      <c r="F147" s="259" t="s">
        <v>1771</v>
      </c>
      <c r="G147" s="274">
        <v>44494</v>
      </c>
      <c r="H147" s="274"/>
      <c r="I147" s="274"/>
      <c r="N147" s="259" t="s">
        <v>122</v>
      </c>
      <c r="P147" s="259" t="s">
        <v>1554</v>
      </c>
      <c r="Q147" s="259" t="s">
        <v>2198</v>
      </c>
      <c r="R147" s="274">
        <v>44571.617430555554</v>
      </c>
      <c r="S147" s="321">
        <v>2021</v>
      </c>
      <c r="T147" s="259" t="s">
        <v>2001</v>
      </c>
      <c r="U147" s="259" t="s">
        <v>630</v>
      </c>
      <c r="V147" s="259" t="s">
        <v>631</v>
      </c>
      <c r="W147" s="259" t="s">
        <v>145</v>
      </c>
      <c r="X147" s="259" t="s">
        <v>309</v>
      </c>
      <c r="Y147" s="365">
        <v>44835</v>
      </c>
      <c r="Z147" s="259" t="s">
        <v>1875</v>
      </c>
      <c r="AA147" s="274"/>
      <c r="AB147" s="259" t="s">
        <v>139</v>
      </c>
      <c r="AC147" s="259" t="s">
        <v>1875</v>
      </c>
      <c r="AD147" s="259">
        <v>900</v>
      </c>
      <c r="AE147" s="259">
        <v>900</v>
      </c>
      <c r="AF147" s="274"/>
      <c r="AJ147" s="319" t="s">
        <v>2191</v>
      </c>
      <c r="AK147" s="274"/>
      <c r="AL147" s="319" t="s">
        <v>2190</v>
      </c>
      <c r="AM147" s="259" t="s">
        <v>1975</v>
      </c>
      <c r="AN147" s="259" t="b">
        <v>0</v>
      </c>
      <c r="AP147" s="274"/>
      <c r="AQ147" s="274"/>
      <c r="AR147" s="274"/>
      <c r="AT147" s="274"/>
      <c r="AU147" s="274"/>
      <c r="AZ147" s="274"/>
      <c r="BA147" s="259" t="s">
        <v>373</v>
      </c>
      <c r="BB147" s="259" t="s">
        <v>1610</v>
      </c>
      <c r="BC147" s="259" t="s">
        <v>2192</v>
      </c>
    </row>
    <row r="148" spans="1:55" ht="135">
      <c r="A148" s="259">
        <v>70</v>
      </c>
      <c r="B148" s="259" t="s">
        <v>2457</v>
      </c>
      <c r="C148" s="259" t="s">
        <v>2458</v>
      </c>
      <c r="D148" s="259" t="s">
        <v>8</v>
      </c>
      <c r="E148" s="259" t="s">
        <v>9</v>
      </c>
      <c r="F148" s="259" t="s">
        <v>1771</v>
      </c>
      <c r="G148" s="274">
        <v>44101</v>
      </c>
      <c r="H148" s="274"/>
      <c r="I148" s="274"/>
      <c r="N148" s="259" t="s">
        <v>122</v>
      </c>
      <c r="P148" s="259" t="s">
        <v>1554</v>
      </c>
      <c r="Q148" s="259" t="s">
        <v>2198</v>
      </c>
      <c r="R148" s="274">
        <v>44571.59946759259</v>
      </c>
      <c r="S148" s="321">
        <v>2020</v>
      </c>
      <c r="T148" s="259" t="s">
        <v>2001</v>
      </c>
      <c r="U148" s="259" t="s">
        <v>630</v>
      </c>
      <c r="V148" s="259" t="s">
        <v>631</v>
      </c>
      <c r="W148" s="259" t="s">
        <v>145</v>
      </c>
      <c r="X148" s="259" t="s">
        <v>309</v>
      </c>
      <c r="Y148" s="365">
        <v>44835</v>
      </c>
      <c r="Z148" s="259" t="s">
        <v>1875</v>
      </c>
      <c r="AA148" s="274"/>
      <c r="AB148" s="259" t="s">
        <v>139</v>
      </c>
      <c r="AC148" s="259" t="s">
        <v>1875</v>
      </c>
      <c r="AD148" s="259">
        <v>900</v>
      </c>
      <c r="AE148" s="259">
        <v>900</v>
      </c>
      <c r="AF148" s="274"/>
      <c r="AJ148" s="319" t="s">
        <v>2191</v>
      </c>
      <c r="AK148" s="274"/>
      <c r="AL148" s="319" t="s">
        <v>2190</v>
      </c>
      <c r="AM148" s="259" t="s">
        <v>1975</v>
      </c>
      <c r="AN148" s="259" t="b">
        <v>0</v>
      </c>
      <c r="AP148" s="274"/>
      <c r="AQ148" s="274"/>
      <c r="AR148" s="274"/>
      <c r="AT148" s="274"/>
      <c r="AU148" s="274"/>
      <c r="AZ148" s="274"/>
      <c r="BA148" s="259" t="s">
        <v>373</v>
      </c>
      <c r="BB148" s="259" t="s">
        <v>1610</v>
      </c>
      <c r="BC148" s="259" t="s">
        <v>2192</v>
      </c>
    </row>
    <row r="149" spans="1:55" ht="135">
      <c r="A149" s="259">
        <v>69</v>
      </c>
      <c r="B149" s="259" t="s">
        <v>2456</v>
      </c>
      <c r="C149" s="259" t="s">
        <v>2455</v>
      </c>
      <c r="D149" s="259" t="s">
        <v>8</v>
      </c>
      <c r="E149" s="259" t="s">
        <v>9</v>
      </c>
      <c r="F149" s="259" t="s">
        <v>1771</v>
      </c>
      <c r="G149" s="274">
        <v>44095</v>
      </c>
      <c r="H149" s="274"/>
      <c r="I149" s="274"/>
      <c r="N149" s="259" t="s">
        <v>122</v>
      </c>
      <c r="P149" s="259" t="s">
        <v>1554</v>
      </c>
      <c r="Q149" s="259" t="s">
        <v>2198</v>
      </c>
      <c r="R149" s="274">
        <v>44571.59888888889</v>
      </c>
      <c r="S149" s="321">
        <v>2020</v>
      </c>
      <c r="T149" s="259" t="s">
        <v>2001</v>
      </c>
      <c r="U149" s="259" t="s">
        <v>630</v>
      </c>
      <c r="V149" s="259" t="s">
        <v>631</v>
      </c>
      <c r="W149" s="259" t="s">
        <v>145</v>
      </c>
      <c r="X149" s="259" t="s">
        <v>309</v>
      </c>
      <c r="Y149" s="365">
        <v>44835</v>
      </c>
      <c r="Z149" s="259" t="s">
        <v>1875</v>
      </c>
      <c r="AA149" s="274"/>
      <c r="AB149" s="259" t="s">
        <v>139</v>
      </c>
      <c r="AC149" s="259" t="s">
        <v>1875</v>
      </c>
      <c r="AD149" s="259">
        <v>900</v>
      </c>
      <c r="AE149" s="259">
        <v>900</v>
      </c>
      <c r="AF149" s="274"/>
      <c r="AJ149" s="319" t="s">
        <v>2191</v>
      </c>
      <c r="AK149" s="274"/>
      <c r="AL149" s="319" t="s">
        <v>2190</v>
      </c>
      <c r="AM149" s="259" t="s">
        <v>1975</v>
      </c>
      <c r="AN149" s="259" t="b">
        <v>0</v>
      </c>
      <c r="AP149" s="274"/>
      <c r="AQ149" s="274"/>
      <c r="AR149" s="274"/>
      <c r="AT149" s="274"/>
      <c r="AU149" s="274"/>
      <c r="AZ149" s="274"/>
      <c r="BA149" s="259" t="s">
        <v>373</v>
      </c>
      <c r="BB149" s="259" t="s">
        <v>1610</v>
      </c>
      <c r="BC149" s="259" t="s">
        <v>2192</v>
      </c>
    </row>
    <row r="150" spans="1:55" ht="135">
      <c r="A150" s="259">
        <v>95</v>
      </c>
      <c r="B150" s="259" t="s">
        <v>2475</v>
      </c>
      <c r="C150" s="259" t="s">
        <v>2476</v>
      </c>
      <c r="D150" s="259" t="s">
        <v>8</v>
      </c>
      <c r="E150" s="259" t="s">
        <v>9</v>
      </c>
      <c r="F150" s="259" t="s">
        <v>1771</v>
      </c>
      <c r="G150" s="274">
        <v>44238</v>
      </c>
      <c r="H150" s="274"/>
      <c r="I150" s="274"/>
      <c r="N150" s="259" t="s">
        <v>122</v>
      </c>
      <c r="P150" s="259" t="s">
        <v>1554</v>
      </c>
      <c r="Q150" s="259" t="s">
        <v>2198</v>
      </c>
      <c r="R150" s="274">
        <v>44571.607615740744</v>
      </c>
      <c r="S150" s="321">
        <v>2021</v>
      </c>
      <c r="T150" s="259" t="s">
        <v>2001</v>
      </c>
      <c r="U150" s="259" t="s">
        <v>630</v>
      </c>
      <c r="V150" s="259" t="s">
        <v>631</v>
      </c>
      <c r="W150" s="259" t="s">
        <v>145</v>
      </c>
      <c r="X150" s="259" t="s">
        <v>309</v>
      </c>
      <c r="Y150" s="365">
        <v>44835</v>
      </c>
      <c r="Z150" s="259" t="s">
        <v>1875</v>
      </c>
      <c r="AA150" s="274"/>
      <c r="AB150" s="259" t="s">
        <v>139</v>
      </c>
      <c r="AC150" s="259" t="s">
        <v>1875</v>
      </c>
      <c r="AD150" s="259">
        <v>900</v>
      </c>
      <c r="AE150" s="259">
        <v>900</v>
      </c>
      <c r="AF150" s="274"/>
      <c r="AJ150" s="319" t="s">
        <v>2191</v>
      </c>
      <c r="AK150" s="274"/>
      <c r="AL150" s="319" t="s">
        <v>2190</v>
      </c>
      <c r="AM150" s="259" t="s">
        <v>1975</v>
      </c>
      <c r="AN150" s="259" t="b">
        <v>0</v>
      </c>
      <c r="AP150" s="274"/>
      <c r="AQ150" s="274"/>
      <c r="AR150" s="274"/>
      <c r="AT150" s="274"/>
      <c r="AU150" s="274"/>
      <c r="AZ150" s="274"/>
      <c r="BA150" s="259" t="s">
        <v>373</v>
      </c>
      <c r="BB150" s="259" t="s">
        <v>1610</v>
      </c>
      <c r="BC150" s="259" t="s">
        <v>2192</v>
      </c>
    </row>
    <row r="151" spans="1:55" ht="135">
      <c r="A151" s="259">
        <v>98</v>
      </c>
      <c r="B151" s="259" t="s">
        <v>2477</v>
      </c>
      <c r="C151" s="259" t="s">
        <v>2478</v>
      </c>
      <c r="D151" s="259" t="s">
        <v>8</v>
      </c>
      <c r="E151" s="259" t="s">
        <v>9</v>
      </c>
      <c r="F151" s="259" t="s">
        <v>1771</v>
      </c>
      <c r="G151" s="274">
        <v>44258</v>
      </c>
      <c r="H151" s="274"/>
      <c r="I151" s="274"/>
      <c r="N151" s="259" t="s">
        <v>122</v>
      </c>
      <c r="P151" s="259" t="s">
        <v>1554</v>
      </c>
      <c r="Q151" s="259" t="s">
        <v>2198</v>
      </c>
      <c r="R151" s="274">
        <v>44571.608101851853</v>
      </c>
      <c r="S151" s="321">
        <v>2021</v>
      </c>
      <c r="T151" s="259" t="s">
        <v>2001</v>
      </c>
      <c r="U151" s="259" t="s">
        <v>630</v>
      </c>
      <c r="V151" s="259" t="s">
        <v>631</v>
      </c>
      <c r="W151" s="259" t="s">
        <v>145</v>
      </c>
      <c r="X151" s="259" t="s">
        <v>309</v>
      </c>
      <c r="Y151" s="365">
        <v>44835</v>
      </c>
      <c r="Z151" s="259" t="s">
        <v>1875</v>
      </c>
      <c r="AA151" s="274"/>
      <c r="AB151" s="259" t="s">
        <v>139</v>
      </c>
      <c r="AC151" s="259" t="s">
        <v>1875</v>
      </c>
      <c r="AD151" s="259">
        <v>900</v>
      </c>
      <c r="AE151" s="259">
        <v>900</v>
      </c>
      <c r="AF151" s="274"/>
      <c r="AJ151" s="319" t="s">
        <v>2191</v>
      </c>
      <c r="AK151" s="274"/>
      <c r="AL151" s="319" t="s">
        <v>2190</v>
      </c>
      <c r="AM151" s="259" t="s">
        <v>1975</v>
      </c>
      <c r="AN151" s="259" t="b">
        <v>0</v>
      </c>
      <c r="AP151" s="274"/>
      <c r="AQ151" s="274"/>
      <c r="AR151" s="274"/>
      <c r="AT151" s="274"/>
      <c r="AU151" s="274"/>
      <c r="AZ151" s="274"/>
      <c r="BA151" s="259" t="s">
        <v>373</v>
      </c>
      <c r="BB151" s="259" t="s">
        <v>1610</v>
      </c>
      <c r="BC151" s="259" t="s">
        <v>2192</v>
      </c>
    </row>
    <row r="152" spans="1:55" ht="135">
      <c r="A152" s="259">
        <v>112</v>
      </c>
      <c r="B152" s="259" t="s">
        <v>2449</v>
      </c>
      <c r="C152" s="259" t="s">
        <v>2488</v>
      </c>
      <c r="D152" s="259" t="s">
        <v>8</v>
      </c>
      <c r="E152" s="259" t="s">
        <v>9</v>
      </c>
      <c r="F152" s="259" t="s">
        <v>1771</v>
      </c>
      <c r="G152" s="274">
        <v>44293</v>
      </c>
      <c r="H152" s="274"/>
      <c r="I152" s="274"/>
      <c r="N152" s="259" t="s">
        <v>122</v>
      </c>
      <c r="P152" s="259" t="s">
        <v>1554</v>
      </c>
      <c r="Q152" s="259" t="s">
        <v>2198</v>
      </c>
      <c r="R152" s="274">
        <v>44571.611678240741</v>
      </c>
      <c r="S152" s="321">
        <v>2021</v>
      </c>
      <c r="T152" s="259" t="s">
        <v>2001</v>
      </c>
      <c r="U152" s="259" t="s">
        <v>630</v>
      </c>
      <c r="V152" s="259" t="s">
        <v>631</v>
      </c>
      <c r="W152" s="259" t="s">
        <v>145</v>
      </c>
      <c r="X152" s="259" t="s">
        <v>309</v>
      </c>
      <c r="Y152" s="365">
        <v>44835</v>
      </c>
      <c r="Z152" s="259" t="s">
        <v>1875</v>
      </c>
      <c r="AA152" s="274"/>
      <c r="AB152" s="259" t="s">
        <v>139</v>
      </c>
      <c r="AC152" s="259" t="s">
        <v>1875</v>
      </c>
      <c r="AD152" s="259">
        <v>900</v>
      </c>
      <c r="AE152" s="259">
        <v>900</v>
      </c>
      <c r="AF152" s="274"/>
      <c r="AJ152" s="319" t="s">
        <v>2191</v>
      </c>
      <c r="AK152" s="274"/>
      <c r="AL152" s="319" t="s">
        <v>2190</v>
      </c>
      <c r="AM152" s="259" t="s">
        <v>1975</v>
      </c>
      <c r="AN152" s="259" t="b">
        <v>0</v>
      </c>
      <c r="AP152" s="274"/>
      <c r="AQ152" s="274"/>
      <c r="AR152" s="274"/>
      <c r="AT152" s="274"/>
      <c r="AU152" s="274"/>
      <c r="AZ152" s="274"/>
      <c r="BA152" s="259" t="s">
        <v>373</v>
      </c>
      <c r="BB152" s="259" t="s">
        <v>1610</v>
      </c>
      <c r="BC152" s="259" t="s">
        <v>2192</v>
      </c>
    </row>
    <row r="153" spans="1:55" ht="135">
      <c r="A153" s="259">
        <v>81</v>
      </c>
      <c r="B153" s="259" t="s">
        <v>2465</v>
      </c>
      <c r="C153" s="259" t="s">
        <v>2466</v>
      </c>
      <c r="D153" s="259" t="s">
        <v>8</v>
      </c>
      <c r="E153" s="259" t="s">
        <v>9</v>
      </c>
      <c r="F153" s="259" t="s">
        <v>1771</v>
      </c>
      <c r="G153" s="274">
        <v>44141</v>
      </c>
      <c r="H153" s="274"/>
      <c r="I153" s="274"/>
      <c r="N153" s="259" t="s">
        <v>122</v>
      </c>
      <c r="P153" s="259" t="s">
        <v>1554</v>
      </c>
      <c r="Q153" s="259" t="s">
        <v>2198</v>
      </c>
      <c r="R153" s="274">
        <v>44571.60527777778</v>
      </c>
      <c r="S153" s="321">
        <v>2020</v>
      </c>
      <c r="T153" s="259" t="s">
        <v>2001</v>
      </c>
      <c r="U153" s="259" t="s">
        <v>630</v>
      </c>
      <c r="V153" s="259" t="s">
        <v>631</v>
      </c>
      <c r="W153" s="259" t="s">
        <v>145</v>
      </c>
      <c r="X153" s="259" t="s">
        <v>309</v>
      </c>
      <c r="Y153" s="365">
        <v>44835</v>
      </c>
      <c r="Z153" s="259" t="s">
        <v>1875</v>
      </c>
      <c r="AA153" s="274"/>
      <c r="AB153" s="259" t="s">
        <v>139</v>
      </c>
      <c r="AC153" s="259" t="s">
        <v>1875</v>
      </c>
      <c r="AD153" s="259">
        <v>900</v>
      </c>
      <c r="AE153" s="259">
        <v>900</v>
      </c>
      <c r="AF153" s="274"/>
      <c r="AJ153" s="319" t="s">
        <v>2191</v>
      </c>
      <c r="AK153" s="274"/>
      <c r="AL153" s="319" t="s">
        <v>2190</v>
      </c>
      <c r="AM153" s="259" t="s">
        <v>1975</v>
      </c>
      <c r="AN153" s="259" t="b">
        <v>0</v>
      </c>
      <c r="AP153" s="274"/>
      <c r="AQ153" s="274"/>
      <c r="AR153" s="274"/>
      <c r="AT153" s="274"/>
      <c r="AU153" s="274"/>
      <c r="AZ153" s="274"/>
      <c r="BA153" s="259" t="s">
        <v>373</v>
      </c>
      <c r="BB153" s="259" t="s">
        <v>1610</v>
      </c>
      <c r="BC153" s="259" t="s">
        <v>2192</v>
      </c>
    </row>
    <row r="154" spans="1:55" ht="135">
      <c r="A154" s="259">
        <v>374</v>
      </c>
      <c r="B154" s="259" t="s">
        <v>2840</v>
      </c>
      <c r="C154" s="259" t="s">
        <v>2841</v>
      </c>
      <c r="D154" s="259" t="s">
        <v>8</v>
      </c>
      <c r="E154" s="259" t="s">
        <v>9</v>
      </c>
      <c r="F154" s="259" t="s">
        <v>1771</v>
      </c>
      <c r="G154" s="274">
        <v>44834</v>
      </c>
      <c r="H154" s="274"/>
      <c r="I154" s="274"/>
      <c r="N154" s="259" t="s">
        <v>122</v>
      </c>
      <c r="P154" s="259" t="s">
        <v>1554</v>
      </c>
      <c r="Q154" s="259" t="s">
        <v>2198</v>
      </c>
      <c r="R154" s="274">
        <v>44630.551006944443</v>
      </c>
      <c r="S154" s="321">
        <v>2022</v>
      </c>
      <c r="T154" s="259" t="s">
        <v>2001</v>
      </c>
      <c r="U154" s="259" t="s">
        <v>630</v>
      </c>
      <c r="V154" s="259" t="s">
        <v>631</v>
      </c>
      <c r="W154" s="259" t="s">
        <v>145</v>
      </c>
      <c r="X154" s="259" t="s">
        <v>309</v>
      </c>
      <c r="Y154" s="365">
        <v>44835</v>
      </c>
      <c r="Z154" s="259" t="s">
        <v>1875</v>
      </c>
      <c r="AA154" s="274"/>
      <c r="AB154" s="259" t="s">
        <v>139</v>
      </c>
      <c r="AC154" s="259" t="s">
        <v>1875</v>
      </c>
      <c r="AD154" s="259">
        <v>900</v>
      </c>
      <c r="AE154" s="259">
        <v>900</v>
      </c>
      <c r="AF154" s="274"/>
      <c r="AJ154" s="319" t="s">
        <v>2191</v>
      </c>
      <c r="AK154" s="274"/>
      <c r="AL154" s="319" t="s">
        <v>2190</v>
      </c>
      <c r="AM154" s="259" t="s">
        <v>1975</v>
      </c>
      <c r="AN154" s="259" t="b">
        <v>0</v>
      </c>
      <c r="AP154" s="274"/>
      <c r="AQ154" s="274"/>
      <c r="AR154" s="274"/>
      <c r="AT154" s="274"/>
      <c r="AU154" s="274"/>
      <c r="AZ154" s="274"/>
      <c r="BA154" s="259" t="s">
        <v>373</v>
      </c>
      <c r="BB154" s="259" t="s">
        <v>1610</v>
      </c>
      <c r="BC154" s="259" t="s">
        <v>2192</v>
      </c>
    </row>
    <row r="155" spans="1:55" ht="135">
      <c r="A155" s="259">
        <v>71</v>
      </c>
      <c r="B155" s="259" t="s">
        <v>2459</v>
      </c>
      <c r="C155" s="259" t="s">
        <v>2460</v>
      </c>
      <c r="D155" s="259" t="s">
        <v>8</v>
      </c>
      <c r="E155" s="259" t="s">
        <v>9</v>
      </c>
      <c r="F155" s="259" t="s">
        <v>1771</v>
      </c>
      <c r="G155" s="274">
        <v>44105</v>
      </c>
      <c r="H155" s="274">
        <v>44155</v>
      </c>
      <c r="I155" s="274"/>
      <c r="N155" s="259" t="s">
        <v>122</v>
      </c>
      <c r="P155" s="259" t="s">
        <v>1554</v>
      </c>
      <c r="Q155" s="259" t="s">
        <v>2198</v>
      </c>
      <c r="R155" s="274">
        <v>44571.600127314814</v>
      </c>
      <c r="S155" s="321">
        <v>2020</v>
      </c>
      <c r="T155" s="259" t="s">
        <v>2001</v>
      </c>
      <c r="U155" s="259" t="s">
        <v>630</v>
      </c>
      <c r="V155" s="259" t="s">
        <v>631</v>
      </c>
      <c r="W155" s="259" t="s">
        <v>145</v>
      </c>
      <c r="X155" s="259" t="s">
        <v>309</v>
      </c>
      <c r="Y155" s="365">
        <v>44835</v>
      </c>
      <c r="Z155" s="259" t="s">
        <v>1875</v>
      </c>
      <c r="AA155" s="274"/>
      <c r="AB155" s="259" t="s">
        <v>139</v>
      </c>
      <c r="AC155" s="259" t="s">
        <v>1875</v>
      </c>
      <c r="AD155" s="259">
        <v>900</v>
      </c>
      <c r="AE155" s="259">
        <v>900</v>
      </c>
      <c r="AF155" s="274"/>
      <c r="AJ155" s="319" t="s">
        <v>2191</v>
      </c>
      <c r="AK155" s="274"/>
      <c r="AL155" s="319" t="s">
        <v>2190</v>
      </c>
      <c r="AM155" s="259" t="s">
        <v>1975</v>
      </c>
      <c r="AN155" s="259" t="b">
        <v>0</v>
      </c>
      <c r="AP155" s="274"/>
      <c r="AQ155" s="274"/>
      <c r="AR155" s="274"/>
      <c r="AT155" s="274"/>
      <c r="AU155" s="274"/>
      <c r="AZ155" s="274"/>
      <c r="BA155" s="259" t="s">
        <v>373</v>
      </c>
      <c r="BB155" s="259" t="s">
        <v>1610</v>
      </c>
      <c r="BC155" s="259" t="s">
        <v>2192</v>
      </c>
    </row>
    <row r="156" spans="1:55" ht="135">
      <c r="A156" s="259">
        <v>99</v>
      </c>
      <c r="B156" s="259" t="s">
        <v>2480</v>
      </c>
      <c r="C156" s="259" t="s">
        <v>2481</v>
      </c>
      <c r="D156" s="259" t="s">
        <v>8</v>
      </c>
      <c r="E156" s="259" t="s">
        <v>9</v>
      </c>
      <c r="F156" s="259" t="s">
        <v>1771</v>
      </c>
      <c r="G156" s="274">
        <v>44258</v>
      </c>
      <c r="H156" s="274"/>
      <c r="I156" s="274"/>
      <c r="N156" s="259" t="s">
        <v>122</v>
      </c>
      <c r="P156" s="259" t="s">
        <v>1554</v>
      </c>
      <c r="Q156" s="259" t="s">
        <v>2198</v>
      </c>
      <c r="R156" s="274">
        <v>44571.608680555553</v>
      </c>
      <c r="S156" s="321">
        <v>2021</v>
      </c>
      <c r="T156" s="259" t="s">
        <v>2001</v>
      </c>
      <c r="U156" s="259" t="s">
        <v>630</v>
      </c>
      <c r="V156" s="259" t="s">
        <v>631</v>
      </c>
      <c r="W156" s="259" t="s">
        <v>145</v>
      </c>
      <c r="X156" s="259" t="s">
        <v>309</v>
      </c>
      <c r="Y156" s="365">
        <v>44835</v>
      </c>
      <c r="Z156" s="259" t="s">
        <v>1875</v>
      </c>
      <c r="AA156" s="274"/>
      <c r="AB156" s="259" t="s">
        <v>139</v>
      </c>
      <c r="AC156" s="259" t="s">
        <v>1875</v>
      </c>
      <c r="AD156" s="259">
        <v>900</v>
      </c>
      <c r="AE156" s="259">
        <v>900</v>
      </c>
      <c r="AF156" s="274"/>
      <c r="AJ156" s="319" t="s">
        <v>2191</v>
      </c>
      <c r="AK156" s="274"/>
      <c r="AL156" s="319" t="s">
        <v>2190</v>
      </c>
      <c r="AM156" s="259" t="s">
        <v>1975</v>
      </c>
      <c r="AN156" s="259" t="b">
        <v>0</v>
      </c>
      <c r="AP156" s="274"/>
      <c r="AQ156" s="274"/>
      <c r="AR156" s="274"/>
      <c r="AT156" s="274"/>
      <c r="AU156" s="274"/>
      <c r="AZ156" s="274"/>
      <c r="BA156" s="259" t="s">
        <v>373</v>
      </c>
      <c r="BB156" s="259" t="s">
        <v>1610</v>
      </c>
      <c r="BC156" s="259" t="s">
        <v>2192</v>
      </c>
    </row>
    <row r="157" spans="1:55" ht="135">
      <c r="A157" s="259">
        <v>193</v>
      </c>
      <c r="B157" s="259" t="s">
        <v>2473</v>
      </c>
      <c r="C157" s="259" t="s">
        <v>2512</v>
      </c>
      <c r="D157" s="259" t="s">
        <v>8</v>
      </c>
      <c r="E157" s="259" t="s">
        <v>9</v>
      </c>
      <c r="F157" s="259" t="s">
        <v>1771</v>
      </c>
      <c r="G157" s="274">
        <v>44509</v>
      </c>
      <c r="H157" s="274"/>
      <c r="I157" s="274"/>
      <c r="N157" s="259" t="s">
        <v>122</v>
      </c>
      <c r="P157" s="259" t="s">
        <v>1554</v>
      </c>
      <c r="Q157" s="259" t="s">
        <v>2198</v>
      </c>
      <c r="R157" s="274">
        <v>44571.618657407409</v>
      </c>
      <c r="S157" s="321">
        <v>2021</v>
      </c>
      <c r="T157" s="259" t="s">
        <v>2001</v>
      </c>
      <c r="U157" s="259" t="s">
        <v>630</v>
      </c>
      <c r="V157" s="259" t="s">
        <v>631</v>
      </c>
      <c r="W157" s="259" t="s">
        <v>145</v>
      </c>
      <c r="X157" s="259" t="s">
        <v>309</v>
      </c>
      <c r="Y157" s="365">
        <v>44835</v>
      </c>
      <c r="Z157" s="259" t="s">
        <v>1875</v>
      </c>
      <c r="AA157" s="274"/>
      <c r="AB157" s="259" t="s">
        <v>139</v>
      </c>
      <c r="AC157" s="259" t="s">
        <v>1875</v>
      </c>
      <c r="AD157" s="259">
        <v>900</v>
      </c>
      <c r="AE157" s="259">
        <v>900</v>
      </c>
      <c r="AF157" s="274"/>
      <c r="AJ157" s="319" t="s">
        <v>2191</v>
      </c>
      <c r="AK157" s="274"/>
      <c r="AL157" s="319" t="s">
        <v>2190</v>
      </c>
      <c r="AM157" s="259" t="s">
        <v>1975</v>
      </c>
      <c r="AN157" s="259" t="b">
        <v>0</v>
      </c>
      <c r="AP157" s="274"/>
      <c r="AQ157" s="274"/>
      <c r="AR157" s="274"/>
      <c r="AT157" s="274"/>
      <c r="AU157" s="274"/>
      <c r="AZ157" s="274"/>
      <c r="BA157" s="259" t="s">
        <v>373</v>
      </c>
      <c r="BB157" s="259" t="s">
        <v>1610</v>
      </c>
      <c r="BC157" s="259" t="s">
        <v>2192</v>
      </c>
    </row>
    <row r="158" spans="1:55" ht="135">
      <c r="A158" s="259">
        <v>101</v>
      </c>
      <c r="B158" s="259" t="s">
        <v>2482</v>
      </c>
      <c r="C158" s="259" t="s">
        <v>2483</v>
      </c>
      <c r="D158" s="259" t="s">
        <v>8</v>
      </c>
      <c r="E158" s="259" t="s">
        <v>9</v>
      </c>
      <c r="F158" s="259" t="s">
        <v>1771</v>
      </c>
      <c r="G158" s="274">
        <v>44261</v>
      </c>
      <c r="H158" s="274"/>
      <c r="I158" s="274"/>
      <c r="N158" s="259" t="s">
        <v>122</v>
      </c>
      <c r="P158" s="259" t="s">
        <v>1554</v>
      </c>
      <c r="Q158" s="259" t="s">
        <v>2198</v>
      </c>
      <c r="R158" s="274">
        <v>44571.609212962961</v>
      </c>
      <c r="S158" s="321">
        <v>2021</v>
      </c>
      <c r="T158" s="259" t="s">
        <v>2001</v>
      </c>
      <c r="U158" s="259" t="s">
        <v>630</v>
      </c>
      <c r="V158" s="259" t="s">
        <v>631</v>
      </c>
      <c r="W158" s="259" t="s">
        <v>145</v>
      </c>
      <c r="X158" s="259" t="s">
        <v>309</v>
      </c>
      <c r="Y158" s="365">
        <v>44835</v>
      </c>
      <c r="Z158" s="259" t="s">
        <v>1875</v>
      </c>
      <c r="AA158" s="274"/>
      <c r="AB158" s="259" t="s">
        <v>139</v>
      </c>
      <c r="AC158" s="259" t="s">
        <v>1875</v>
      </c>
      <c r="AD158" s="259">
        <v>900</v>
      </c>
      <c r="AE158" s="259">
        <v>900</v>
      </c>
      <c r="AF158" s="274"/>
      <c r="AJ158" s="319" t="s">
        <v>2191</v>
      </c>
      <c r="AK158" s="274"/>
      <c r="AL158" s="319" t="s">
        <v>2190</v>
      </c>
      <c r="AM158" s="259" t="s">
        <v>1975</v>
      </c>
      <c r="AN158" s="259" t="b">
        <v>0</v>
      </c>
      <c r="AP158" s="274"/>
      <c r="AQ158" s="274"/>
      <c r="AR158" s="274"/>
      <c r="AT158" s="274"/>
      <c r="AU158" s="274"/>
      <c r="AZ158" s="274"/>
      <c r="BA158" s="259" t="s">
        <v>373</v>
      </c>
      <c r="BB158" s="259" t="s">
        <v>1610</v>
      </c>
      <c r="BC158" s="259" t="s">
        <v>2192</v>
      </c>
    </row>
    <row r="159" spans="1:55" ht="135">
      <c r="A159" s="259">
        <v>109</v>
      </c>
      <c r="B159" s="259" t="s">
        <v>2486</v>
      </c>
      <c r="C159" s="259" t="s">
        <v>2487</v>
      </c>
      <c r="D159" s="259" t="s">
        <v>8</v>
      </c>
      <c r="E159" s="259" t="s">
        <v>9</v>
      </c>
      <c r="F159" s="259" t="s">
        <v>1771</v>
      </c>
      <c r="G159" s="274">
        <v>44286</v>
      </c>
      <c r="H159" s="274"/>
      <c r="I159" s="274"/>
      <c r="N159" s="259" t="s">
        <v>122</v>
      </c>
      <c r="P159" s="259" t="s">
        <v>1554</v>
      </c>
      <c r="Q159" s="259" t="s">
        <v>2198</v>
      </c>
      <c r="R159" s="274">
        <v>44571.610243055555</v>
      </c>
      <c r="S159" s="321">
        <v>2021</v>
      </c>
      <c r="T159" s="259" t="s">
        <v>2001</v>
      </c>
      <c r="U159" s="259" t="s">
        <v>630</v>
      </c>
      <c r="V159" s="259" t="s">
        <v>631</v>
      </c>
      <c r="W159" s="259" t="s">
        <v>145</v>
      </c>
      <c r="X159" s="259" t="s">
        <v>309</v>
      </c>
      <c r="Y159" s="365">
        <v>44835</v>
      </c>
      <c r="Z159" s="259" t="s">
        <v>1875</v>
      </c>
      <c r="AA159" s="274"/>
      <c r="AB159" s="259" t="s">
        <v>139</v>
      </c>
      <c r="AC159" s="259" t="s">
        <v>1875</v>
      </c>
      <c r="AD159" s="259">
        <v>900</v>
      </c>
      <c r="AE159" s="259">
        <v>900</v>
      </c>
      <c r="AF159" s="274"/>
      <c r="AJ159" s="319" t="s">
        <v>2191</v>
      </c>
      <c r="AK159" s="274"/>
      <c r="AL159" s="319" t="s">
        <v>2190</v>
      </c>
      <c r="AM159" s="259" t="s">
        <v>1975</v>
      </c>
      <c r="AN159" s="259" t="b">
        <v>0</v>
      </c>
      <c r="AP159" s="274"/>
      <c r="AQ159" s="274"/>
      <c r="AR159" s="274"/>
      <c r="AT159" s="274"/>
      <c r="AU159" s="274"/>
      <c r="AZ159" s="274"/>
      <c r="BA159" s="259" t="s">
        <v>373</v>
      </c>
      <c r="BB159" s="259" t="s">
        <v>1610</v>
      </c>
      <c r="BC159" s="259" t="s">
        <v>2192</v>
      </c>
    </row>
    <row r="160" spans="1:55" ht="135">
      <c r="A160" s="259">
        <v>194</v>
      </c>
      <c r="B160" s="259" t="s">
        <v>2513</v>
      </c>
      <c r="C160" s="259" t="s">
        <v>2514</v>
      </c>
      <c r="D160" s="259" t="s">
        <v>8</v>
      </c>
      <c r="E160" s="259" t="s">
        <v>9</v>
      </c>
      <c r="F160" s="259" t="s">
        <v>1771</v>
      </c>
      <c r="G160" s="274">
        <v>44510</v>
      </c>
      <c r="H160" s="274"/>
      <c r="I160" s="274"/>
      <c r="N160" s="259" t="s">
        <v>122</v>
      </c>
      <c r="P160" s="259" t="s">
        <v>1554</v>
      </c>
      <c r="Q160" s="259" t="s">
        <v>2198</v>
      </c>
      <c r="R160" s="274">
        <v>44571.619062500002</v>
      </c>
      <c r="S160" s="321">
        <v>2021</v>
      </c>
      <c r="T160" s="259" t="s">
        <v>2001</v>
      </c>
      <c r="U160" s="259" t="s">
        <v>630</v>
      </c>
      <c r="V160" s="259" t="s">
        <v>631</v>
      </c>
      <c r="W160" s="259" t="s">
        <v>145</v>
      </c>
      <c r="X160" s="259" t="s">
        <v>309</v>
      </c>
      <c r="Y160" s="365">
        <v>44835</v>
      </c>
      <c r="Z160" s="259" t="s">
        <v>1875</v>
      </c>
      <c r="AA160" s="274"/>
      <c r="AB160" s="259" t="s">
        <v>139</v>
      </c>
      <c r="AC160" s="259" t="s">
        <v>1875</v>
      </c>
      <c r="AD160" s="259">
        <v>900</v>
      </c>
      <c r="AE160" s="259">
        <v>900</v>
      </c>
      <c r="AF160" s="274"/>
      <c r="AJ160" s="319" t="s">
        <v>2191</v>
      </c>
      <c r="AK160" s="274"/>
      <c r="AL160" s="319" t="s">
        <v>2190</v>
      </c>
      <c r="AM160" s="259" t="s">
        <v>1975</v>
      </c>
      <c r="AN160" s="259" t="b">
        <v>0</v>
      </c>
      <c r="AP160" s="274"/>
      <c r="AQ160" s="274"/>
      <c r="AR160" s="274"/>
      <c r="AT160" s="274"/>
      <c r="AU160" s="274"/>
      <c r="AZ160" s="274"/>
      <c r="BA160" s="259" t="s">
        <v>373</v>
      </c>
      <c r="BB160" s="259" t="s">
        <v>1610</v>
      </c>
      <c r="BC160" s="259" t="s">
        <v>2192</v>
      </c>
    </row>
    <row r="161" spans="1:55" ht="135">
      <c r="A161" s="259">
        <v>102</v>
      </c>
      <c r="B161" s="259" t="s">
        <v>2484</v>
      </c>
      <c r="C161" s="259" t="s">
        <v>2485</v>
      </c>
      <c r="D161" s="259" t="s">
        <v>8</v>
      </c>
      <c r="E161" s="259" t="s">
        <v>9</v>
      </c>
      <c r="F161" s="259" t="s">
        <v>1771</v>
      </c>
      <c r="G161" s="274">
        <v>44263</v>
      </c>
      <c r="H161" s="274"/>
      <c r="I161" s="274"/>
      <c r="N161" s="259" t="s">
        <v>122</v>
      </c>
      <c r="P161" s="259" t="s">
        <v>1554</v>
      </c>
      <c r="Q161" s="259" t="s">
        <v>2198</v>
      </c>
      <c r="R161" s="274">
        <v>44571.609756944446</v>
      </c>
      <c r="S161" s="321">
        <v>2021</v>
      </c>
      <c r="T161" s="259" t="s">
        <v>2001</v>
      </c>
      <c r="U161" s="259" t="s">
        <v>630</v>
      </c>
      <c r="V161" s="259" t="s">
        <v>631</v>
      </c>
      <c r="W161" s="259" t="s">
        <v>145</v>
      </c>
      <c r="X161" s="259" t="s">
        <v>309</v>
      </c>
      <c r="Y161" s="365">
        <v>44835</v>
      </c>
      <c r="Z161" s="259" t="s">
        <v>1875</v>
      </c>
      <c r="AA161" s="274"/>
      <c r="AB161" s="259" t="s">
        <v>139</v>
      </c>
      <c r="AC161" s="259" t="s">
        <v>1875</v>
      </c>
      <c r="AD161" s="259">
        <v>900</v>
      </c>
      <c r="AE161" s="259">
        <v>900</v>
      </c>
      <c r="AF161" s="274"/>
      <c r="AJ161" s="319" t="s">
        <v>2191</v>
      </c>
      <c r="AK161" s="274"/>
      <c r="AL161" s="319" t="s">
        <v>2190</v>
      </c>
      <c r="AM161" s="259" t="s">
        <v>1975</v>
      </c>
      <c r="AN161" s="259" t="b">
        <v>0</v>
      </c>
      <c r="AP161" s="274"/>
      <c r="AQ161" s="274"/>
      <c r="AR161" s="274"/>
      <c r="AT161" s="274"/>
      <c r="AU161" s="274"/>
      <c r="AZ161" s="274"/>
      <c r="BA161" s="259" t="s">
        <v>373</v>
      </c>
      <c r="BB161" s="259" t="s">
        <v>1610</v>
      </c>
      <c r="BC161" s="259" t="s">
        <v>2192</v>
      </c>
    </row>
    <row r="162" spans="1:55" ht="135">
      <c r="A162" s="259">
        <v>186</v>
      </c>
      <c r="B162" s="259" t="s">
        <v>2509</v>
      </c>
      <c r="C162" s="259" t="s">
        <v>2510</v>
      </c>
      <c r="D162" s="259" t="s">
        <v>8</v>
      </c>
      <c r="E162" s="259" t="s">
        <v>9</v>
      </c>
      <c r="F162" s="259" t="s">
        <v>1771</v>
      </c>
      <c r="G162" s="274">
        <v>44490</v>
      </c>
      <c r="H162" s="274"/>
      <c r="I162" s="274"/>
      <c r="N162" s="259" t="s">
        <v>122</v>
      </c>
      <c r="P162" s="259" t="s">
        <v>1554</v>
      </c>
      <c r="Q162" s="259" t="s">
        <v>2198</v>
      </c>
      <c r="R162" s="274">
        <v>44571.616898148146</v>
      </c>
      <c r="S162" s="321">
        <v>2021</v>
      </c>
      <c r="T162" s="259" t="s">
        <v>2001</v>
      </c>
      <c r="U162" s="259" t="s">
        <v>630</v>
      </c>
      <c r="V162" s="259" t="s">
        <v>631</v>
      </c>
      <c r="W162" s="259" t="s">
        <v>145</v>
      </c>
      <c r="X162" s="259" t="s">
        <v>309</v>
      </c>
      <c r="Y162" s="365">
        <v>44835</v>
      </c>
      <c r="Z162" s="259" t="s">
        <v>1875</v>
      </c>
      <c r="AA162" s="274"/>
      <c r="AB162" s="259" t="s">
        <v>139</v>
      </c>
      <c r="AC162" s="259" t="s">
        <v>1875</v>
      </c>
      <c r="AD162" s="259">
        <v>900</v>
      </c>
      <c r="AE162" s="259">
        <v>900</v>
      </c>
      <c r="AF162" s="274"/>
      <c r="AJ162" s="319" t="s">
        <v>2191</v>
      </c>
      <c r="AK162" s="274"/>
      <c r="AL162" s="319" t="s">
        <v>2190</v>
      </c>
      <c r="AM162" s="259" t="s">
        <v>1975</v>
      </c>
      <c r="AN162" s="259" t="b">
        <v>0</v>
      </c>
      <c r="AP162" s="274"/>
      <c r="AQ162" s="274"/>
      <c r="AR162" s="274"/>
      <c r="AT162" s="274"/>
      <c r="AU162" s="274"/>
      <c r="AZ162" s="274"/>
      <c r="BA162" s="259" t="s">
        <v>373</v>
      </c>
      <c r="BB162" s="259" t="s">
        <v>1610</v>
      </c>
      <c r="BC162" s="259" t="s">
        <v>2192</v>
      </c>
    </row>
    <row r="163" spans="1:55" ht="135">
      <c r="A163" s="259">
        <v>83</v>
      </c>
      <c r="B163" s="259" t="s">
        <v>2469</v>
      </c>
      <c r="C163" s="259" t="s">
        <v>2470</v>
      </c>
      <c r="D163" s="259" t="s">
        <v>8</v>
      </c>
      <c r="E163" s="259" t="s">
        <v>9</v>
      </c>
      <c r="F163" s="259" t="s">
        <v>1771</v>
      </c>
      <c r="G163" s="274">
        <v>44152</v>
      </c>
      <c r="H163" s="274"/>
      <c r="I163" s="274"/>
      <c r="N163" s="259" t="s">
        <v>122</v>
      </c>
      <c r="P163" s="259" t="s">
        <v>1554</v>
      </c>
      <c r="Q163" s="259" t="s">
        <v>2198</v>
      </c>
      <c r="R163" s="274">
        <v>44571.606238425928</v>
      </c>
      <c r="S163" s="321">
        <v>2020</v>
      </c>
      <c r="T163" s="259" t="s">
        <v>2001</v>
      </c>
      <c r="U163" s="259" t="s">
        <v>630</v>
      </c>
      <c r="V163" s="259" t="s">
        <v>631</v>
      </c>
      <c r="W163" s="259" t="s">
        <v>145</v>
      </c>
      <c r="X163" s="259" t="s">
        <v>309</v>
      </c>
      <c r="Y163" s="365">
        <v>44835</v>
      </c>
      <c r="Z163" s="259" t="s">
        <v>1875</v>
      </c>
      <c r="AA163" s="274"/>
      <c r="AB163" s="259" t="s">
        <v>139</v>
      </c>
      <c r="AC163" s="259" t="s">
        <v>1875</v>
      </c>
      <c r="AD163" s="259">
        <v>900</v>
      </c>
      <c r="AE163" s="259">
        <v>900</v>
      </c>
      <c r="AF163" s="274"/>
      <c r="AJ163" s="319" t="s">
        <v>2191</v>
      </c>
      <c r="AK163" s="274"/>
      <c r="AL163" s="319" t="s">
        <v>2190</v>
      </c>
      <c r="AM163" s="259" t="s">
        <v>1975</v>
      </c>
      <c r="AN163" s="259" t="b">
        <v>0</v>
      </c>
      <c r="AP163" s="274"/>
      <c r="AQ163" s="274"/>
      <c r="AR163" s="274"/>
      <c r="AT163" s="274"/>
      <c r="AU163" s="274"/>
      <c r="AZ163" s="274"/>
      <c r="BA163" s="259" t="s">
        <v>373</v>
      </c>
      <c r="BB163" s="259" t="s">
        <v>1610</v>
      </c>
      <c r="BC163" s="259" t="s">
        <v>2192</v>
      </c>
    </row>
    <row r="164" spans="1:55" ht="135">
      <c r="A164" s="259">
        <v>124</v>
      </c>
      <c r="B164" s="259" t="s">
        <v>2493</v>
      </c>
      <c r="C164" s="259" t="s">
        <v>2494</v>
      </c>
      <c r="D164" s="259" t="s">
        <v>8</v>
      </c>
      <c r="E164" s="259" t="s">
        <v>9</v>
      </c>
      <c r="F164" s="259" t="s">
        <v>1771</v>
      </c>
      <c r="G164" s="274">
        <v>44335</v>
      </c>
      <c r="H164" s="274"/>
      <c r="I164" s="274"/>
      <c r="N164" s="259" t="s">
        <v>122</v>
      </c>
      <c r="P164" s="259" t="s">
        <v>1554</v>
      </c>
      <c r="Q164" s="259" t="s">
        <v>2198</v>
      </c>
      <c r="R164" s="274">
        <v>44571.613032407404</v>
      </c>
      <c r="S164" s="321">
        <v>2021</v>
      </c>
      <c r="T164" s="259" t="s">
        <v>2001</v>
      </c>
      <c r="U164" s="259" t="s">
        <v>630</v>
      </c>
      <c r="V164" s="259" t="s">
        <v>631</v>
      </c>
      <c r="W164" s="259" t="s">
        <v>145</v>
      </c>
      <c r="X164" s="259" t="s">
        <v>309</v>
      </c>
      <c r="Y164" s="365">
        <v>44835</v>
      </c>
      <c r="Z164" s="259" t="s">
        <v>1875</v>
      </c>
      <c r="AA164" s="274"/>
      <c r="AB164" s="259" t="s">
        <v>139</v>
      </c>
      <c r="AC164" s="259" t="s">
        <v>1875</v>
      </c>
      <c r="AD164" s="259">
        <v>900</v>
      </c>
      <c r="AE164" s="259">
        <v>900</v>
      </c>
      <c r="AF164" s="274"/>
      <c r="AJ164" s="319" t="s">
        <v>2191</v>
      </c>
      <c r="AK164" s="274"/>
      <c r="AL164" s="319" t="s">
        <v>2190</v>
      </c>
      <c r="AM164" s="259" t="s">
        <v>1975</v>
      </c>
      <c r="AN164" s="259" t="b">
        <v>0</v>
      </c>
      <c r="AP164" s="274"/>
      <c r="AQ164" s="274"/>
      <c r="AR164" s="274"/>
      <c r="AT164" s="274"/>
      <c r="AU164" s="274"/>
      <c r="AZ164" s="274"/>
      <c r="BA164" s="259" t="s">
        <v>373</v>
      </c>
      <c r="BB164" s="259" t="s">
        <v>1610</v>
      </c>
      <c r="BC164" s="259" t="s">
        <v>2192</v>
      </c>
    </row>
    <row r="165" spans="1:55" ht="135">
      <c r="A165" s="259">
        <v>82</v>
      </c>
      <c r="B165" s="259" t="s">
        <v>2467</v>
      </c>
      <c r="C165" s="259" t="s">
        <v>2468</v>
      </c>
      <c r="D165" s="259" t="s">
        <v>8</v>
      </c>
      <c r="E165" s="259" t="s">
        <v>9</v>
      </c>
      <c r="F165" s="259" t="s">
        <v>1771</v>
      </c>
      <c r="G165" s="274">
        <v>44151</v>
      </c>
      <c r="H165" s="274"/>
      <c r="I165" s="274"/>
      <c r="N165" s="259" t="s">
        <v>122</v>
      </c>
      <c r="P165" s="259" t="s">
        <v>1554</v>
      </c>
      <c r="Q165" s="259" t="s">
        <v>2198</v>
      </c>
      <c r="R165" s="274">
        <v>44571.605694444443</v>
      </c>
      <c r="S165" s="321">
        <v>2020</v>
      </c>
      <c r="T165" s="259" t="s">
        <v>2001</v>
      </c>
      <c r="U165" s="259" t="s">
        <v>630</v>
      </c>
      <c r="V165" s="259" t="s">
        <v>631</v>
      </c>
      <c r="W165" s="259" t="s">
        <v>145</v>
      </c>
      <c r="X165" s="259" t="s">
        <v>309</v>
      </c>
      <c r="Y165" s="365">
        <v>44835</v>
      </c>
      <c r="Z165" s="259" t="s">
        <v>1875</v>
      </c>
      <c r="AA165" s="274"/>
      <c r="AB165" s="259" t="s">
        <v>139</v>
      </c>
      <c r="AC165" s="259" t="s">
        <v>1875</v>
      </c>
      <c r="AD165" s="259">
        <v>900</v>
      </c>
      <c r="AE165" s="259">
        <v>900</v>
      </c>
      <c r="AF165" s="274"/>
      <c r="AJ165" s="319" t="s">
        <v>2191</v>
      </c>
      <c r="AK165" s="274"/>
      <c r="AL165" s="319" t="s">
        <v>2190</v>
      </c>
      <c r="AM165" s="259" t="s">
        <v>1975</v>
      </c>
      <c r="AN165" s="259" t="b">
        <v>0</v>
      </c>
      <c r="AP165" s="274"/>
      <c r="AQ165" s="274"/>
      <c r="AR165" s="274"/>
      <c r="AT165" s="274"/>
      <c r="AU165" s="274"/>
      <c r="AZ165" s="274"/>
      <c r="BA165" s="259" t="s">
        <v>373</v>
      </c>
      <c r="BB165" s="259" t="s">
        <v>1610</v>
      </c>
      <c r="BC165" s="259" t="s">
        <v>2192</v>
      </c>
    </row>
    <row r="166" spans="1:55" ht="135">
      <c r="A166" s="259">
        <v>135</v>
      </c>
      <c r="B166" s="259" t="s">
        <v>2497</v>
      </c>
      <c r="C166" s="259" t="s">
        <v>2498</v>
      </c>
      <c r="D166" s="259" t="s">
        <v>8</v>
      </c>
      <c r="E166" s="259" t="s">
        <v>9</v>
      </c>
      <c r="F166" s="259" t="s">
        <v>1771</v>
      </c>
      <c r="G166" s="274">
        <v>44361</v>
      </c>
      <c r="H166" s="274"/>
      <c r="I166" s="274"/>
      <c r="N166" s="259" t="s">
        <v>122</v>
      </c>
      <c r="P166" s="259" t="s">
        <v>1554</v>
      </c>
      <c r="Q166" s="259" t="s">
        <v>2198</v>
      </c>
      <c r="R166" s="274">
        <v>44571.613900462966</v>
      </c>
      <c r="S166" s="321">
        <v>2021</v>
      </c>
      <c r="T166" s="259" t="s">
        <v>2001</v>
      </c>
      <c r="U166" s="259" t="s">
        <v>630</v>
      </c>
      <c r="V166" s="259" t="s">
        <v>631</v>
      </c>
      <c r="W166" s="259" t="s">
        <v>145</v>
      </c>
      <c r="X166" s="259" t="s">
        <v>309</v>
      </c>
      <c r="Y166" s="365">
        <v>44835</v>
      </c>
      <c r="Z166" s="259" t="s">
        <v>1875</v>
      </c>
      <c r="AA166" s="274"/>
      <c r="AB166" s="259" t="s">
        <v>139</v>
      </c>
      <c r="AC166" s="259" t="s">
        <v>1875</v>
      </c>
      <c r="AD166" s="259">
        <v>900</v>
      </c>
      <c r="AE166" s="259">
        <v>900</v>
      </c>
      <c r="AF166" s="274"/>
      <c r="AJ166" s="319" t="s">
        <v>2191</v>
      </c>
      <c r="AK166" s="274"/>
      <c r="AL166" s="319" t="s">
        <v>2190</v>
      </c>
      <c r="AM166" s="259" t="s">
        <v>1975</v>
      </c>
      <c r="AN166" s="259" t="b">
        <v>0</v>
      </c>
      <c r="AP166" s="274"/>
      <c r="AQ166" s="274"/>
      <c r="AR166" s="274"/>
      <c r="AT166" s="274"/>
      <c r="AU166" s="274"/>
      <c r="AZ166" s="274"/>
      <c r="BA166" s="259" t="s">
        <v>373</v>
      </c>
      <c r="BB166" s="259" t="s">
        <v>1610</v>
      </c>
      <c r="BC166" s="259" t="s">
        <v>2192</v>
      </c>
    </row>
    <row r="167" spans="1:55" ht="135">
      <c r="A167" s="259">
        <v>137</v>
      </c>
      <c r="B167" s="259" t="s">
        <v>2499</v>
      </c>
      <c r="C167" s="259" t="s">
        <v>2500</v>
      </c>
      <c r="D167" s="259" t="s">
        <v>8</v>
      </c>
      <c r="E167" s="259" t="s">
        <v>9</v>
      </c>
      <c r="F167" s="259" t="s">
        <v>1771</v>
      </c>
      <c r="G167" s="274">
        <v>44364</v>
      </c>
      <c r="H167" s="274"/>
      <c r="I167" s="274"/>
      <c r="N167" s="259" t="s">
        <v>122</v>
      </c>
      <c r="P167" s="259" t="s">
        <v>1554</v>
      </c>
      <c r="Q167" s="259" t="s">
        <v>2198</v>
      </c>
      <c r="R167" s="274">
        <v>44571.614363425928</v>
      </c>
      <c r="S167" s="321">
        <v>2021</v>
      </c>
      <c r="T167" s="259" t="s">
        <v>2001</v>
      </c>
      <c r="U167" s="259" t="s">
        <v>630</v>
      </c>
      <c r="V167" s="259" t="s">
        <v>631</v>
      </c>
      <c r="W167" s="259" t="s">
        <v>145</v>
      </c>
      <c r="X167" s="259" t="s">
        <v>309</v>
      </c>
      <c r="Y167" s="365">
        <v>44835</v>
      </c>
      <c r="Z167" s="259" t="s">
        <v>1875</v>
      </c>
      <c r="AA167" s="274"/>
      <c r="AB167" s="259" t="s">
        <v>139</v>
      </c>
      <c r="AC167" s="259" t="s">
        <v>1875</v>
      </c>
      <c r="AD167" s="259">
        <v>900</v>
      </c>
      <c r="AE167" s="259">
        <v>900</v>
      </c>
      <c r="AF167" s="274"/>
      <c r="AJ167" s="319" t="s">
        <v>2191</v>
      </c>
      <c r="AK167" s="274"/>
      <c r="AL167" s="319" t="s">
        <v>2190</v>
      </c>
      <c r="AM167" s="259" t="s">
        <v>1975</v>
      </c>
      <c r="AN167" s="259" t="b">
        <v>0</v>
      </c>
      <c r="AP167" s="274"/>
      <c r="AQ167" s="274"/>
      <c r="AR167" s="274"/>
      <c r="AT167" s="274"/>
      <c r="AU167" s="274"/>
      <c r="AZ167" s="274"/>
      <c r="BA167" s="259" t="s">
        <v>373</v>
      </c>
      <c r="BB167" s="259" t="s">
        <v>1610</v>
      </c>
      <c r="BC167" s="259" t="s">
        <v>2192</v>
      </c>
    </row>
    <row r="168" spans="1:55" ht="135">
      <c r="A168" s="259">
        <v>20</v>
      </c>
      <c r="B168" s="259" t="s">
        <v>2449</v>
      </c>
      <c r="C168" s="259" t="s">
        <v>2450</v>
      </c>
      <c r="D168" s="259" t="s">
        <v>8</v>
      </c>
      <c r="E168" s="259" t="s">
        <v>9</v>
      </c>
      <c r="F168" s="259" t="s">
        <v>1771</v>
      </c>
      <c r="G168" s="274">
        <v>43875</v>
      </c>
      <c r="H168" s="274">
        <v>44091</v>
      </c>
      <c r="I168" s="274"/>
      <c r="N168" s="259" t="s">
        <v>122</v>
      </c>
      <c r="P168" s="259" t="s">
        <v>1554</v>
      </c>
      <c r="Q168" s="259" t="s">
        <v>2198</v>
      </c>
      <c r="R168" s="274">
        <v>44571.596284722225</v>
      </c>
      <c r="S168" s="321">
        <v>2020</v>
      </c>
      <c r="T168" s="259" t="s">
        <v>2001</v>
      </c>
      <c r="U168" s="259" t="s">
        <v>630</v>
      </c>
      <c r="V168" s="259" t="s">
        <v>631</v>
      </c>
      <c r="W168" s="259" t="s">
        <v>145</v>
      </c>
      <c r="X168" s="259" t="s">
        <v>309</v>
      </c>
      <c r="Y168" s="365">
        <v>44835</v>
      </c>
      <c r="Z168" s="259" t="s">
        <v>1875</v>
      </c>
      <c r="AA168" s="274"/>
      <c r="AB168" s="259" t="s">
        <v>139</v>
      </c>
      <c r="AC168" s="259" t="s">
        <v>1875</v>
      </c>
      <c r="AD168" s="259">
        <v>900</v>
      </c>
      <c r="AE168" s="259">
        <v>900</v>
      </c>
      <c r="AF168" s="274"/>
      <c r="AJ168" s="319" t="s">
        <v>2191</v>
      </c>
      <c r="AK168" s="274"/>
      <c r="AL168" s="319" t="s">
        <v>2190</v>
      </c>
      <c r="AM168" s="259" t="s">
        <v>1975</v>
      </c>
      <c r="AN168" s="259" t="b">
        <v>0</v>
      </c>
      <c r="AP168" s="274"/>
      <c r="AQ168" s="274"/>
      <c r="AR168" s="274"/>
      <c r="AT168" s="274"/>
      <c r="AU168" s="274"/>
      <c r="AZ168" s="274"/>
      <c r="BA168" s="259" t="s">
        <v>373</v>
      </c>
      <c r="BB168" s="259" t="s">
        <v>1610</v>
      </c>
      <c r="BC168" s="259" t="s">
        <v>2192</v>
      </c>
    </row>
    <row r="169" spans="1:55" ht="135">
      <c r="A169" s="259">
        <v>121</v>
      </c>
      <c r="B169" s="259" t="s">
        <v>2491</v>
      </c>
      <c r="C169" s="259" t="s">
        <v>2492</v>
      </c>
      <c r="D169" s="259" t="s">
        <v>8</v>
      </c>
      <c r="E169" s="259" t="s">
        <v>9</v>
      </c>
      <c r="F169" s="259" t="s">
        <v>1771</v>
      </c>
      <c r="G169" s="274">
        <v>44305</v>
      </c>
      <c r="H169" s="274"/>
      <c r="I169" s="274"/>
      <c r="N169" s="259" t="s">
        <v>122</v>
      </c>
      <c r="P169" s="259" t="s">
        <v>1554</v>
      </c>
      <c r="Q169" s="259" t="s">
        <v>2198</v>
      </c>
      <c r="R169" s="274">
        <v>44571.612581018519</v>
      </c>
      <c r="S169" s="321">
        <v>2021</v>
      </c>
      <c r="T169" s="259" t="s">
        <v>2001</v>
      </c>
      <c r="U169" s="259" t="s">
        <v>630</v>
      </c>
      <c r="V169" s="259" t="s">
        <v>631</v>
      </c>
      <c r="W169" s="259" t="s">
        <v>145</v>
      </c>
      <c r="X169" s="259" t="s">
        <v>309</v>
      </c>
      <c r="Y169" s="365">
        <v>44835</v>
      </c>
      <c r="Z169" s="259" t="s">
        <v>1875</v>
      </c>
      <c r="AA169" s="274"/>
      <c r="AB169" s="259" t="s">
        <v>139</v>
      </c>
      <c r="AC169" s="259" t="s">
        <v>1875</v>
      </c>
      <c r="AD169" s="259">
        <v>900</v>
      </c>
      <c r="AE169" s="259">
        <v>900</v>
      </c>
      <c r="AF169" s="274"/>
      <c r="AJ169" s="319" t="s">
        <v>2191</v>
      </c>
      <c r="AK169" s="274"/>
      <c r="AL169" s="319" t="s">
        <v>2190</v>
      </c>
      <c r="AM169" s="259" t="s">
        <v>1975</v>
      </c>
      <c r="AN169" s="259" t="b">
        <v>0</v>
      </c>
      <c r="AP169" s="274"/>
      <c r="AQ169" s="274"/>
      <c r="AR169" s="274"/>
      <c r="AT169" s="274"/>
      <c r="AU169" s="274"/>
      <c r="AZ169" s="274"/>
      <c r="BA169" s="259" t="s">
        <v>373</v>
      </c>
      <c r="BB169" s="259" t="s">
        <v>1610</v>
      </c>
      <c r="BC169" s="259" t="s">
        <v>2192</v>
      </c>
    </row>
    <row r="170" spans="1:55" ht="135">
      <c r="A170" s="259">
        <v>181</v>
      </c>
      <c r="B170" s="259" t="s">
        <v>2507</v>
      </c>
      <c r="C170" s="259" t="s">
        <v>2508</v>
      </c>
      <c r="D170" s="259" t="s">
        <v>8</v>
      </c>
      <c r="E170" s="259" t="s">
        <v>9</v>
      </c>
      <c r="F170" s="259" t="s">
        <v>1771</v>
      </c>
      <c r="G170" s="274">
        <v>44475</v>
      </c>
      <c r="H170" s="274"/>
      <c r="I170" s="274"/>
      <c r="N170" s="259" t="s">
        <v>122</v>
      </c>
      <c r="P170" s="259" t="s">
        <v>1554</v>
      </c>
      <c r="Q170" s="259" t="s">
        <v>2198</v>
      </c>
      <c r="R170" s="274">
        <v>44571.616157407407</v>
      </c>
      <c r="S170" s="321">
        <v>2021</v>
      </c>
      <c r="T170" s="259" t="s">
        <v>2001</v>
      </c>
      <c r="U170" s="259" t="s">
        <v>630</v>
      </c>
      <c r="V170" s="259" t="s">
        <v>631</v>
      </c>
      <c r="W170" s="259" t="s">
        <v>145</v>
      </c>
      <c r="X170" s="259" t="s">
        <v>309</v>
      </c>
      <c r="Y170" s="365">
        <v>44835</v>
      </c>
      <c r="Z170" s="259" t="s">
        <v>1875</v>
      </c>
      <c r="AA170" s="274"/>
      <c r="AB170" s="259" t="s">
        <v>139</v>
      </c>
      <c r="AC170" s="259" t="s">
        <v>1875</v>
      </c>
      <c r="AD170" s="259">
        <v>900</v>
      </c>
      <c r="AE170" s="259">
        <v>900</v>
      </c>
      <c r="AF170" s="274"/>
      <c r="AJ170" s="319" t="s">
        <v>2191</v>
      </c>
      <c r="AK170" s="274"/>
      <c r="AL170" s="319" t="s">
        <v>2190</v>
      </c>
      <c r="AM170" s="259" t="s">
        <v>1975</v>
      </c>
      <c r="AN170" s="259" t="b">
        <v>0</v>
      </c>
      <c r="AP170" s="274"/>
      <c r="AQ170" s="274"/>
      <c r="AR170" s="274"/>
      <c r="AT170" s="274"/>
      <c r="AU170" s="274"/>
      <c r="AZ170" s="274"/>
      <c r="BA170" s="259" t="s">
        <v>373</v>
      </c>
      <c r="BB170" s="259" t="s">
        <v>1610</v>
      </c>
      <c r="BC170" s="259" t="s">
        <v>2192</v>
      </c>
    </row>
    <row r="171" spans="1:55" ht="135">
      <c r="A171" s="259">
        <v>120</v>
      </c>
      <c r="B171" s="259" t="s">
        <v>2489</v>
      </c>
      <c r="C171" s="259" t="s">
        <v>2490</v>
      </c>
      <c r="D171" s="259" t="s">
        <v>8</v>
      </c>
      <c r="E171" s="259" t="s">
        <v>9</v>
      </c>
      <c r="F171" s="259" t="s">
        <v>1771</v>
      </c>
      <c r="G171" s="274">
        <v>44305</v>
      </c>
      <c r="H171" s="274"/>
      <c r="I171" s="274"/>
      <c r="N171" s="259" t="s">
        <v>122</v>
      </c>
      <c r="P171" s="259" t="s">
        <v>1554</v>
      </c>
      <c r="Q171" s="259" t="s">
        <v>2198</v>
      </c>
      <c r="R171" s="274">
        <v>44571.612141203703</v>
      </c>
      <c r="S171" s="321">
        <v>2021</v>
      </c>
      <c r="T171" s="259" t="s">
        <v>2001</v>
      </c>
      <c r="U171" s="259" t="s">
        <v>630</v>
      </c>
      <c r="V171" s="259" t="s">
        <v>631</v>
      </c>
      <c r="W171" s="259" t="s">
        <v>145</v>
      </c>
      <c r="X171" s="259" t="s">
        <v>309</v>
      </c>
      <c r="Y171" s="365">
        <v>44835</v>
      </c>
      <c r="Z171" s="259" t="s">
        <v>1875</v>
      </c>
      <c r="AA171" s="274"/>
      <c r="AB171" s="259" t="s">
        <v>139</v>
      </c>
      <c r="AC171" s="259" t="s">
        <v>1875</v>
      </c>
      <c r="AD171" s="259">
        <v>900</v>
      </c>
      <c r="AE171" s="259">
        <v>900</v>
      </c>
      <c r="AF171" s="274"/>
      <c r="AJ171" s="319" t="s">
        <v>2191</v>
      </c>
      <c r="AK171" s="274"/>
      <c r="AL171" s="319" t="s">
        <v>2190</v>
      </c>
      <c r="AM171" s="259" t="s">
        <v>1975</v>
      </c>
      <c r="AN171" s="259" t="b">
        <v>0</v>
      </c>
      <c r="AP171" s="274"/>
      <c r="AQ171" s="274"/>
      <c r="AR171" s="274"/>
      <c r="AT171" s="274"/>
      <c r="AU171" s="274"/>
      <c r="AZ171" s="274"/>
      <c r="BA171" s="259" t="s">
        <v>373</v>
      </c>
      <c r="BB171" s="259" t="s">
        <v>1610</v>
      </c>
      <c r="BC171" s="259" t="s">
        <v>2192</v>
      </c>
    </row>
    <row r="172" spans="1:55" ht="135">
      <c r="A172" s="259">
        <v>174</v>
      </c>
      <c r="B172" s="259" t="s">
        <v>2505</v>
      </c>
      <c r="C172" s="259" t="s">
        <v>2506</v>
      </c>
      <c r="D172" s="259" t="s">
        <v>8</v>
      </c>
      <c r="E172" s="259" t="s">
        <v>9</v>
      </c>
      <c r="F172" s="259" t="s">
        <v>1771</v>
      </c>
      <c r="G172" s="274">
        <v>44445</v>
      </c>
      <c r="H172" s="274"/>
      <c r="I172" s="274"/>
      <c r="N172" s="259" t="s">
        <v>122</v>
      </c>
      <c r="P172" s="259" t="s">
        <v>1554</v>
      </c>
      <c r="Q172" s="259" t="s">
        <v>2198</v>
      </c>
      <c r="R172" s="274">
        <v>44571.615717592591</v>
      </c>
      <c r="S172" s="321">
        <v>2021</v>
      </c>
      <c r="T172" s="259" t="s">
        <v>2001</v>
      </c>
      <c r="U172" s="259" t="s">
        <v>630</v>
      </c>
      <c r="V172" s="259" t="s">
        <v>631</v>
      </c>
      <c r="W172" s="259" t="s">
        <v>145</v>
      </c>
      <c r="X172" s="259" t="s">
        <v>309</v>
      </c>
      <c r="Y172" s="365">
        <v>44835</v>
      </c>
      <c r="Z172" s="259" t="s">
        <v>1875</v>
      </c>
      <c r="AA172" s="274"/>
      <c r="AB172" s="259" t="s">
        <v>139</v>
      </c>
      <c r="AC172" s="259" t="s">
        <v>1875</v>
      </c>
      <c r="AD172" s="259">
        <v>900</v>
      </c>
      <c r="AE172" s="259">
        <v>900</v>
      </c>
      <c r="AF172" s="274"/>
      <c r="AJ172" s="319" t="s">
        <v>2191</v>
      </c>
      <c r="AK172" s="274"/>
      <c r="AL172" s="319" t="s">
        <v>2190</v>
      </c>
      <c r="AM172" s="259" t="s">
        <v>1975</v>
      </c>
      <c r="AN172" s="259" t="b">
        <v>0</v>
      </c>
      <c r="AP172" s="274"/>
      <c r="AQ172" s="274"/>
      <c r="AR172" s="274"/>
      <c r="AT172" s="274"/>
      <c r="AU172" s="274"/>
      <c r="AZ172" s="274"/>
      <c r="BA172" s="259" t="s">
        <v>373</v>
      </c>
      <c r="BB172" s="259" t="s">
        <v>1610</v>
      </c>
      <c r="BC172" s="259" t="s">
        <v>2192</v>
      </c>
    </row>
    <row r="173" spans="1:55" ht="135">
      <c r="A173" s="259">
        <v>85</v>
      </c>
      <c r="B173" s="259" t="s">
        <v>2471</v>
      </c>
      <c r="C173" s="259" t="s">
        <v>2472</v>
      </c>
      <c r="D173" s="259" t="s">
        <v>8</v>
      </c>
      <c r="E173" s="259" t="s">
        <v>9</v>
      </c>
      <c r="F173" s="259" t="s">
        <v>1771</v>
      </c>
      <c r="G173" s="274">
        <v>44159</v>
      </c>
      <c r="H173" s="274"/>
      <c r="I173" s="274"/>
      <c r="N173" s="259" t="s">
        <v>122</v>
      </c>
      <c r="P173" s="259" t="s">
        <v>1554</v>
      </c>
      <c r="Q173" s="259" t="s">
        <v>2198</v>
      </c>
      <c r="R173" s="274">
        <v>44571.606678240743</v>
      </c>
      <c r="S173" s="321">
        <v>2020</v>
      </c>
      <c r="T173" s="259" t="s">
        <v>2001</v>
      </c>
      <c r="U173" s="259" t="s">
        <v>630</v>
      </c>
      <c r="V173" s="259" t="s">
        <v>631</v>
      </c>
      <c r="W173" s="259" t="s">
        <v>145</v>
      </c>
      <c r="X173" s="259" t="s">
        <v>309</v>
      </c>
      <c r="Y173" s="365">
        <v>44835</v>
      </c>
      <c r="Z173" s="259" t="s">
        <v>1875</v>
      </c>
      <c r="AA173" s="274"/>
      <c r="AB173" s="259" t="s">
        <v>139</v>
      </c>
      <c r="AC173" s="259" t="s">
        <v>1875</v>
      </c>
      <c r="AD173" s="259">
        <v>900</v>
      </c>
      <c r="AE173" s="259">
        <v>900</v>
      </c>
      <c r="AF173" s="274"/>
      <c r="AJ173" s="319" t="s">
        <v>2191</v>
      </c>
      <c r="AK173" s="274"/>
      <c r="AL173" s="319" t="s">
        <v>2190</v>
      </c>
      <c r="AM173" s="259" t="s">
        <v>1975</v>
      </c>
      <c r="AN173" s="259" t="b">
        <v>0</v>
      </c>
      <c r="AP173" s="274"/>
      <c r="AQ173" s="274"/>
      <c r="AR173" s="274"/>
      <c r="AT173" s="274"/>
      <c r="AU173" s="274"/>
      <c r="AZ173" s="274"/>
      <c r="BA173" s="259" t="s">
        <v>373</v>
      </c>
      <c r="BB173" s="259" t="s">
        <v>1610</v>
      </c>
      <c r="BC173" s="259" t="s">
        <v>2192</v>
      </c>
    </row>
    <row r="174" spans="1:55" ht="150">
      <c r="A174" s="259">
        <v>162</v>
      </c>
      <c r="B174" s="259" t="s">
        <v>2501</v>
      </c>
      <c r="C174" s="259" t="s">
        <v>2502</v>
      </c>
      <c r="D174" s="259" t="s">
        <v>8</v>
      </c>
      <c r="E174" s="259" t="s">
        <v>9</v>
      </c>
      <c r="F174" s="259" t="s">
        <v>1771</v>
      </c>
      <c r="G174" s="274">
        <v>44412</v>
      </c>
      <c r="H174" s="274"/>
      <c r="I174" s="274"/>
      <c r="N174" s="259" t="s">
        <v>122</v>
      </c>
      <c r="P174" s="259" t="s">
        <v>1554</v>
      </c>
      <c r="Q174" s="259" t="s">
        <v>2198</v>
      </c>
      <c r="R174" s="274">
        <v>44571.614837962959</v>
      </c>
      <c r="S174" s="321">
        <v>2021</v>
      </c>
      <c r="T174" s="259" t="s">
        <v>2001</v>
      </c>
      <c r="U174" s="259" t="s">
        <v>630</v>
      </c>
      <c r="V174" s="259" t="s">
        <v>631</v>
      </c>
      <c r="W174" s="259" t="s">
        <v>145</v>
      </c>
      <c r="X174" s="259" t="s">
        <v>309</v>
      </c>
      <c r="Y174" s="365">
        <v>44835</v>
      </c>
      <c r="Z174" s="259" t="s">
        <v>1875</v>
      </c>
      <c r="AA174" s="274"/>
      <c r="AB174" s="259" t="s">
        <v>139</v>
      </c>
      <c r="AC174" s="259" t="s">
        <v>1875</v>
      </c>
      <c r="AD174" s="259">
        <v>900</v>
      </c>
      <c r="AE174" s="259">
        <v>900</v>
      </c>
      <c r="AF174" s="274"/>
      <c r="AJ174" s="319" t="s">
        <v>2191</v>
      </c>
      <c r="AK174" s="274"/>
      <c r="AL174" s="319" t="s">
        <v>2190</v>
      </c>
      <c r="AM174" s="259" t="s">
        <v>1975</v>
      </c>
      <c r="AN174" s="259" t="b">
        <v>0</v>
      </c>
      <c r="AP174" s="274"/>
      <c r="AQ174" s="274"/>
      <c r="AR174" s="274"/>
      <c r="AT174" s="274"/>
      <c r="AU174" s="274"/>
      <c r="AZ174" s="274"/>
      <c r="BA174" s="259" t="s">
        <v>373</v>
      </c>
      <c r="BB174" s="259" t="s">
        <v>1610</v>
      </c>
      <c r="BC174" s="259" t="s">
        <v>2192</v>
      </c>
    </row>
    <row r="175" spans="1:55" ht="135">
      <c r="A175" s="259">
        <v>75</v>
      </c>
      <c r="B175" s="259" t="s">
        <v>2463</v>
      </c>
      <c r="C175" s="259" t="s">
        <v>2464</v>
      </c>
      <c r="D175" s="259" t="s">
        <v>8</v>
      </c>
      <c r="E175" s="259" t="s">
        <v>9</v>
      </c>
      <c r="F175" s="259" t="s">
        <v>1771</v>
      </c>
      <c r="G175" s="274">
        <v>44126</v>
      </c>
      <c r="H175" s="274"/>
      <c r="I175" s="274"/>
      <c r="N175" s="259" t="s">
        <v>122</v>
      </c>
      <c r="P175" s="259" t="s">
        <v>1554</v>
      </c>
      <c r="Q175" s="259" t="s">
        <v>2198</v>
      </c>
      <c r="R175" s="274">
        <v>44571.604837962965</v>
      </c>
      <c r="S175" s="321">
        <v>2020</v>
      </c>
      <c r="T175" s="259" t="s">
        <v>2001</v>
      </c>
      <c r="U175" s="259" t="s">
        <v>630</v>
      </c>
      <c r="V175" s="259" t="s">
        <v>631</v>
      </c>
      <c r="W175" s="259" t="s">
        <v>145</v>
      </c>
      <c r="X175" s="259" t="s">
        <v>309</v>
      </c>
      <c r="Y175" s="365">
        <v>44835</v>
      </c>
      <c r="Z175" s="259" t="s">
        <v>1875</v>
      </c>
      <c r="AA175" s="274"/>
      <c r="AB175" s="259" t="s">
        <v>139</v>
      </c>
      <c r="AC175" s="259" t="s">
        <v>1875</v>
      </c>
      <c r="AD175" s="259">
        <v>900</v>
      </c>
      <c r="AE175" s="259">
        <v>900</v>
      </c>
      <c r="AF175" s="274"/>
      <c r="AJ175" s="319" t="s">
        <v>2191</v>
      </c>
      <c r="AK175" s="274"/>
      <c r="AL175" s="319" t="s">
        <v>2190</v>
      </c>
      <c r="AM175" s="259" t="s">
        <v>1975</v>
      </c>
      <c r="AN175" s="259" t="b">
        <v>0</v>
      </c>
      <c r="AP175" s="274"/>
      <c r="AQ175" s="274"/>
      <c r="AR175" s="274"/>
      <c r="AT175" s="274"/>
      <c r="AU175" s="274"/>
      <c r="AZ175" s="274"/>
      <c r="BA175" s="259" t="s">
        <v>373</v>
      </c>
      <c r="BB175" s="259" t="s">
        <v>1610</v>
      </c>
      <c r="BC175" s="259" t="s">
        <v>2192</v>
      </c>
    </row>
    <row r="176" spans="1:55" ht="135">
      <c r="A176" s="259">
        <v>74</v>
      </c>
      <c r="B176" s="259" t="s">
        <v>2461</v>
      </c>
      <c r="C176" s="259" t="s">
        <v>2462</v>
      </c>
      <c r="D176" s="259" t="s">
        <v>8</v>
      </c>
      <c r="E176" s="259" t="s">
        <v>9</v>
      </c>
      <c r="F176" s="259" t="s">
        <v>1771</v>
      </c>
      <c r="G176" s="274">
        <v>44114</v>
      </c>
      <c r="H176" s="274"/>
      <c r="I176" s="274"/>
      <c r="N176" s="259" t="s">
        <v>122</v>
      </c>
      <c r="P176" s="259" t="s">
        <v>1554</v>
      </c>
      <c r="Q176" s="259" t="s">
        <v>2198</v>
      </c>
      <c r="R176" s="274">
        <v>44571.604409722226</v>
      </c>
      <c r="S176" s="321">
        <v>2020</v>
      </c>
      <c r="T176" s="259" t="s">
        <v>2001</v>
      </c>
      <c r="U176" s="259" t="s">
        <v>630</v>
      </c>
      <c r="V176" s="259" t="s">
        <v>631</v>
      </c>
      <c r="W176" s="259" t="s">
        <v>145</v>
      </c>
      <c r="X176" s="259" t="s">
        <v>309</v>
      </c>
      <c r="Y176" s="365">
        <v>44835</v>
      </c>
      <c r="Z176" s="259" t="s">
        <v>1875</v>
      </c>
      <c r="AA176" s="274"/>
      <c r="AB176" s="259" t="s">
        <v>139</v>
      </c>
      <c r="AC176" s="259" t="s">
        <v>1875</v>
      </c>
      <c r="AD176" s="259">
        <v>900</v>
      </c>
      <c r="AE176" s="259">
        <v>900</v>
      </c>
      <c r="AF176" s="274"/>
      <c r="AJ176" s="319" t="s">
        <v>2191</v>
      </c>
      <c r="AK176" s="274"/>
      <c r="AL176" s="319" t="s">
        <v>2190</v>
      </c>
      <c r="AM176" s="259" t="s">
        <v>1975</v>
      </c>
      <c r="AN176" s="259" t="b">
        <v>0</v>
      </c>
      <c r="AP176" s="274"/>
      <c r="AQ176" s="274"/>
      <c r="AR176" s="274"/>
      <c r="AT176" s="274"/>
      <c r="AU176" s="274"/>
      <c r="AZ176" s="274"/>
      <c r="BA176" s="259" t="s">
        <v>373</v>
      </c>
      <c r="BB176" s="259" t="s">
        <v>1610</v>
      </c>
      <c r="BC176" s="259" t="s">
        <v>2192</v>
      </c>
    </row>
    <row r="177" spans="1:55" ht="135">
      <c r="A177" s="259">
        <v>173</v>
      </c>
      <c r="B177" s="259" t="s">
        <v>2503</v>
      </c>
      <c r="C177" s="259" t="s">
        <v>2504</v>
      </c>
      <c r="D177" s="259" t="s">
        <v>8</v>
      </c>
      <c r="E177" s="259" t="s">
        <v>9</v>
      </c>
      <c r="F177" s="259" t="s">
        <v>1771</v>
      </c>
      <c r="G177" s="274">
        <v>44445</v>
      </c>
      <c r="H177" s="274"/>
      <c r="I177" s="274"/>
      <c r="N177" s="259" t="s">
        <v>122</v>
      </c>
      <c r="P177" s="259" t="s">
        <v>1554</v>
      </c>
      <c r="Q177" s="259" t="s">
        <v>2198</v>
      </c>
      <c r="R177" s="274">
        <v>44571.615300925929</v>
      </c>
      <c r="S177" s="321">
        <v>2021</v>
      </c>
      <c r="T177" s="259" t="s">
        <v>2001</v>
      </c>
      <c r="U177" s="259" t="s">
        <v>630</v>
      </c>
      <c r="V177" s="259" t="s">
        <v>631</v>
      </c>
      <c r="W177" s="259" t="s">
        <v>145</v>
      </c>
      <c r="X177" s="259" t="s">
        <v>309</v>
      </c>
      <c r="Y177" s="365">
        <v>44835</v>
      </c>
      <c r="Z177" s="259" t="s">
        <v>1875</v>
      </c>
      <c r="AA177" s="274"/>
      <c r="AB177" s="259" t="s">
        <v>139</v>
      </c>
      <c r="AC177" s="259" t="s">
        <v>1875</v>
      </c>
      <c r="AD177" s="259">
        <v>900</v>
      </c>
      <c r="AE177" s="259">
        <v>900</v>
      </c>
      <c r="AF177" s="274"/>
      <c r="AJ177" s="319" t="s">
        <v>2191</v>
      </c>
      <c r="AK177" s="274"/>
      <c r="AL177" s="319" t="s">
        <v>2190</v>
      </c>
      <c r="AM177" s="259" t="s">
        <v>1975</v>
      </c>
      <c r="AN177" s="259" t="b">
        <v>0</v>
      </c>
      <c r="AP177" s="274"/>
      <c r="AQ177" s="274"/>
      <c r="AR177" s="274"/>
      <c r="AT177" s="274"/>
      <c r="AU177" s="274"/>
      <c r="AZ177" s="274"/>
      <c r="BA177" s="259" t="s">
        <v>373</v>
      </c>
      <c r="BB177" s="259" t="s">
        <v>1610</v>
      </c>
      <c r="BC177" s="259" t="s">
        <v>2192</v>
      </c>
    </row>
    <row r="178" spans="1:55" ht="135">
      <c r="A178" s="259">
        <v>87</v>
      </c>
      <c r="B178" s="259" t="s">
        <v>2473</v>
      </c>
      <c r="C178" s="259" t="s">
        <v>2474</v>
      </c>
      <c r="D178" s="259" t="s">
        <v>8</v>
      </c>
      <c r="E178" s="259" t="s">
        <v>9</v>
      </c>
      <c r="F178" s="259" t="s">
        <v>1771</v>
      </c>
      <c r="G178" s="274">
        <v>44163</v>
      </c>
      <c r="H178" s="274"/>
      <c r="I178" s="274"/>
      <c r="N178" s="259" t="s">
        <v>122</v>
      </c>
      <c r="P178" s="259" t="s">
        <v>1554</v>
      </c>
      <c r="Q178" s="259" t="s">
        <v>2198</v>
      </c>
      <c r="R178" s="274">
        <v>44571.607083333336</v>
      </c>
      <c r="S178" s="321">
        <v>2020</v>
      </c>
      <c r="T178" s="259" t="s">
        <v>2001</v>
      </c>
      <c r="U178" s="259" t="s">
        <v>630</v>
      </c>
      <c r="V178" s="259" t="s">
        <v>631</v>
      </c>
      <c r="W178" s="259" t="s">
        <v>145</v>
      </c>
      <c r="X178" s="259" t="s">
        <v>309</v>
      </c>
      <c r="Y178" s="365">
        <v>44835</v>
      </c>
      <c r="Z178" s="259" t="s">
        <v>1875</v>
      </c>
      <c r="AA178" s="274"/>
      <c r="AB178" s="259" t="s">
        <v>139</v>
      </c>
      <c r="AC178" s="259" t="s">
        <v>1875</v>
      </c>
      <c r="AD178" s="259">
        <v>900</v>
      </c>
      <c r="AE178" s="259">
        <v>900</v>
      </c>
      <c r="AF178" s="274"/>
      <c r="AJ178" s="319" t="s">
        <v>2191</v>
      </c>
      <c r="AK178" s="274"/>
      <c r="AL178" s="319" t="s">
        <v>2190</v>
      </c>
      <c r="AM178" s="259" t="s">
        <v>1975</v>
      </c>
      <c r="AN178" s="259" t="b">
        <v>0</v>
      </c>
      <c r="AP178" s="274"/>
      <c r="AQ178" s="274"/>
      <c r="AR178" s="274"/>
      <c r="AT178" s="274"/>
      <c r="AU178" s="274"/>
      <c r="AZ178" s="274"/>
      <c r="BA178" s="259" t="s">
        <v>373</v>
      </c>
      <c r="BB178" s="259" t="s">
        <v>1610</v>
      </c>
      <c r="BC178" s="259" t="s">
        <v>2192</v>
      </c>
    </row>
    <row r="179" spans="1:55" ht="135">
      <c r="A179" s="259">
        <v>125</v>
      </c>
      <c r="B179" s="259" t="s">
        <v>2495</v>
      </c>
      <c r="C179" s="259" t="s">
        <v>2496</v>
      </c>
      <c r="D179" s="259" t="s">
        <v>8</v>
      </c>
      <c r="E179" s="259" t="s">
        <v>9</v>
      </c>
      <c r="F179" s="259" t="s">
        <v>1771</v>
      </c>
      <c r="G179" s="274">
        <v>44335</v>
      </c>
      <c r="H179" s="274"/>
      <c r="I179" s="274"/>
      <c r="N179" s="259" t="s">
        <v>122</v>
      </c>
      <c r="P179" s="259" t="s">
        <v>1554</v>
      </c>
      <c r="Q179" s="259" t="s">
        <v>2198</v>
      </c>
      <c r="R179" s="274">
        <v>44571.613425925927</v>
      </c>
      <c r="S179" s="321">
        <v>2021</v>
      </c>
      <c r="T179" s="259" t="s">
        <v>2001</v>
      </c>
      <c r="U179" s="259" t="s">
        <v>630</v>
      </c>
      <c r="V179" s="259" t="s">
        <v>631</v>
      </c>
      <c r="W179" s="259" t="s">
        <v>145</v>
      </c>
      <c r="X179" s="259" t="s">
        <v>309</v>
      </c>
      <c r="Y179" s="365">
        <v>44835</v>
      </c>
      <c r="Z179" s="259" t="s">
        <v>1875</v>
      </c>
      <c r="AA179" s="274"/>
      <c r="AB179" s="259" t="s">
        <v>139</v>
      </c>
      <c r="AC179" s="259" t="s">
        <v>1875</v>
      </c>
      <c r="AD179" s="259">
        <v>900</v>
      </c>
      <c r="AE179" s="259">
        <v>900</v>
      </c>
      <c r="AF179" s="274"/>
      <c r="AJ179" s="319" t="s">
        <v>2191</v>
      </c>
      <c r="AK179" s="274"/>
      <c r="AL179" s="319" t="s">
        <v>2190</v>
      </c>
      <c r="AM179" s="259" t="s">
        <v>1975</v>
      </c>
      <c r="AN179" s="259" t="b">
        <v>0</v>
      </c>
      <c r="AP179" s="274"/>
      <c r="AQ179" s="274"/>
      <c r="AR179" s="274"/>
      <c r="AT179" s="274"/>
      <c r="AU179" s="274"/>
      <c r="AZ179" s="274"/>
      <c r="BA179" s="259" t="s">
        <v>373</v>
      </c>
      <c r="BB179" s="259" t="s">
        <v>1610</v>
      </c>
      <c r="BC179" s="259" t="s">
        <v>2192</v>
      </c>
    </row>
    <row r="180" spans="1:55" ht="135">
      <c r="A180" s="259">
        <v>22</v>
      </c>
      <c r="B180" s="259" t="s">
        <v>2451</v>
      </c>
      <c r="C180" s="259" t="s">
        <v>2452</v>
      </c>
      <c r="D180" s="259" t="s">
        <v>8</v>
      </c>
      <c r="E180" s="259" t="s">
        <v>9</v>
      </c>
      <c r="F180" s="259" t="s">
        <v>1771</v>
      </c>
      <c r="G180" s="274">
        <v>43899</v>
      </c>
      <c r="H180" s="274">
        <v>44083</v>
      </c>
      <c r="I180" s="274"/>
      <c r="N180" s="259" t="s">
        <v>122</v>
      </c>
      <c r="P180" s="259" t="s">
        <v>1554</v>
      </c>
      <c r="Q180" s="259" t="s">
        <v>2198</v>
      </c>
      <c r="R180" s="274">
        <v>44571.596967592595</v>
      </c>
      <c r="S180" s="321">
        <v>2020</v>
      </c>
      <c r="T180" s="259" t="s">
        <v>2001</v>
      </c>
      <c r="U180" s="259" t="s">
        <v>630</v>
      </c>
      <c r="V180" s="259" t="s">
        <v>631</v>
      </c>
      <c r="W180" s="259" t="s">
        <v>145</v>
      </c>
      <c r="X180" s="259" t="s">
        <v>309</v>
      </c>
      <c r="Y180" s="365">
        <v>44835</v>
      </c>
      <c r="Z180" s="259" t="s">
        <v>1875</v>
      </c>
      <c r="AA180" s="274"/>
      <c r="AB180" s="259" t="s">
        <v>139</v>
      </c>
      <c r="AC180" s="259" t="s">
        <v>1875</v>
      </c>
      <c r="AD180" s="259">
        <v>900</v>
      </c>
      <c r="AE180" s="259">
        <v>900</v>
      </c>
      <c r="AF180" s="274"/>
      <c r="AJ180" s="319" t="s">
        <v>2191</v>
      </c>
      <c r="AK180" s="274"/>
      <c r="AL180" s="319" t="s">
        <v>2190</v>
      </c>
      <c r="AM180" s="259" t="s">
        <v>1975</v>
      </c>
      <c r="AN180" s="259" t="b">
        <v>0</v>
      </c>
      <c r="AP180" s="274"/>
      <c r="AQ180" s="274"/>
      <c r="AR180" s="274"/>
      <c r="AT180" s="274"/>
      <c r="AU180" s="274"/>
      <c r="AZ180" s="274"/>
      <c r="BA180" s="259" t="s">
        <v>373</v>
      </c>
      <c r="BB180" s="259" t="s">
        <v>1610</v>
      </c>
      <c r="BC180" s="259" t="s">
        <v>2192</v>
      </c>
    </row>
    <row r="181" spans="1:55" ht="135">
      <c r="A181" s="259">
        <v>264</v>
      </c>
      <c r="B181" s="259" t="s">
        <v>2533</v>
      </c>
      <c r="C181" s="259" t="s">
        <v>2534</v>
      </c>
      <c r="D181" s="259" t="s">
        <v>8</v>
      </c>
      <c r="E181" s="259" t="s">
        <v>9</v>
      </c>
      <c r="F181" s="259" t="s">
        <v>1771</v>
      </c>
      <c r="G181" s="274">
        <v>44695</v>
      </c>
      <c r="H181" s="274"/>
      <c r="I181" s="274"/>
      <c r="N181" s="259" t="s">
        <v>122</v>
      </c>
      <c r="P181" s="259" t="s">
        <v>1554</v>
      </c>
      <c r="Q181" s="259" t="s">
        <v>2198</v>
      </c>
      <c r="R181" s="274">
        <v>44571.62672453704</v>
      </c>
      <c r="S181" s="321">
        <v>2022</v>
      </c>
      <c r="T181" s="259" t="s">
        <v>2001</v>
      </c>
      <c r="U181" s="259" t="s">
        <v>630</v>
      </c>
      <c r="V181" s="259" t="s">
        <v>631</v>
      </c>
      <c r="W181" s="259" t="s">
        <v>145</v>
      </c>
      <c r="X181" s="259" t="s">
        <v>309</v>
      </c>
      <c r="Y181" s="365">
        <v>44835</v>
      </c>
      <c r="Z181" s="259" t="s">
        <v>1875</v>
      </c>
      <c r="AA181" s="274"/>
      <c r="AB181" s="259" t="s">
        <v>139</v>
      </c>
      <c r="AC181" s="259" t="s">
        <v>1875</v>
      </c>
      <c r="AD181" s="259">
        <v>900</v>
      </c>
      <c r="AE181" s="259">
        <v>900</v>
      </c>
      <c r="AF181" s="274"/>
      <c r="AJ181" s="319" t="s">
        <v>2191</v>
      </c>
      <c r="AK181" s="274"/>
      <c r="AL181" s="319" t="s">
        <v>2190</v>
      </c>
      <c r="AM181" s="259" t="s">
        <v>1975</v>
      </c>
      <c r="AN181" s="259" t="b">
        <v>0</v>
      </c>
      <c r="AP181" s="274"/>
      <c r="AQ181" s="274"/>
      <c r="AR181" s="274"/>
      <c r="AT181" s="274"/>
      <c r="AU181" s="274"/>
      <c r="AZ181" s="274"/>
      <c r="BA181" s="259" t="s">
        <v>373</v>
      </c>
      <c r="BB181" s="259" t="s">
        <v>1610</v>
      </c>
      <c r="BC181" s="259" t="s">
        <v>2192</v>
      </c>
    </row>
    <row r="182" spans="1:55" ht="135">
      <c r="A182" s="259">
        <v>250</v>
      </c>
      <c r="B182" s="259" t="s">
        <v>2528</v>
      </c>
      <c r="C182" s="259" t="s">
        <v>2529</v>
      </c>
      <c r="D182" s="259" t="s">
        <v>8</v>
      </c>
      <c r="E182" s="259" t="s">
        <v>9</v>
      </c>
      <c r="F182" s="259" t="s">
        <v>1771</v>
      </c>
      <c r="G182" s="274">
        <v>44664</v>
      </c>
      <c r="H182" s="274"/>
      <c r="I182" s="274"/>
      <c r="N182" s="259" t="s">
        <v>122</v>
      </c>
      <c r="P182" s="259" t="s">
        <v>1554</v>
      </c>
      <c r="Q182" s="259" t="s">
        <v>2198</v>
      </c>
      <c r="R182" s="274">
        <v>44571.624560185184</v>
      </c>
      <c r="S182" s="321">
        <v>2022</v>
      </c>
      <c r="T182" s="259" t="s">
        <v>2001</v>
      </c>
      <c r="U182" s="259" t="s">
        <v>630</v>
      </c>
      <c r="V182" s="259" t="s">
        <v>631</v>
      </c>
      <c r="W182" s="259" t="s">
        <v>145</v>
      </c>
      <c r="X182" s="259" t="s">
        <v>309</v>
      </c>
      <c r="Y182" s="365">
        <v>44835</v>
      </c>
      <c r="Z182" s="259" t="s">
        <v>1875</v>
      </c>
      <c r="AA182" s="274"/>
      <c r="AB182" s="259" t="s">
        <v>139</v>
      </c>
      <c r="AC182" s="259" t="s">
        <v>1875</v>
      </c>
      <c r="AD182" s="259">
        <v>900</v>
      </c>
      <c r="AE182" s="259">
        <v>900</v>
      </c>
      <c r="AF182" s="274"/>
      <c r="AJ182" s="319" t="s">
        <v>2191</v>
      </c>
      <c r="AK182" s="274"/>
      <c r="AL182" s="319" t="s">
        <v>2190</v>
      </c>
      <c r="AM182" s="259" t="s">
        <v>1975</v>
      </c>
      <c r="AN182" s="259" t="b">
        <v>0</v>
      </c>
      <c r="AP182" s="274"/>
      <c r="AQ182" s="274"/>
      <c r="AR182" s="274"/>
      <c r="AT182" s="274"/>
      <c r="AU182" s="274"/>
      <c r="AZ182" s="274"/>
      <c r="BA182" s="259" t="s">
        <v>373</v>
      </c>
      <c r="BB182" s="259" t="s">
        <v>1610</v>
      </c>
      <c r="BC182" s="259" t="s">
        <v>2192</v>
      </c>
    </row>
    <row r="183" spans="1:55" ht="135">
      <c r="A183" s="259">
        <v>259</v>
      </c>
      <c r="B183" s="259" t="s">
        <v>2477</v>
      </c>
      <c r="C183" s="259" t="s">
        <v>2530</v>
      </c>
      <c r="D183" s="259" t="s">
        <v>8</v>
      </c>
      <c r="E183" s="259" t="s">
        <v>9</v>
      </c>
      <c r="F183" s="259" t="s">
        <v>1771</v>
      </c>
      <c r="G183" s="274">
        <v>44677</v>
      </c>
      <c r="H183" s="274"/>
      <c r="I183" s="274"/>
      <c r="N183" s="259" t="s">
        <v>122</v>
      </c>
      <c r="P183" s="259" t="s">
        <v>1554</v>
      </c>
      <c r="Q183" s="259" t="s">
        <v>2198</v>
      </c>
      <c r="R183" s="274">
        <v>44571.625057870369</v>
      </c>
      <c r="S183" s="321">
        <v>2022</v>
      </c>
      <c r="T183" s="259" t="s">
        <v>2001</v>
      </c>
      <c r="U183" s="259" t="s">
        <v>630</v>
      </c>
      <c r="V183" s="259" t="s">
        <v>631</v>
      </c>
      <c r="W183" s="259" t="s">
        <v>145</v>
      </c>
      <c r="X183" s="259" t="s">
        <v>309</v>
      </c>
      <c r="Y183" s="365">
        <v>44835</v>
      </c>
      <c r="Z183" s="259" t="s">
        <v>1875</v>
      </c>
      <c r="AA183" s="274"/>
      <c r="AB183" s="259" t="s">
        <v>139</v>
      </c>
      <c r="AC183" s="259" t="s">
        <v>1875</v>
      </c>
      <c r="AD183" s="259">
        <v>900</v>
      </c>
      <c r="AE183" s="259">
        <v>900</v>
      </c>
      <c r="AF183" s="274"/>
      <c r="AJ183" s="319" t="s">
        <v>2191</v>
      </c>
      <c r="AK183" s="274"/>
      <c r="AL183" s="319" t="s">
        <v>2190</v>
      </c>
      <c r="AM183" s="259" t="s">
        <v>1975</v>
      </c>
      <c r="AN183" s="259" t="b">
        <v>0</v>
      </c>
      <c r="AP183" s="274"/>
      <c r="AQ183" s="274"/>
      <c r="AR183" s="274"/>
      <c r="AT183" s="274"/>
      <c r="AU183" s="274"/>
      <c r="AZ183" s="274"/>
      <c r="BA183" s="259" t="s">
        <v>373</v>
      </c>
      <c r="BB183" s="259" t="s">
        <v>1610</v>
      </c>
      <c r="BC183" s="259" t="s">
        <v>2192</v>
      </c>
    </row>
    <row r="184" spans="1:55" ht="135">
      <c r="A184" s="259">
        <v>324</v>
      </c>
      <c r="B184" s="259" t="s">
        <v>2456</v>
      </c>
      <c r="C184" s="259" t="s">
        <v>2553</v>
      </c>
      <c r="D184" s="259" t="s">
        <v>8</v>
      </c>
      <c r="E184" s="259" t="s">
        <v>9</v>
      </c>
      <c r="F184" s="259" t="s">
        <v>1771</v>
      </c>
      <c r="G184" s="274">
        <v>44785</v>
      </c>
      <c r="H184" s="274"/>
      <c r="I184" s="274"/>
      <c r="N184" s="259" t="s">
        <v>122</v>
      </c>
      <c r="P184" s="259" t="s">
        <v>1554</v>
      </c>
      <c r="Q184" s="259" t="s">
        <v>2198</v>
      </c>
      <c r="R184" s="274">
        <v>44571.632604166669</v>
      </c>
      <c r="S184" s="321">
        <v>2022</v>
      </c>
      <c r="T184" s="259" t="s">
        <v>2001</v>
      </c>
      <c r="U184" s="259" t="s">
        <v>630</v>
      </c>
      <c r="V184" s="259" t="s">
        <v>631</v>
      </c>
      <c r="W184" s="259" t="s">
        <v>145</v>
      </c>
      <c r="X184" s="259" t="s">
        <v>309</v>
      </c>
      <c r="Y184" s="365">
        <v>44835</v>
      </c>
      <c r="Z184" s="259" t="s">
        <v>1875</v>
      </c>
      <c r="AA184" s="274"/>
      <c r="AB184" s="259" t="s">
        <v>139</v>
      </c>
      <c r="AC184" s="259" t="s">
        <v>1875</v>
      </c>
      <c r="AD184" s="259">
        <v>900</v>
      </c>
      <c r="AE184" s="259">
        <v>900</v>
      </c>
      <c r="AF184" s="274"/>
      <c r="AJ184" s="319" t="s">
        <v>2191</v>
      </c>
      <c r="AK184" s="274"/>
      <c r="AL184" s="319" t="s">
        <v>2190</v>
      </c>
      <c r="AM184" s="259" t="s">
        <v>1975</v>
      </c>
      <c r="AN184" s="259" t="b">
        <v>0</v>
      </c>
      <c r="AP184" s="274"/>
      <c r="AQ184" s="274"/>
      <c r="AR184" s="274"/>
      <c r="AT184" s="274"/>
      <c r="AU184" s="274"/>
      <c r="AZ184" s="274"/>
      <c r="BA184" s="259" t="s">
        <v>373</v>
      </c>
      <c r="BB184" s="259" t="s">
        <v>1610</v>
      </c>
      <c r="BC184" s="259" t="s">
        <v>2192</v>
      </c>
    </row>
    <row r="185" spans="1:55" ht="135">
      <c r="A185" s="259">
        <v>262</v>
      </c>
      <c r="B185" s="259" t="s">
        <v>2482</v>
      </c>
      <c r="C185" s="259" t="s">
        <v>2531</v>
      </c>
      <c r="D185" s="259" t="s">
        <v>8</v>
      </c>
      <c r="E185" s="259" t="s">
        <v>9</v>
      </c>
      <c r="F185" s="259" t="s">
        <v>1771</v>
      </c>
      <c r="G185" s="274">
        <v>44693</v>
      </c>
      <c r="H185" s="274"/>
      <c r="I185" s="274"/>
      <c r="N185" s="259" t="s">
        <v>122</v>
      </c>
      <c r="P185" s="259" t="s">
        <v>1554</v>
      </c>
      <c r="Q185" s="259" t="s">
        <v>2198</v>
      </c>
      <c r="R185" s="274">
        <v>44571.625659722224</v>
      </c>
      <c r="S185" s="321">
        <v>2022</v>
      </c>
      <c r="T185" s="259" t="s">
        <v>2001</v>
      </c>
      <c r="U185" s="259" t="s">
        <v>630</v>
      </c>
      <c r="V185" s="259" t="s">
        <v>631</v>
      </c>
      <c r="W185" s="259" t="s">
        <v>145</v>
      </c>
      <c r="X185" s="259" t="s">
        <v>309</v>
      </c>
      <c r="Y185" s="365">
        <v>44835</v>
      </c>
      <c r="Z185" s="259" t="s">
        <v>1875</v>
      </c>
      <c r="AA185" s="274"/>
      <c r="AB185" s="259" t="s">
        <v>139</v>
      </c>
      <c r="AC185" s="259" t="s">
        <v>1875</v>
      </c>
      <c r="AD185" s="259">
        <v>900</v>
      </c>
      <c r="AE185" s="259">
        <v>900</v>
      </c>
      <c r="AF185" s="274"/>
      <c r="AJ185" s="319" t="s">
        <v>2191</v>
      </c>
      <c r="AK185" s="274"/>
      <c r="AL185" s="319" t="s">
        <v>2190</v>
      </c>
      <c r="AM185" s="259" t="s">
        <v>1975</v>
      </c>
      <c r="AN185" s="259" t="b">
        <v>0</v>
      </c>
      <c r="AP185" s="274"/>
      <c r="AQ185" s="274"/>
      <c r="AR185" s="274"/>
      <c r="AT185" s="274"/>
      <c r="AU185" s="274"/>
      <c r="AZ185" s="274"/>
      <c r="BA185" s="259" t="s">
        <v>373</v>
      </c>
      <c r="BB185" s="259" t="s">
        <v>1610</v>
      </c>
      <c r="BC185" s="259" t="s">
        <v>2192</v>
      </c>
    </row>
    <row r="186" spans="1:55" ht="135">
      <c r="A186" s="259">
        <v>317</v>
      </c>
      <c r="B186" s="259" t="s">
        <v>2493</v>
      </c>
      <c r="C186" s="259" t="s">
        <v>2552</v>
      </c>
      <c r="D186" s="259" t="s">
        <v>8</v>
      </c>
      <c r="E186" s="259" t="s">
        <v>9</v>
      </c>
      <c r="F186" s="259" t="s">
        <v>1771</v>
      </c>
      <c r="G186" s="274">
        <v>44761</v>
      </c>
      <c r="H186" s="274"/>
      <c r="I186" s="274"/>
      <c r="N186" s="259" t="s">
        <v>122</v>
      </c>
      <c r="P186" s="259" t="s">
        <v>1554</v>
      </c>
      <c r="Q186" s="259" t="s">
        <v>2198</v>
      </c>
      <c r="R186" s="274">
        <v>44571.632013888891</v>
      </c>
      <c r="S186" s="321">
        <v>2022</v>
      </c>
      <c r="T186" s="259" t="s">
        <v>2001</v>
      </c>
      <c r="U186" s="259" t="s">
        <v>630</v>
      </c>
      <c r="V186" s="259" t="s">
        <v>631</v>
      </c>
      <c r="W186" s="259" t="s">
        <v>145</v>
      </c>
      <c r="X186" s="259" t="s">
        <v>309</v>
      </c>
      <c r="Y186" s="365">
        <v>44835</v>
      </c>
      <c r="Z186" s="259" t="s">
        <v>1875</v>
      </c>
      <c r="AA186" s="274"/>
      <c r="AB186" s="259" t="s">
        <v>139</v>
      </c>
      <c r="AC186" s="259" t="s">
        <v>1875</v>
      </c>
      <c r="AD186" s="259">
        <v>900</v>
      </c>
      <c r="AE186" s="259">
        <v>900</v>
      </c>
      <c r="AF186" s="274"/>
      <c r="AJ186" s="319" t="s">
        <v>2191</v>
      </c>
      <c r="AK186" s="274"/>
      <c r="AL186" s="319" t="s">
        <v>2190</v>
      </c>
      <c r="AM186" s="259" t="s">
        <v>1975</v>
      </c>
      <c r="AN186" s="259" t="b">
        <v>0</v>
      </c>
      <c r="AP186" s="274"/>
      <c r="AQ186" s="274"/>
      <c r="AR186" s="274"/>
      <c r="AT186" s="274"/>
      <c r="AU186" s="274"/>
      <c r="AZ186" s="274"/>
      <c r="BA186" s="259" t="s">
        <v>373</v>
      </c>
      <c r="BB186" s="259" t="s">
        <v>1610</v>
      </c>
      <c r="BC186" s="259" t="s">
        <v>2192</v>
      </c>
    </row>
    <row r="187" spans="1:55" ht="135">
      <c r="A187" s="259">
        <v>263</v>
      </c>
      <c r="B187" s="259" t="s">
        <v>2480</v>
      </c>
      <c r="C187" s="259" t="s">
        <v>2532</v>
      </c>
      <c r="D187" s="259" t="s">
        <v>8</v>
      </c>
      <c r="E187" s="259" t="s">
        <v>9</v>
      </c>
      <c r="F187" s="259" t="s">
        <v>1771</v>
      </c>
      <c r="G187" s="274">
        <v>44694</v>
      </c>
      <c r="H187" s="274"/>
      <c r="I187" s="274"/>
      <c r="N187" s="259" t="s">
        <v>122</v>
      </c>
      <c r="P187" s="259" t="s">
        <v>1554</v>
      </c>
      <c r="Q187" s="259" t="s">
        <v>2198</v>
      </c>
      <c r="R187" s="274">
        <v>44571.626157407409</v>
      </c>
      <c r="S187" s="321">
        <v>2022</v>
      </c>
      <c r="T187" s="259" t="s">
        <v>2001</v>
      </c>
      <c r="U187" s="259" t="s">
        <v>630</v>
      </c>
      <c r="V187" s="259" t="s">
        <v>631</v>
      </c>
      <c r="W187" s="259" t="s">
        <v>145</v>
      </c>
      <c r="X187" s="259" t="s">
        <v>309</v>
      </c>
      <c r="Y187" s="365">
        <v>44835</v>
      </c>
      <c r="Z187" s="259" t="s">
        <v>1875</v>
      </c>
      <c r="AA187" s="274"/>
      <c r="AB187" s="259" t="s">
        <v>139</v>
      </c>
      <c r="AC187" s="259" t="s">
        <v>1875</v>
      </c>
      <c r="AD187" s="259">
        <v>900</v>
      </c>
      <c r="AE187" s="259">
        <v>900</v>
      </c>
      <c r="AF187" s="274"/>
      <c r="AJ187" s="319" t="s">
        <v>2191</v>
      </c>
      <c r="AK187" s="274"/>
      <c r="AL187" s="319" t="s">
        <v>2190</v>
      </c>
      <c r="AM187" s="259" t="s">
        <v>1975</v>
      </c>
      <c r="AN187" s="259" t="b">
        <v>0</v>
      </c>
      <c r="AP187" s="274"/>
      <c r="AQ187" s="274"/>
      <c r="AR187" s="274"/>
      <c r="AT187" s="274"/>
      <c r="AU187" s="274"/>
      <c r="AZ187" s="274"/>
      <c r="BA187" s="259" t="s">
        <v>373</v>
      </c>
      <c r="BB187" s="259" t="s">
        <v>1610</v>
      </c>
      <c r="BC187" s="259" t="s">
        <v>2192</v>
      </c>
    </row>
    <row r="188" spans="1:55" ht="135">
      <c r="A188" s="259">
        <v>313</v>
      </c>
      <c r="B188" s="259" t="s">
        <v>2491</v>
      </c>
      <c r="C188" s="259" t="s">
        <v>2551</v>
      </c>
      <c r="D188" s="259" t="s">
        <v>8</v>
      </c>
      <c r="E188" s="259" t="s">
        <v>9</v>
      </c>
      <c r="F188" s="259" t="s">
        <v>1771</v>
      </c>
      <c r="G188" s="274">
        <v>44756</v>
      </c>
      <c r="H188" s="274"/>
      <c r="I188" s="274"/>
      <c r="N188" s="259" t="s">
        <v>122</v>
      </c>
      <c r="P188" s="259" t="s">
        <v>1554</v>
      </c>
      <c r="Q188" s="259" t="s">
        <v>2198</v>
      </c>
      <c r="R188" s="274">
        <v>44571.631597222222</v>
      </c>
      <c r="S188" s="321">
        <v>2022</v>
      </c>
      <c r="T188" s="259" t="s">
        <v>2001</v>
      </c>
      <c r="U188" s="259" t="s">
        <v>630</v>
      </c>
      <c r="V188" s="259" t="s">
        <v>631</v>
      </c>
      <c r="W188" s="259" t="s">
        <v>145</v>
      </c>
      <c r="X188" s="259" t="s">
        <v>309</v>
      </c>
      <c r="Y188" s="365">
        <v>44835</v>
      </c>
      <c r="Z188" s="259" t="s">
        <v>1875</v>
      </c>
      <c r="AA188" s="274"/>
      <c r="AB188" s="259" t="s">
        <v>139</v>
      </c>
      <c r="AC188" s="259" t="s">
        <v>1875</v>
      </c>
      <c r="AD188" s="259">
        <v>900</v>
      </c>
      <c r="AE188" s="259">
        <v>900</v>
      </c>
      <c r="AF188" s="274"/>
      <c r="AJ188" s="319" t="s">
        <v>2191</v>
      </c>
      <c r="AK188" s="274"/>
      <c r="AL188" s="319" t="s">
        <v>2190</v>
      </c>
      <c r="AM188" s="259" t="s">
        <v>1975</v>
      </c>
      <c r="AN188" s="259" t="b">
        <v>0</v>
      </c>
      <c r="AP188" s="274"/>
      <c r="AQ188" s="274"/>
      <c r="AR188" s="274"/>
      <c r="AT188" s="274"/>
      <c r="AU188" s="274"/>
      <c r="AZ188" s="274"/>
      <c r="BA188" s="259" t="s">
        <v>373</v>
      </c>
      <c r="BB188" s="259" t="s">
        <v>1610</v>
      </c>
      <c r="BC188" s="259" t="s">
        <v>2192</v>
      </c>
    </row>
    <row r="189" spans="1:55" ht="135">
      <c r="A189" s="259">
        <v>306</v>
      </c>
      <c r="B189" s="259" t="s">
        <v>2544</v>
      </c>
      <c r="C189" s="259" t="s">
        <v>2545</v>
      </c>
      <c r="D189" s="259" t="s">
        <v>8</v>
      </c>
      <c r="E189" s="259" t="s">
        <v>9</v>
      </c>
      <c r="F189" s="259" t="s">
        <v>1771</v>
      </c>
      <c r="G189" s="274">
        <v>44746</v>
      </c>
      <c r="H189" s="274"/>
      <c r="I189" s="274"/>
      <c r="N189" s="259" t="s">
        <v>122</v>
      </c>
      <c r="P189" s="259" t="s">
        <v>1554</v>
      </c>
      <c r="Q189" s="259" t="s">
        <v>2198</v>
      </c>
      <c r="R189" s="274">
        <v>44571.62976851852</v>
      </c>
      <c r="S189" s="321">
        <v>2022</v>
      </c>
      <c r="T189" s="259" t="s">
        <v>2001</v>
      </c>
      <c r="U189" s="259" t="s">
        <v>630</v>
      </c>
      <c r="V189" s="259" t="s">
        <v>631</v>
      </c>
      <c r="W189" s="259" t="s">
        <v>145</v>
      </c>
      <c r="X189" s="259" t="s">
        <v>309</v>
      </c>
      <c r="Y189" s="365">
        <v>44835</v>
      </c>
      <c r="Z189" s="259" t="s">
        <v>1875</v>
      </c>
      <c r="AA189" s="274"/>
      <c r="AB189" s="259" t="s">
        <v>139</v>
      </c>
      <c r="AC189" s="259" t="s">
        <v>1875</v>
      </c>
      <c r="AD189" s="259">
        <v>900</v>
      </c>
      <c r="AE189" s="259">
        <v>900</v>
      </c>
      <c r="AF189" s="274"/>
      <c r="AJ189" s="319" t="s">
        <v>2191</v>
      </c>
      <c r="AK189" s="274"/>
      <c r="AL189" s="319" t="s">
        <v>2190</v>
      </c>
      <c r="AM189" s="259" t="s">
        <v>1975</v>
      </c>
      <c r="AN189" s="259" t="b">
        <v>0</v>
      </c>
      <c r="AP189" s="274"/>
      <c r="AQ189" s="274"/>
      <c r="AR189" s="274"/>
      <c r="AT189" s="274"/>
      <c r="AU189" s="274"/>
      <c r="AZ189" s="274"/>
      <c r="BA189" s="259" t="s">
        <v>373</v>
      </c>
      <c r="BB189" s="259" t="s">
        <v>1610</v>
      </c>
      <c r="BC189" s="259" t="s">
        <v>2192</v>
      </c>
    </row>
    <row r="190" spans="1:55" ht="135">
      <c r="A190" s="259">
        <v>311</v>
      </c>
      <c r="B190" s="259" t="s">
        <v>2547</v>
      </c>
      <c r="C190" s="259" t="s">
        <v>2548</v>
      </c>
      <c r="D190" s="259" t="s">
        <v>8</v>
      </c>
      <c r="E190" s="259" t="s">
        <v>9</v>
      </c>
      <c r="F190" s="259" t="s">
        <v>1771</v>
      </c>
      <c r="G190" s="274">
        <v>44748</v>
      </c>
      <c r="H190" s="274"/>
      <c r="I190" s="274"/>
      <c r="N190" s="259" t="s">
        <v>122</v>
      </c>
      <c r="P190" s="259" t="s">
        <v>1554</v>
      </c>
      <c r="Q190" s="259" t="s">
        <v>2198</v>
      </c>
      <c r="R190" s="274">
        <v>44571.630740740744</v>
      </c>
      <c r="S190" s="321">
        <v>2022</v>
      </c>
      <c r="T190" s="259" t="s">
        <v>2001</v>
      </c>
      <c r="U190" s="259" t="s">
        <v>630</v>
      </c>
      <c r="V190" s="259" t="s">
        <v>631</v>
      </c>
      <c r="W190" s="259" t="s">
        <v>145</v>
      </c>
      <c r="X190" s="259" t="s">
        <v>309</v>
      </c>
      <c r="Y190" s="365">
        <v>44835</v>
      </c>
      <c r="Z190" s="259" t="s">
        <v>1875</v>
      </c>
      <c r="AA190" s="274"/>
      <c r="AB190" s="259" t="s">
        <v>139</v>
      </c>
      <c r="AC190" s="259" t="s">
        <v>1875</v>
      </c>
      <c r="AD190" s="259">
        <v>900</v>
      </c>
      <c r="AE190" s="259">
        <v>900</v>
      </c>
      <c r="AF190" s="274"/>
      <c r="AJ190" s="319" t="s">
        <v>2191</v>
      </c>
      <c r="AK190" s="274"/>
      <c r="AL190" s="319" t="s">
        <v>2190</v>
      </c>
      <c r="AM190" s="259" t="s">
        <v>1975</v>
      </c>
      <c r="AN190" s="259" t="b">
        <v>0</v>
      </c>
      <c r="AP190" s="274"/>
      <c r="AQ190" s="274"/>
      <c r="AR190" s="274"/>
      <c r="AT190" s="274"/>
      <c r="AU190" s="274"/>
      <c r="AZ190" s="274"/>
      <c r="BA190" s="259" t="s">
        <v>373</v>
      </c>
      <c r="BB190" s="259" t="s">
        <v>1610</v>
      </c>
      <c r="BC190" s="259" t="s">
        <v>2192</v>
      </c>
    </row>
    <row r="191" spans="1:55" ht="135">
      <c r="A191" s="259">
        <v>249</v>
      </c>
      <c r="B191" s="259" t="s">
        <v>2454</v>
      </c>
      <c r="C191" s="259" t="s">
        <v>2527</v>
      </c>
      <c r="D191" s="259" t="s">
        <v>8</v>
      </c>
      <c r="E191" s="259" t="s">
        <v>9</v>
      </c>
      <c r="F191" s="259" t="s">
        <v>1771</v>
      </c>
      <c r="G191" s="274">
        <v>44664</v>
      </c>
      <c r="H191" s="274"/>
      <c r="I191" s="274"/>
      <c r="N191" s="259" t="s">
        <v>122</v>
      </c>
      <c r="P191" s="259" t="s">
        <v>1554</v>
      </c>
      <c r="Q191" s="259" t="s">
        <v>2198</v>
      </c>
      <c r="R191" s="274">
        <v>44571.624131944445</v>
      </c>
      <c r="S191" s="321">
        <v>2022</v>
      </c>
      <c r="T191" s="259" t="s">
        <v>2001</v>
      </c>
      <c r="U191" s="259" t="s">
        <v>630</v>
      </c>
      <c r="V191" s="259" t="s">
        <v>631</v>
      </c>
      <c r="W191" s="259" t="s">
        <v>145</v>
      </c>
      <c r="X191" s="259" t="s">
        <v>309</v>
      </c>
      <c r="Y191" s="365">
        <v>44835</v>
      </c>
      <c r="Z191" s="259" t="s">
        <v>1875</v>
      </c>
      <c r="AA191" s="274"/>
      <c r="AB191" s="259" t="s">
        <v>139</v>
      </c>
      <c r="AC191" s="259" t="s">
        <v>1875</v>
      </c>
      <c r="AD191" s="259">
        <v>900</v>
      </c>
      <c r="AE191" s="259">
        <v>900</v>
      </c>
      <c r="AF191" s="274"/>
      <c r="AJ191" s="319" t="s">
        <v>2191</v>
      </c>
      <c r="AK191" s="274"/>
      <c r="AL191" s="319" t="s">
        <v>2190</v>
      </c>
      <c r="AM191" s="259" t="s">
        <v>1975</v>
      </c>
      <c r="AN191" s="259" t="b">
        <v>0</v>
      </c>
      <c r="AP191" s="274"/>
      <c r="AQ191" s="274"/>
      <c r="AR191" s="274"/>
      <c r="AT191" s="274"/>
      <c r="AU191" s="274"/>
      <c r="AZ191" s="274"/>
      <c r="BA191" s="259" t="s">
        <v>373</v>
      </c>
      <c r="BB191" s="259" t="s">
        <v>1610</v>
      </c>
      <c r="BC191" s="259" t="s">
        <v>2192</v>
      </c>
    </row>
    <row r="192" spans="1:55" ht="135">
      <c r="A192" s="259">
        <v>307</v>
      </c>
      <c r="B192" s="259" t="s">
        <v>2489</v>
      </c>
      <c r="C192" s="259" t="s">
        <v>2546</v>
      </c>
      <c r="D192" s="259" t="s">
        <v>8</v>
      </c>
      <c r="E192" s="259" t="s">
        <v>9</v>
      </c>
      <c r="F192" s="259" t="s">
        <v>1771</v>
      </c>
      <c r="G192" s="274">
        <v>44746</v>
      </c>
      <c r="H192" s="274"/>
      <c r="I192" s="274"/>
      <c r="N192" s="259" t="s">
        <v>122</v>
      </c>
      <c r="P192" s="259" t="s">
        <v>1554</v>
      </c>
      <c r="Q192" s="259" t="s">
        <v>2198</v>
      </c>
      <c r="R192" s="274">
        <v>44571.630196759259</v>
      </c>
      <c r="S192" s="321">
        <v>2022</v>
      </c>
      <c r="T192" s="259" t="s">
        <v>2001</v>
      </c>
      <c r="U192" s="259" t="s">
        <v>630</v>
      </c>
      <c r="V192" s="259" t="s">
        <v>631</v>
      </c>
      <c r="W192" s="259" t="s">
        <v>145</v>
      </c>
      <c r="X192" s="259" t="s">
        <v>309</v>
      </c>
      <c r="Y192" s="365">
        <v>44835</v>
      </c>
      <c r="Z192" s="259" t="s">
        <v>1875</v>
      </c>
      <c r="AA192" s="274"/>
      <c r="AB192" s="259" t="s">
        <v>139</v>
      </c>
      <c r="AC192" s="259" t="s">
        <v>1875</v>
      </c>
      <c r="AD192" s="259">
        <v>900</v>
      </c>
      <c r="AE192" s="259">
        <v>900</v>
      </c>
      <c r="AF192" s="274"/>
      <c r="AJ192" s="319" t="s">
        <v>2191</v>
      </c>
      <c r="AK192" s="274"/>
      <c r="AL192" s="319" t="s">
        <v>2190</v>
      </c>
      <c r="AM192" s="259" t="s">
        <v>1975</v>
      </c>
      <c r="AN192" s="259" t="b">
        <v>0</v>
      </c>
      <c r="AP192" s="274"/>
      <c r="AQ192" s="274"/>
      <c r="AR192" s="274"/>
      <c r="AT192" s="274"/>
      <c r="AU192" s="274"/>
      <c r="AZ192" s="274"/>
      <c r="BA192" s="259" t="s">
        <v>373</v>
      </c>
      <c r="BB192" s="259" t="s">
        <v>1610</v>
      </c>
      <c r="BC192" s="259" t="s">
        <v>2192</v>
      </c>
    </row>
    <row r="193" spans="1:55" ht="135">
      <c r="A193" s="259">
        <v>265</v>
      </c>
      <c r="B193" s="259" t="s">
        <v>2535</v>
      </c>
      <c r="C193" s="259" t="s">
        <v>2536</v>
      </c>
      <c r="D193" s="259" t="s">
        <v>8</v>
      </c>
      <c r="E193" s="259" t="s">
        <v>9</v>
      </c>
      <c r="F193" s="259" t="s">
        <v>1771</v>
      </c>
      <c r="G193" s="274">
        <v>44701</v>
      </c>
      <c r="H193" s="274"/>
      <c r="I193" s="274"/>
      <c r="N193" s="259" t="s">
        <v>122</v>
      </c>
      <c r="P193" s="259" t="s">
        <v>1554</v>
      </c>
      <c r="Q193" s="259" t="s">
        <v>2198</v>
      </c>
      <c r="R193" s="274">
        <v>44571.627152777779</v>
      </c>
      <c r="S193" s="321">
        <v>2022</v>
      </c>
      <c r="T193" s="259" t="s">
        <v>2001</v>
      </c>
      <c r="U193" s="259" t="s">
        <v>630</v>
      </c>
      <c r="V193" s="259" t="s">
        <v>631</v>
      </c>
      <c r="W193" s="259" t="s">
        <v>145</v>
      </c>
      <c r="X193" s="259" t="s">
        <v>309</v>
      </c>
      <c r="Y193" s="365">
        <v>44835</v>
      </c>
      <c r="Z193" s="259" t="s">
        <v>1875</v>
      </c>
      <c r="AA193" s="274"/>
      <c r="AB193" s="259" t="s">
        <v>139</v>
      </c>
      <c r="AC193" s="259" t="s">
        <v>1875</v>
      </c>
      <c r="AD193" s="259">
        <v>900</v>
      </c>
      <c r="AE193" s="259">
        <v>900</v>
      </c>
      <c r="AF193" s="274"/>
      <c r="AJ193" s="319" t="s">
        <v>2191</v>
      </c>
      <c r="AK193" s="274"/>
      <c r="AL193" s="319" t="s">
        <v>2190</v>
      </c>
      <c r="AM193" s="259" t="s">
        <v>1975</v>
      </c>
      <c r="AN193" s="259" t="b">
        <v>0</v>
      </c>
      <c r="AP193" s="274"/>
      <c r="AQ193" s="274"/>
      <c r="AR193" s="274"/>
      <c r="AT193" s="274"/>
      <c r="AU193" s="274"/>
      <c r="AZ193" s="274"/>
      <c r="BA193" s="259" t="s">
        <v>373</v>
      </c>
      <c r="BB193" s="259" t="s">
        <v>1610</v>
      </c>
      <c r="BC193" s="259" t="s">
        <v>2192</v>
      </c>
    </row>
    <row r="194" spans="1:55" ht="135">
      <c r="A194" s="259">
        <v>225</v>
      </c>
      <c r="B194" s="259" t="s">
        <v>2519</v>
      </c>
      <c r="C194" s="259" t="s">
        <v>2520</v>
      </c>
      <c r="D194" s="259" t="s">
        <v>8</v>
      </c>
      <c r="E194" s="259" t="s">
        <v>9</v>
      </c>
      <c r="F194" s="259" t="s">
        <v>1771</v>
      </c>
      <c r="G194" s="274">
        <v>44607</v>
      </c>
      <c r="H194" s="274"/>
      <c r="I194" s="274"/>
      <c r="N194" s="259" t="s">
        <v>122</v>
      </c>
      <c r="P194" s="259" t="s">
        <v>1554</v>
      </c>
      <c r="Q194" s="259" t="s">
        <v>2198</v>
      </c>
      <c r="R194" s="274">
        <v>44571.620972222219</v>
      </c>
      <c r="S194" s="321">
        <v>2022</v>
      </c>
      <c r="T194" s="259" t="s">
        <v>2001</v>
      </c>
      <c r="U194" s="259" t="s">
        <v>630</v>
      </c>
      <c r="V194" s="259" t="s">
        <v>631</v>
      </c>
      <c r="W194" s="259" t="s">
        <v>145</v>
      </c>
      <c r="X194" s="259" t="s">
        <v>309</v>
      </c>
      <c r="Y194" s="365">
        <v>44835</v>
      </c>
      <c r="Z194" s="259" t="s">
        <v>1875</v>
      </c>
      <c r="AA194" s="274"/>
      <c r="AB194" s="259" t="s">
        <v>139</v>
      </c>
      <c r="AC194" s="259" t="s">
        <v>1875</v>
      </c>
      <c r="AD194" s="259">
        <v>900</v>
      </c>
      <c r="AE194" s="259">
        <v>900</v>
      </c>
      <c r="AF194" s="274"/>
      <c r="AJ194" s="319" t="s">
        <v>2191</v>
      </c>
      <c r="AK194" s="274"/>
      <c r="AL194" s="319" t="s">
        <v>2190</v>
      </c>
      <c r="AM194" s="259" t="s">
        <v>1975</v>
      </c>
      <c r="AN194" s="259" t="b">
        <v>0</v>
      </c>
      <c r="AP194" s="274"/>
      <c r="AQ194" s="274"/>
      <c r="AR194" s="274"/>
      <c r="AT194" s="274"/>
      <c r="AU194" s="274"/>
      <c r="AZ194" s="274"/>
      <c r="BA194" s="259" t="s">
        <v>373</v>
      </c>
      <c r="BB194" s="259" t="s">
        <v>1610</v>
      </c>
      <c r="BC194" s="259" t="s">
        <v>2192</v>
      </c>
    </row>
    <row r="195" spans="1:55" ht="135">
      <c r="A195" s="259">
        <v>268</v>
      </c>
      <c r="B195" s="259" t="s">
        <v>2537</v>
      </c>
      <c r="C195" s="259" t="s">
        <v>2538</v>
      </c>
      <c r="D195" s="259" t="s">
        <v>8</v>
      </c>
      <c r="E195" s="259" t="s">
        <v>9</v>
      </c>
      <c r="F195" s="259" t="s">
        <v>1771</v>
      </c>
      <c r="G195" s="274">
        <v>44706</v>
      </c>
      <c r="H195" s="274"/>
      <c r="I195" s="274"/>
      <c r="N195" s="259" t="s">
        <v>122</v>
      </c>
      <c r="P195" s="259" t="s">
        <v>1554</v>
      </c>
      <c r="Q195" s="259" t="s">
        <v>2198</v>
      </c>
      <c r="R195" s="274">
        <v>44571.627662037034</v>
      </c>
      <c r="S195" s="321">
        <v>2022</v>
      </c>
      <c r="T195" s="259" t="s">
        <v>2001</v>
      </c>
      <c r="U195" s="259" t="s">
        <v>630</v>
      </c>
      <c r="V195" s="259" t="s">
        <v>631</v>
      </c>
      <c r="W195" s="259" t="s">
        <v>145</v>
      </c>
      <c r="X195" s="259" t="s">
        <v>309</v>
      </c>
      <c r="Y195" s="365">
        <v>44835</v>
      </c>
      <c r="Z195" s="259" t="s">
        <v>1875</v>
      </c>
      <c r="AA195" s="274"/>
      <c r="AB195" s="259" t="s">
        <v>139</v>
      </c>
      <c r="AC195" s="259" t="s">
        <v>1875</v>
      </c>
      <c r="AD195" s="259">
        <v>900</v>
      </c>
      <c r="AE195" s="259">
        <v>900</v>
      </c>
      <c r="AF195" s="274"/>
      <c r="AJ195" s="319" t="s">
        <v>2191</v>
      </c>
      <c r="AK195" s="274"/>
      <c r="AL195" s="319" t="s">
        <v>2190</v>
      </c>
      <c r="AM195" s="259" t="s">
        <v>1975</v>
      </c>
      <c r="AN195" s="259" t="b">
        <v>0</v>
      </c>
      <c r="AP195" s="274"/>
      <c r="AQ195" s="274"/>
      <c r="AR195" s="274"/>
      <c r="AT195" s="274"/>
      <c r="AU195" s="274"/>
      <c r="AZ195" s="274"/>
      <c r="BA195" s="259" t="s">
        <v>373</v>
      </c>
      <c r="BB195" s="259" t="s">
        <v>1610</v>
      </c>
      <c r="BC195" s="259" t="s">
        <v>2192</v>
      </c>
    </row>
    <row r="196" spans="1:55" ht="135">
      <c r="A196" s="259">
        <v>286</v>
      </c>
      <c r="B196" s="259" t="s">
        <v>2449</v>
      </c>
      <c r="C196" s="259" t="s">
        <v>2543</v>
      </c>
      <c r="D196" s="259" t="s">
        <v>8</v>
      </c>
      <c r="E196" s="259" t="s">
        <v>9</v>
      </c>
      <c r="F196" s="259" t="s">
        <v>1771</v>
      </c>
      <c r="G196" s="274">
        <v>44733</v>
      </c>
      <c r="H196" s="274"/>
      <c r="I196" s="274"/>
      <c r="N196" s="259" t="s">
        <v>122</v>
      </c>
      <c r="P196" s="259" t="s">
        <v>1554</v>
      </c>
      <c r="Q196" s="259" t="s">
        <v>2198</v>
      </c>
      <c r="R196" s="274">
        <v>44571.629386574074</v>
      </c>
      <c r="S196" s="321">
        <v>2022</v>
      </c>
      <c r="T196" s="259" t="s">
        <v>2001</v>
      </c>
      <c r="U196" s="259" t="s">
        <v>630</v>
      </c>
      <c r="V196" s="259" t="s">
        <v>631</v>
      </c>
      <c r="W196" s="259" t="s">
        <v>145</v>
      </c>
      <c r="X196" s="259" t="s">
        <v>309</v>
      </c>
      <c r="Y196" s="365">
        <v>44835</v>
      </c>
      <c r="Z196" s="259" t="s">
        <v>1875</v>
      </c>
      <c r="AA196" s="274"/>
      <c r="AB196" s="259" t="s">
        <v>139</v>
      </c>
      <c r="AC196" s="259" t="s">
        <v>1875</v>
      </c>
      <c r="AD196" s="259">
        <v>900</v>
      </c>
      <c r="AE196" s="259">
        <v>900</v>
      </c>
      <c r="AF196" s="274"/>
      <c r="AJ196" s="319" t="s">
        <v>2191</v>
      </c>
      <c r="AK196" s="274"/>
      <c r="AL196" s="319" t="s">
        <v>2190</v>
      </c>
      <c r="AM196" s="259" t="s">
        <v>1975</v>
      </c>
      <c r="AN196" s="259" t="b">
        <v>0</v>
      </c>
      <c r="AP196" s="274"/>
      <c r="AQ196" s="274"/>
      <c r="AR196" s="274"/>
      <c r="AT196" s="274"/>
      <c r="AU196" s="274"/>
      <c r="AZ196" s="274"/>
      <c r="BA196" s="259" t="s">
        <v>373</v>
      </c>
      <c r="BB196" s="259" t="s">
        <v>1610</v>
      </c>
      <c r="BC196" s="259" t="s">
        <v>2192</v>
      </c>
    </row>
    <row r="197" spans="1:55" ht="135">
      <c r="A197" s="259">
        <v>284</v>
      </c>
      <c r="B197" s="259" t="s">
        <v>2448</v>
      </c>
      <c r="C197" s="259" t="s">
        <v>2542</v>
      </c>
      <c r="D197" s="259" t="s">
        <v>8</v>
      </c>
      <c r="E197" s="259" t="s">
        <v>9</v>
      </c>
      <c r="F197" s="259" t="s">
        <v>1771</v>
      </c>
      <c r="G197" s="274">
        <v>44728</v>
      </c>
      <c r="H197" s="274"/>
      <c r="I197" s="274"/>
      <c r="N197" s="259" t="s">
        <v>122</v>
      </c>
      <c r="P197" s="259" t="s">
        <v>1554</v>
      </c>
      <c r="Q197" s="259" t="s">
        <v>2198</v>
      </c>
      <c r="R197" s="274">
        <v>44571.628935185188</v>
      </c>
      <c r="S197" s="321">
        <v>2022</v>
      </c>
      <c r="T197" s="259" t="s">
        <v>2001</v>
      </c>
      <c r="U197" s="259" t="s">
        <v>630</v>
      </c>
      <c r="V197" s="259" t="s">
        <v>631</v>
      </c>
      <c r="W197" s="259" t="s">
        <v>145</v>
      </c>
      <c r="X197" s="259" t="s">
        <v>309</v>
      </c>
      <c r="Y197" s="365">
        <v>44835</v>
      </c>
      <c r="Z197" s="259" t="s">
        <v>1875</v>
      </c>
      <c r="AA197" s="274"/>
      <c r="AB197" s="259" t="s">
        <v>139</v>
      </c>
      <c r="AC197" s="259" t="s">
        <v>1875</v>
      </c>
      <c r="AD197" s="259">
        <v>900</v>
      </c>
      <c r="AE197" s="259">
        <v>900</v>
      </c>
      <c r="AF197" s="274"/>
      <c r="AJ197" s="319" t="s">
        <v>2191</v>
      </c>
      <c r="AK197" s="274"/>
      <c r="AL197" s="319" t="s">
        <v>2190</v>
      </c>
      <c r="AM197" s="259" t="s">
        <v>1975</v>
      </c>
      <c r="AN197" s="259" t="b">
        <v>0</v>
      </c>
      <c r="AP197" s="274"/>
      <c r="AQ197" s="274"/>
      <c r="AR197" s="274"/>
      <c r="AT197" s="274"/>
      <c r="AU197" s="274"/>
      <c r="AZ197" s="274"/>
      <c r="BA197" s="259" t="s">
        <v>373</v>
      </c>
      <c r="BB197" s="259" t="s">
        <v>1610</v>
      </c>
      <c r="BC197" s="259" t="s">
        <v>2192</v>
      </c>
    </row>
    <row r="198" spans="1:55" ht="135">
      <c r="A198" s="259">
        <v>281</v>
      </c>
      <c r="B198" s="259" t="s">
        <v>2486</v>
      </c>
      <c r="C198" s="259" t="s">
        <v>2541</v>
      </c>
      <c r="D198" s="259" t="s">
        <v>8</v>
      </c>
      <c r="E198" s="259" t="s">
        <v>9</v>
      </c>
      <c r="F198" s="259" t="s">
        <v>1771</v>
      </c>
      <c r="G198" s="274">
        <v>44721</v>
      </c>
      <c r="H198" s="274"/>
      <c r="I198" s="274"/>
      <c r="N198" s="259" t="s">
        <v>122</v>
      </c>
      <c r="P198" s="259" t="s">
        <v>1554</v>
      </c>
      <c r="Q198" s="259" t="s">
        <v>2198</v>
      </c>
      <c r="R198" s="274">
        <v>44571.628495370373</v>
      </c>
      <c r="S198" s="321">
        <v>2022</v>
      </c>
      <c r="T198" s="259" t="s">
        <v>2001</v>
      </c>
      <c r="U198" s="259" t="s">
        <v>630</v>
      </c>
      <c r="V198" s="259" t="s">
        <v>631</v>
      </c>
      <c r="W198" s="259" t="s">
        <v>145</v>
      </c>
      <c r="X198" s="259" t="s">
        <v>309</v>
      </c>
      <c r="Y198" s="365">
        <v>44835</v>
      </c>
      <c r="Z198" s="259" t="s">
        <v>1875</v>
      </c>
      <c r="AA198" s="274"/>
      <c r="AB198" s="259" t="s">
        <v>139</v>
      </c>
      <c r="AC198" s="259" t="s">
        <v>1875</v>
      </c>
      <c r="AD198" s="259">
        <v>900</v>
      </c>
      <c r="AE198" s="259">
        <v>900</v>
      </c>
      <c r="AF198" s="274"/>
      <c r="AJ198" s="319" t="s">
        <v>2191</v>
      </c>
      <c r="AK198" s="274"/>
      <c r="AL198" s="319" t="s">
        <v>2190</v>
      </c>
      <c r="AM198" s="259" t="s">
        <v>1975</v>
      </c>
      <c r="AN198" s="259" t="b">
        <v>0</v>
      </c>
      <c r="AP198" s="274"/>
      <c r="AQ198" s="274"/>
      <c r="AR198" s="274"/>
      <c r="AT198" s="274"/>
      <c r="AU198" s="274"/>
      <c r="AZ198" s="274"/>
      <c r="BA198" s="259" t="s">
        <v>373</v>
      </c>
      <c r="BB198" s="259" t="s">
        <v>1610</v>
      </c>
      <c r="BC198" s="259" t="s">
        <v>2192</v>
      </c>
    </row>
    <row r="199" spans="1:55" ht="135">
      <c r="A199" s="259">
        <v>269</v>
      </c>
      <c r="B199" s="259" t="s">
        <v>2539</v>
      </c>
      <c r="C199" s="259" t="s">
        <v>2540</v>
      </c>
      <c r="D199" s="259" t="s">
        <v>8</v>
      </c>
      <c r="E199" s="259" t="s">
        <v>9</v>
      </c>
      <c r="F199" s="259" t="s">
        <v>1771</v>
      </c>
      <c r="G199" s="274">
        <v>44706</v>
      </c>
      <c r="H199" s="274"/>
      <c r="I199" s="274"/>
      <c r="N199" s="259" t="s">
        <v>122</v>
      </c>
      <c r="P199" s="259" t="s">
        <v>1554</v>
      </c>
      <c r="Q199" s="259" t="s">
        <v>2198</v>
      </c>
      <c r="R199" s="274">
        <v>44571.628136574072</v>
      </c>
      <c r="S199" s="321">
        <v>2022</v>
      </c>
      <c r="T199" s="259" t="s">
        <v>2001</v>
      </c>
      <c r="U199" s="259" t="s">
        <v>630</v>
      </c>
      <c r="V199" s="259" t="s">
        <v>631</v>
      </c>
      <c r="W199" s="259" t="s">
        <v>145</v>
      </c>
      <c r="X199" s="259" t="s">
        <v>309</v>
      </c>
      <c r="Y199" s="365">
        <v>44835</v>
      </c>
      <c r="Z199" s="259" t="s">
        <v>1875</v>
      </c>
      <c r="AA199" s="274"/>
      <c r="AB199" s="259" t="s">
        <v>139</v>
      </c>
      <c r="AC199" s="259" t="s">
        <v>1875</v>
      </c>
      <c r="AD199" s="259">
        <v>900</v>
      </c>
      <c r="AE199" s="259">
        <v>900</v>
      </c>
      <c r="AF199" s="274"/>
      <c r="AJ199" s="319" t="s">
        <v>2191</v>
      </c>
      <c r="AK199" s="274"/>
      <c r="AL199" s="319" t="s">
        <v>2190</v>
      </c>
      <c r="AM199" s="259" t="s">
        <v>1975</v>
      </c>
      <c r="AN199" s="259" t="b">
        <v>0</v>
      </c>
      <c r="AP199" s="274"/>
      <c r="AQ199" s="274"/>
      <c r="AR199" s="274"/>
      <c r="AT199" s="274"/>
      <c r="AU199" s="274"/>
      <c r="AZ199" s="274"/>
      <c r="BA199" s="259" t="s">
        <v>373</v>
      </c>
      <c r="BB199" s="259" t="s">
        <v>1610</v>
      </c>
      <c r="BC199" s="259" t="s">
        <v>2192</v>
      </c>
    </row>
    <row r="200" spans="1:55" ht="135">
      <c r="A200" s="259">
        <v>312</v>
      </c>
      <c r="B200" s="259" t="s">
        <v>2549</v>
      </c>
      <c r="C200" s="259" t="s">
        <v>2550</v>
      </c>
      <c r="D200" s="259" t="s">
        <v>8</v>
      </c>
      <c r="E200" s="259" t="s">
        <v>9</v>
      </c>
      <c r="F200" s="259" t="s">
        <v>1771</v>
      </c>
      <c r="G200" s="274">
        <v>44748</v>
      </c>
      <c r="H200" s="274"/>
      <c r="I200" s="274"/>
      <c r="N200" s="259" t="s">
        <v>122</v>
      </c>
      <c r="P200" s="259" t="s">
        <v>1554</v>
      </c>
      <c r="Q200" s="259" t="s">
        <v>2198</v>
      </c>
      <c r="R200" s="274">
        <v>44571.631168981483</v>
      </c>
      <c r="S200" s="321">
        <v>2022</v>
      </c>
      <c r="T200" s="259" t="s">
        <v>2001</v>
      </c>
      <c r="U200" s="259" t="s">
        <v>630</v>
      </c>
      <c r="V200" s="259" t="s">
        <v>631</v>
      </c>
      <c r="W200" s="259" t="s">
        <v>145</v>
      </c>
      <c r="X200" s="259" t="s">
        <v>309</v>
      </c>
      <c r="Y200" s="365">
        <v>44835</v>
      </c>
      <c r="Z200" s="259" t="s">
        <v>1875</v>
      </c>
      <c r="AA200" s="274"/>
      <c r="AB200" s="259" t="s">
        <v>139</v>
      </c>
      <c r="AC200" s="259" t="s">
        <v>1875</v>
      </c>
      <c r="AD200" s="259">
        <v>900</v>
      </c>
      <c r="AE200" s="259">
        <v>900</v>
      </c>
      <c r="AF200" s="274"/>
      <c r="AJ200" s="319" t="s">
        <v>2191</v>
      </c>
      <c r="AK200" s="274"/>
      <c r="AL200" s="319" t="s">
        <v>2190</v>
      </c>
      <c r="AM200" s="259" t="s">
        <v>1975</v>
      </c>
      <c r="AN200" s="259" t="b">
        <v>0</v>
      </c>
      <c r="AP200" s="274"/>
      <c r="AQ200" s="274"/>
      <c r="AR200" s="274"/>
      <c r="AT200" s="274"/>
      <c r="AU200" s="274"/>
      <c r="AZ200" s="274"/>
      <c r="BA200" s="259" t="s">
        <v>373</v>
      </c>
      <c r="BB200" s="259" t="s">
        <v>1610</v>
      </c>
      <c r="BC200" s="259" t="s">
        <v>2192</v>
      </c>
    </row>
    <row r="201" spans="1:55" ht="135">
      <c r="A201" s="259">
        <v>350</v>
      </c>
      <c r="B201" s="259" t="s">
        <v>2826</v>
      </c>
      <c r="C201" s="259" t="s">
        <v>2827</v>
      </c>
      <c r="D201" s="259" t="s">
        <v>8</v>
      </c>
      <c r="E201" s="259" t="s">
        <v>9</v>
      </c>
      <c r="F201" s="259" t="s">
        <v>1771</v>
      </c>
      <c r="G201" s="274">
        <v>44810</v>
      </c>
      <c r="H201" s="274"/>
      <c r="I201" s="274"/>
      <c r="N201" s="259" t="s">
        <v>122</v>
      </c>
      <c r="P201" s="259" t="s">
        <v>1554</v>
      </c>
      <c r="Q201" s="259" t="s">
        <v>2198</v>
      </c>
      <c r="R201" s="274">
        <v>44630.546574074076</v>
      </c>
      <c r="S201" s="321">
        <v>2022</v>
      </c>
      <c r="T201" s="259" t="s">
        <v>2001</v>
      </c>
      <c r="U201" s="259" t="s">
        <v>630</v>
      </c>
      <c r="V201" s="259" t="s">
        <v>631</v>
      </c>
      <c r="W201" s="259" t="s">
        <v>145</v>
      </c>
      <c r="X201" s="259" t="s">
        <v>309</v>
      </c>
      <c r="Y201" s="365">
        <v>44835</v>
      </c>
      <c r="Z201" s="259" t="s">
        <v>1875</v>
      </c>
      <c r="AA201" s="274"/>
      <c r="AB201" s="259" t="s">
        <v>139</v>
      </c>
      <c r="AC201" s="259" t="s">
        <v>1875</v>
      </c>
      <c r="AD201" s="259">
        <v>900</v>
      </c>
      <c r="AE201" s="259">
        <v>900</v>
      </c>
      <c r="AF201" s="274"/>
      <c r="AJ201" s="319" t="s">
        <v>2191</v>
      </c>
      <c r="AK201" s="274"/>
      <c r="AL201" s="319" t="s">
        <v>2190</v>
      </c>
      <c r="AM201" s="259" t="s">
        <v>1975</v>
      </c>
      <c r="AN201" s="259" t="b">
        <v>0</v>
      </c>
      <c r="AP201" s="274"/>
      <c r="AQ201" s="274"/>
      <c r="AR201" s="274"/>
      <c r="AT201" s="274"/>
      <c r="AU201" s="274"/>
      <c r="AZ201" s="274"/>
      <c r="BA201" s="259" t="s">
        <v>373</v>
      </c>
      <c r="BB201" s="259" t="s">
        <v>1610</v>
      </c>
      <c r="BC201" s="259" t="s">
        <v>2192</v>
      </c>
    </row>
    <row r="202" spans="1:55" ht="135">
      <c r="A202" s="259">
        <v>198</v>
      </c>
      <c r="B202" s="259" t="s">
        <v>2515</v>
      </c>
      <c r="C202" s="259" t="s">
        <v>2516</v>
      </c>
      <c r="D202" s="259" t="s">
        <v>8</v>
      </c>
      <c r="E202" s="259" t="s">
        <v>9</v>
      </c>
      <c r="F202" s="259" t="s">
        <v>1771</v>
      </c>
      <c r="G202" s="274">
        <v>44537</v>
      </c>
      <c r="H202" s="274"/>
      <c r="I202" s="274"/>
      <c r="N202" s="259" t="s">
        <v>122</v>
      </c>
      <c r="P202" s="259" t="s">
        <v>1554</v>
      </c>
      <c r="Q202" s="259" t="s">
        <v>2198</v>
      </c>
      <c r="R202" s="274">
        <v>44571.620138888888</v>
      </c>
      <c r="S202" s="321">
        <v>2021</v>
      </c>
      <c r="T202" s="259" t="s">
        <v>2001</v>
      </c>
      <c r="U202" s="259" t="s">
        <v>630</v>
      </c>
      <c r="V202" s="259" t="s">
        <v>631</v>
      </c>
      <c r="W202" s="259" t="s">
        <v>145</v>
      </c>
      <c r="X202" s="259" t="s">
        <v>309</v>
      </c>
      <c r="Y202" s="365">
        <v>44835</v>
      </c>
      <c r="Z202" s="259" t="s">
        <v>1875</v>
      </c>
      <c r="AA202" s="274"/>
      <c r="AB202" s="259" t="s">
        <v>139</v>
      </c>
      <c r="AC202" s="259" t="s">
        <v>1875</v>
      </c>
      <c r="AD202" s="259">
        <v>900</v>
      </c>
      <c r="AE202" s="259">
        <v>900</v>
      </c>
      <c r="AF202" s="274"/>
      <c r="AJ202" s="319" t="s">
        <v>2191</v>
      </c>
      <c r="AK202" s="274"/>
      <c r="AL202" s="319" t="s">
        <v>2190</v>
      </c>
      <c r="AM202" s="259" t="s">
        <v>1975</v>
      </c>
      <c r="AN202" s="259" t="b">
        <v>0</v>
      </c>
      <c r="AP202" s="274"/>
      <c r="AQ202" s="274"/>
      <c r="AR202" s="274"/>
      <c r="AT202" s="274"/>
      <c r="AU202" s="274"/>
      <c r="AZ202" s="274"/>
      <c r="BA202" s="259" t="s">
        <v>373</v>
      </c>
      <c r="BB202" s="259" t="s">
        <v>1610</v>
      </c>
      <c r="BC202" s="259" t="s">
        <v>2192</v>
      </c>
    </row>
    <row r="203" spans="1:55" ht="135">
      <c r="A203" s="259">
        <v>373</v>
      </c>
      <c r="B203" s="259" t="s">
        <v>2838</v>
      </c>
      <c r="C203" s="259" t="s">
        <v>2839</v>
      </c>
      <c r="D203" s="259" t="s">
        <v>8</v>
      </c>
      <c r="E203" s="259" t="s">
        <v>9</v>
      </c>
      <c r="F203" s="259" t="s">
        <v>1771</v>
      </c>
      <c r="G203" s="274">
        <v>44834</v>
      </c>
      <c r="H203" s="274"/>
      <c r="I203" s="274"/>
      <c r="N203" s="259" t="s">
        <v>122</v>
      </c>
      <c r="P203" s="259" t="s">
        <v>1554</v>
      </c>
      <c r="Q203" s="259" t="s">
        <v>2198</v>
      </c>
      <c r="R203" s="274">
        <v>44630.550451388888</v>
      </c>
      <c r="S203" s="321">
        <v>2022</v>
      </c>
      <c r="T203" s="259" t="s">
        <v>2001</v>
      </c>
      <c r="U203" s="259" t="s">
        <v>630</v>
      </c>
      <c r="V203" s="259" t="s">
        <v>631</v>
      </c>
      <c r="W203" s="259" t="s">
        <v>145</v>
      </c>
      <c r="X203" s="259" t="s">
        <v>309</v>
      </c>
      <c r="Y203" s="365">
        <v>44835</v>
      </c>
      <c r="Z203" s="259" t="s">
        <v>1875</v>
      </c>
      <c r="AA203" s="274"/>
      <c r="AB203" s="259" t="s">
        <v>139</v>
      </c>
      <c r="AC203" s="259" t="s">
        <v>1875</v>
      </c>
      <c r="AD203" s="259">
        <v>900</v>
      </c>
      <c r="AE203" s="259">
        <v>900</v>
      </c>
      <c r="AF203" s="274"/>
      <c r="AJ203" s="319" t="s">
        <v>2191</v>
      </c>
      <c r="AK203" s="274"/>
      <c r="AL203" s="319" t="s">
        <v>2190</v>
      </c>
      <c r="AM203" s="259" t="s">
        <v>1975</v>
      </c>
      <c r="AN203" s="259" t="b">
        <v>0</v>
      </c>
      <c r="AP203" s="274"/>
      <c r="AQ203" s="274"/>
      <c r="AR203" s="274"/>
      <c r="AT203" s="274"/>
      <c r="AU203" s="274"/>
      <c r="AZ203" s="274"/>
      <c r="BA203" s="259" t="s">
        <v>373</v>
      </c>
      <c r="BB203" s="259" t="s">
        <v>1610</v>
      </c>
      <c r="BC203" s="259" t="s">
        <v>2192</v>
      </c>
    </row>
    <row r="204" spans="1:55" ht="135">
      <c r="A204" s="259">
        <v>371</v>
      </c>
      <c r="B204" s="259" t="s">
        <v>2836</v>
      </c>
      <c r="C204" s="259" t="s">
        <v>2837</v>
      </c>
      <c r="D204" s="259" t="s">
        <v>8</v>
      </c>
      <c r="E204" s="259" t="s">
        <v>9</v>
      </c>
      <c r="F204" s="259" t="s">
        <v>1771</v>
      </c>
      <c r="G204" s="274">
        <v>44833</v>
      </c>
      <c r="H204" s="274"/>
      <c r="I204" s="274"/>
      <c r="N204" s="259" t="s">
        <v>122</v>
      </c>
      <c r="P204" s="259" t="s">
        <v>1554</v>
      </c>
      <c r="Q204" s="259" t="s">
        <v>2198</v>
      </c>
      <c r="R204" s="274">
        <v>44630.549375000002</v>
      </c>
      <c r="S204" s="321">
        <v>2022</v>
      </c>
      <c r="T204" s="259" t="s">
        <v>2001</v>
      </c>
      <c r="U204" s="259" t="s">
        <v>630</v>
      </c>
      <c r="V204" s="259" t="s">
        <v>631</v>
      </c>
      <c r="W204" s="259" t="s">
        <v>145</v>
      </c>
      <c r="X204" s="259" t="s">
        <v>309</v>
      </c>
      <c r="Y204" s="365">
        <v>44835</v>
      </c>
      <c r="Z204" s="259" t="s">
        <v>1875</v>
      </c>
      <c r="AA204" s="274"/>
      <c r="AB204" s="259" t="s">
        <v>139</v>
      </c>
      <c r="AC204" s="259" t="s">
        <v>1875</v>
      </c>
      <c r="AD204" s="259">
        <v>900</v>
      </c>
      <c r="AE204" s="259">
        <v>900</v>
      </c>
      <c r="AF204" s="274"/>
      <c r="AJ204" s="319" t="s">
        <v>2191</v>
      </c>
      <c r="AK204" s="274"/>
      <c r="AL204" s="319" t="s">
        <v>2190</v>
      </c>
      <c r="AM204" s="259" t="s">
        <v>1975</v>
      </c>
      <c r="AN204" s="259" t="b">
        <v>0</v>
      </c>
      <c r="AP204" s="274"/>
      <c r="AQ204" s="274"/>
      <c r="AR204" s="274"/>
      <c r="AT204" s="274"/>
      <c r="AU204" s="274"/>
      <c r="AZ204" s="274"/>
      <c r="BA204" s="259" t="s">
        <v>373</v>
      </c>
      <c r="BB204" s="259" t="s">
        <v>1610</v>
      </c>
      <c r="BC204" s="259" t="s">
        <v>2192</v>
      </c>
    </row>
    <row r="205" spans="1:55" ht="135">
      <c r="A205" s="259">
        <v>233</v>
      </c>
      <c r="B205" s="259" t="s">
        <v>2475</v>
      </c>
      <c r="C205" s="259" t="s">
        <v>2521</v>
      </c>
      <c r="D205" s="259" t="s">
        <v>8</v>
      </c>
      <c r="E205" s="259" t="s">
        <v>9</v>
      </c>
      <c r="F205" s="259" t="s">
        <v>1771</v>
      </c>
      <c r="G205" s="274">
        <v>44627</v>
      </c>
      <c r="H205" s="274"/>
      <c r="I205" s="274"/>
      <c r="N205" s="259" t="s">
        <v>122</v>
      </c>
      <c r="P205" s="259" t="s">
        <v>1554</v>
      </c>
      <c r="Q205" s="259" t="s">
        <v>2198</v>
      </c>
      <c r="R205" s="274">
        <v>44571.622650462959</v>
      </c>
      <c r="S205" s="321">
        <v>2022</v>
      </c>
      <c r="T205" s="259" t="s">
        <v>2001</v>
      </c>
      <c r="U205" s="259" t="s">
        <v>630</v>
      </c>
      <c r="V205" s="259" t="s">
        <v>631</v>
      </c>
      <c r="W205" s="259" t="s">
        <v>145</v>
      </c>
      <c r="X205" s="259" t="s">
        <v>309</v>
      </c>
      <c r="Y205" s="365">
        <v>44835</v>
      </c>
      <c r="Z205" s="259" t="s">
        <v>1875</v>
      </c>
      <c r="AA205" s="274"/>
      <c r="AB205" s="259" t="s">
        <v>139</v>
      </c>
      <c r="AC205" s="259" t="s">
        <v>1875</v>
      </c>
      <c r="AD205" s="259">
        <v>900</v>
      </c>
      <c r="AE205" s="259">
        <v>900</v>
      </c>
      <c r="AF205" s="274"/>
      <c r="AJ205" s="319" t="s">
        <v>2191</v>
      </c>
      <c r="AK205" s="274"/>
      <c r="AL205" s="319" t="s">
        <v>2190</v>
      </c>
      <c r="AM205" s="259" t="s">
        <v>1975</v>
      </c>
      <c r="AN205" s="259" t="b">
        <v>0</v>
      </c>
      <c r="AP205" s="274"/>
      <c r="AQ205" s="274"/>
      <c r="AR205" s="274"/>
      <c r="AT205" s="274"/>
      <c r="AU205" s="274"/>
      <c r="AZ205" s="274"/>
      <c r="BA205" s="259" t="s">
        <v>373</v>
      </c>
      <c r="BB205" s="259" t="s">
        <v>1610</v>
      </c>
      <c r="BC205" s="259" t="s">
        <v>2192</v>
      </c>
    </row>
    <row r="206" spans="1:55" ht="135">
      <c r="A206" s="259">
        <v>242</v>
      </c>
      <c r="B206" s="259" t="s">
        <v>2522</v>
      </c>
      <c r="C206" s="259" t="s">
        <v>2523</v>
      </c>
      <c r="D206" s="259" t="s">
        <v>8</v>
      </c>
      <c r="E206" s="259" t="s">
        <v>9</v>
      </c>
      <c r="F206" s="259" t="s">
        <v>1771</v>
      </c>
      <c r="G206" s="274">
        <v>44644</v>
      </c>
      <c r="H206" s="274"/>
      <c r="I206" s="274"/>
      <c r="N206" s="259" t="s">
        <v>122</v>
      </c>
      <c r="P206" s="259" t="s">
        <v>1554</v>
      </c>
      <c r="Q206" s="259" t="s">
        <v>2198</v>
      </c>
      <c r="R206" s="274">
        <v>44571.623020833336</v>
      </c>
      <c r="S206" s="321">
        <v>2022</v>
      </c>
      <c r="T206" s="259" t="s">
        <v>2001</v>
      </c>
      <c r="U206" s="259" t="s">
        <v>630</v>
      </c>
      <c r="V206" s="259" t="s">
        <v>631</v>
      </c>
      <c r="W206" s="259" t="s">
        <v>145</v>
      </c>
      <c r="X206" s="259" t="s">
        <v>309</v>
      </c>
      <c r="Y206" s="365">
        <v>44835</v>
      </c>
      <c r="Z206" s="259" t="s">
        <v>1875</v>
      </c>
      <c r="AA206" s="274"/>
      <c r="AB206" s="259" t="s">
        <v>139</v>
      </c>
      <c r="AC206" s="259" t="s">
        <v>1875</v>
      </c>
      <c r="AD206" s="259">
        <v>900</v>
      </c>
      <c r="AE206" s="259">
        <v>900</v>
      </c>
      <c r="AF206" s="274"/>
      <c r="AJ206" s="319" t="s">
        <v>2191</v>
      </c>
      <c r="AK206" s="274"/>
      <c r="AL206" s="319" t="s">
        <v>2190</v>
      </c>
      <c r="AM206" s="259" t="s">
        <v>1975</v>
      </c>
      <c r="AN206" s="259" t="b">
        <v>0</v>
      </c>
      <c r="AP206" s="274"/>
      <c r="AQ206" s="274"/>
      <c r="AR206" s="274"/>
      <c r="AT206" s="274"/>
      <c r="AU206" s="274"/>
      <c r="AZ206" s="274"/>
      <c r="BA206" s="259" t="s">
        <v>373</v>
      </c>
      <c r="BB206" s="259" t="s">
        <v>1610</v>
      </c>
      <c r="BC206" s="259" t="s">
        <v>2192</v>
      </c>
    </row>
    <row r="207" spans="1:55" ht="135">
      <c r="A207" s="259">
        <v>361</v>
      </c>
      <c r="B207" s="259" t="s">
        <v>2834</v>
      </c>
      <c r="C207" s="259" t="s">
        <v>2835</v>
      </c>
      <c r="D207" s="259" t="s">
        <v>8</v>
      </c>
      <c r="E207" s="259" t="s">
        <v>9</v>
      </c>
      <c r="F207" s="259" t="s">
        <v>1771</v>
      </c>
      <c r="G207" s="274">
        <v>44826</v>
      </c>
      <c r="H207" s="274"/>
      <c r="I207" s="274"/>
      <c r="N207" s="259" t="s">
        <v>122</v>
      </c>
      <c r="P207" s="259" t="s">
        <v>1554</v>
      </c>
      <c r="Q207" s="259" t="s">
        <v>2198</v>
      </c>
      <c r="R207" s="274">
        <v>44630.548900462964</v>
      </c>
      <c r="S207" s="321">
        <v>2022</v>
      </c>
      <c r="T207" s="259" t="s">
        <v>2001</v>
      </c>
      <c r="U207" s="259" t="s">
        <v>630</v>
      </c>
      <c r="V207" s="259" t="s">
        <v>631</v>
      </c>
      <c r="W207" s="259" t="s">
        <v>145</v>
      </c>
      <c r="X207" s="259" t="s">
        <v>309</v>
      </c>
      <c r="Y207" s="365">
        <v>44835</v>
      </c>
      <c r="Z207" s="259" t="s">
        <v>1875</v>
      </c>
      <c r="AA207" s="274"/>
      <c r="AB207" s="259" t="s">
        <v>139</v>
      </c>
      <c r="AC207" s="259" t="s">
        <v>1875</v>
      </c>
      <c r="AD207" s="259">
        <v>900</v>
      </c>
      <c r="AE207" s="259">
        <v>900</v>
      </c>
      <c r="AF207" s="274"/>
      <c r="AJ207" s="319" t="s">
        <v>2191</v>
      </c>
      <c r="AK207" s="274"/>
      <c r="AL207" s="319" t="s">
        <v>2190</v>
      </c>
      <c r="AM207" s="259" t="s">
        <v>1975</v>
      </c>
      <c r="AN207" s="259" t="b">
        <v>0</v>
      </c>
      <c r="AP207" s="274"/>
      <c r="AQ207" s="274"/>
      <c r="AR207" s="274"/>
      <c r="AT207" s="274"/>
      <c r="AU207" s="274"/>
      <c r="AZ207" s="274"/>
      <c r="BA207" s="259" t="s">
        <v>373</v>
      </c>
      <c r="BB207" s="259" t="s">
        <v>1610</v>
      </c>
      <c r="BC207" s="259" t="s">
        <v>2192</v>
      </c>
    </row>
    <row r="208" spans="1:55" ht="135">
      <c r="A208" s="259">
        <v>210</v>
      </c>
      <c r="B208" s="259" t="s">
        <v>2517</v>
      </c>
      <c r="C208" s="259" t="s">
        <v>2518</v>
      </c>
      <c r="D208" s="259" t="s">
        <v>8</v>
      </c>
      <c r="E208" s="259" t="s">
        <v>9</v>
      </c>
      <c r="F208" s="259" t="s">
        <v>1771</v>
      </c>
      <c r="G208" s="274">
        <v>44576</v>
      </c>
      <c r="H208" s="274"/>
      <c r="I208" s="274"/>
      <c r="N208" s="259" t="s">
        <v>122</v>
      </c>
      <c r="P208" s="259" t="s">
        <v>1554</v>
      </c>
      <c r="Q208" s="259" t="s">
        <v>2198</v>
      </c>
      <c r="R208" s="274">
        <v>44571.620567129627</v>
      </c>
      <c r="S208" s="321">
        <v>2022</v>
      </c>
      <c r="T208" s="259" t="s">
        <v>2001</v>
      </c>
      <c r="U208" s="259" t="s">
        <v>630</v>
      </c>
      <c r="V208" s="259" t="s">
        <v>631</v>
      </c>
      <c r="W208" s="259" t="s">
        <v>145</v>
      </c>
      <c r="X208" s="259" t="s">
        <v>309</v>
      </c>
      <c r="Y208" s="365">
        <v>44835</v>
      </c>
      <c r="Z208" s="259" t="s">
        <v>1875</v>
      </c>
      <c r="AA208" s="274"/>
      <c r="AB208" s="259" t="s">
        <v>139</v>
      </c>
      <c r="AC208" s="259" t="s">
        <v>1875</v>
      </c>
      <c r="AD208" s="259">
        <v>900</v>
      </c>
      <c r="AE208" s="259">
        <v>900</v>
      </c>
      <c r="AF208" s="274"/>
      <c r="AJ208" s="319" t="s">
        <v>2191</v>
      </c>
      <c r="AK208" s="274"/>
      <c r="AL208" s="319" t="s">
        <v>2190</v>
      </c>
      <c r="AM208" s="259" t="s">
        <v>1975</v>
      </c>
      <c r="AN208" s="259" t="b">
        <v>0</v>
      </c>
      <c r="AP208" s="274"/>
      <c r="AQ208" s="274"/>
      <c r="AR208" s="274"/>
      <c r="AT208" s="274"/>
      <c r="AU208" s="274"/>
      <c r="AZ208" s="274"/>
      <c r="BA208" s="259" t="s">
        <v>373</v>
      </c>
      <c r="BB208" s="259" t="s">
        <v>1610</v>
      </c>
      <c r="BC208" s="259" t="s">
        <v>2192</v>
      </c>
    </row>
    <row r="209" spans="1:55" ht="135">
      <c r="A209" s="259">
        <v>248</v>
      </c>
      <c r="B209" s="259" t="s">
        <v>2453</v>
      </c>
      <c r="C209" s="259" t="s">
        <v>2526</v>
      </c>
      <c r="D209" s="259" t="s">
        <v>8</v>
      </c>
      <c r="E209" s="259" t="s">
        <v>9</v>
      </c>
      <c r="F209" s="259" t="s">
        <v>1771</v>
      </c>
      <c r="G209" s="274">
        <v>44664</v>
      </c>
      <c r="H209" s="274"/>
      <c r="I209" s="274"/>
      <c r="N209" s="259" t="s">
        <v>122</v>
      </c>
      <c r="P209" s="259" t="s">
        <v>1554</v>
      </c>
      <c r="Q209" s="259" t="s">
        <v>2198</v>
      </c>
      <c r="R209" s="274">
        <v>44571.623680555553</v>
      </c>
      <c r="S209" s="321">
        <v>2022</v>
      </c>
      <c r="T209" s="259" t="s">
        <v>2001</v>
      </c>
      <c r="U209" s="259" t="s">
        <v>630</v>
      </c>
      <c r="V209" s="259" t="s">
        <v>631</v>
      </c>
      <c r="W209" s="259" t="s">
        <v>145</v>
      </c>
      <c r="X209" s="259" t="s">
        <v>309</v>
      </c>
      <c r="Y209" s="365">
        <v>44835</v>
      </c>
      <c r="Z209" s="259" t="s">
        <v>1875</v>
      </c>
      <c r="AA209" s="274"/>
      <c r="AB209" s="259" t="s">
        <v>139</v>
      </c>
      <c r="AC209" s="259" t="s">
        <v>1875</v>
      </c>
      <c r="AD209" s="259">
        <v>900</v>
      </c>
      <c r="AE209" s="259">
        <v>900</v>
      </c>
      <c r="AF209" s="274"/>
      <c r="AJ209" s="319" t="s">
        <v>2191</v>
      </c>
      <c r="AK209" s="274"/>
      <c r="AL209" s="319" t="s">
        <v>2190</v>
      </c>
      <c r="AM209" s="259" t="s">
        <v>1975</v>
      </c>
      <c r="AN209" s="259" t="b">
        <v>0</v>
      </c>
      <c r="AP209" s="274"/>
      <c r="AQ209" s="274"/>
      <c r="AR209" s="274"/>
      <c r="AT209" s="274"/>
      <c r="AU209" s="274"/>
      <c r="AZ209" s="274"/>
      <c r="BA209" s="259" t="s">
        <v>373</v>
      </c>
      <c r="BB209" s="259" t="s">
        <v>1610</v>
      </c>
      <c r="BC209" s="259" t="s">
        <v>2192</v>
      </c>
    </row>
    <row r="210" spans="1:55" ht="135">
      <c r="A210" s="259">
        <v>346</v>
      </c>
      <c r="B210" s="259" t="s">
        <v>2832</v>
      </c>
      <c r="C210" s="259" t="s">
        <v>2833</v>
      </c>
      <c r="D210" s="259" t="s">
        <v>8</v>
      </c>
      <c r="E210" s="259" t="s">
        <v>9</v>
      </c>
      <c r="F210" s="259" t="s">
        <v>1771</v>
      </c>
      <c r="G210" s="274">
        <v>44809</v>
      </c>
      <c r="H210" s="274"/>
      <c r="I210" s="274"/>
      <c r="N210" s="259" t="s">
        <v>122</v>
      </c>
      <c r="P210" s="259" t="s">
        <v>1554</v>
      </c>
      <c r="Q210" s="259" t="s">
        <v>2198</v>
      </c>
      <c r="R210" s="274">
        <v>44630.548391203702</v>
      </c>
      <c r="S210" s="321">
        <v>2022</v>
      </c>
      <c r="T210" s="259" t="s">
        <v>2001</v>
      </c>
      <c r="U210" s="259" t="s">
        <v>630</v>
      </c>
      <c r="V210" s="259" t="s">
        <v>631</v>
      </c>
      <c r="W210" s="259" t="s">
        <v>145</v>
      </c>
      <c r="X210" s="259" t="s">
        <v>309</v>
      </c>
      <c r="Y210" s="365">
        <v>44835</v>
      </c>
      <c r="Z210" s="259" t="s">
        <v>1875</v>
      </c>
      <c r="AA210" s="274"/>
      <c r="AB210" s="259" t="s">
        <v>139</v>
      </c>
      <c r="AC210" s="259" t="s">
        <v>1875</v>
      </c>
      <c r="AD210" s="259">
        <v>900</v>
      </c>
      <c r="AE210" s="259">
        <v>900</v>
      </c>
      <c r="AF210" s="274"/>
      <c r="AJ210" s="319" t="s">
        <v>2191</v>
      </c>
      <c r="AK210" s="274"/>
      <c r="AL210" s="319" t="s">
        <v>2190</v>
      </c>
      <c r="AM210" s="259" t="s">
        <v>1975</v>
      </c>
      <c r="AN210" s="259" t="b">
        <v>0</v>
      </c>
      <c r="AP210" s="274"/>
      <c r="AQ210" s="274"/>
      <c r="AR210" s="274"/>
      <c r="AT210" s="274"/>
      <c r="AU210" s="274"/>
      <c r="AZ210" s="274"/>
      <c r="BA210" s="259" t="s">
        <v>373</v>
      </c>
      <c r="BB210" s="259" t="s">
        <v>1610</v>
      </c>
      <c r="BC210" s="259" t="s">
        <v>2192</v>
      </c>
    </row>
    <row r="211" spans="1:55" ht="135">
      <c r="A211" s="259">
        <v>345</v>
      </c>
      <c r="B211" s="259" t="s">
        <v>2830</v>
      </c>
      <c r="C211" s="259" t="s">
        <v>2831</v>
      </c>
      <c r="D211" s="259" t="s">
        <v>8</v>
      </c>
      <c r="E211" s="259" t="s">
        <v>9</v>
      </c>
      <c r="F211" s="259" t="s">
        <v>1771</v>
      </c>
      <c r="G211" s="274">
        <v>44809</v>
      </c>
      <c r="H211" s="274"/>
      <c r="I211" s="274"/>
      <c r="N211" s="259" t="s">
        <v>122</v>
      </c>
      <c r="P211" s="259" t="s">
        <v>1554</v>
      </c>
      <c r="Q211" s="259" t="s">
        <v>2198</v>
      </c>
      <c r="R211" s="274">
        <v>44630.54792824074</v>
      </c>
      <c r="S211" s="321">
        <v>2022</v>
      </c>
      <c r="T211" s="259" t="s">
        <v>2001</v>
      </c>
      <c r="U211" s="259" t="s">
        <v>630</v>
      </c>
      <c r="V211" s="259" t="s">
        <v>631</v>
      </c>
      <c r="W211" s="259" t="s">
        <v>145</v>
      </c>
      <c r="X211" s="259" t="s">
        <v>309</v>
      </c>
      <c r="Y211" s="365">
        <v>44835</v>
      </c>
      <c r="Z211" s="259" t="s">
        <v>1875</v>
      </c>
      <c r="AA211" s="274"/>
      <c r="AB211" s="259" t="s">
        <v>139</v>
      </c>
      <c r="AC211" s="259" t="s">
        <v>1875</v>
      </c>
      <c r="AD211" s="259">
        <v>900</v>
      </c>
      <c r="AE211" s="259">
        <v>900</v>
      </c>
      <c r="AF211" s="274"/>
      <c r="AJ211" s="319" t="s">
        <v>2191</v>
      </c>
      <c r="AK211" s="274"/>
      <c r="AL211" s="319" t="s">
        <v>2190</v>
      </c>
      <c r="AM211" s="259" t="s">
        <v>1975</v>
      </c>
      <c r="AN211" s="259" t="b">
        <v>0</v>
      </c>
      <c r="AP211" s="274"/>
      <c r="AQ211" s="274"/>
      <c r="AR211" s="274"/>
      <c r="AT211" s="274"/>
      <c r="AU211" s="274"/>
      <c r="AZ211" s="274"/>
      <c r="BA211" s="259" t="s">
        <v>373</v>
      </c>
      <c r="BB211" s="259" t="s">
        <v>1610</v>
      </c>
      <c r="BC211" s="259" t="s">
        <v>2192</v>
      </c>
    </row>
    <row r="212" spans="1:55" ht="135">
      <c r="A212" s="259">
        <v>344</v>
      </c>
      <c r="B212" s="259" t="s">
        <v>2828</v>
      </c>
      <c r="C212" s="259" t="s">
        <v>2829</v>
      </c>
      <c r="D212" s="259" t="s">
        <v>8</v>
      </c>
      <c r="E212" s="259" t="s">
        <v>9</v>
      </c>
      <c r="F212" s="259" t="s">
        <v>1771</v>
      </c>
      <c r="G212" s="274">
        <v>44809</v>
      </c>
      <c r="H212" s="274"/>
      <c r="I212" s="274"/>
      <c r="N212" s="259" t="s">
        <v>122</v>
      </c>
      <c r="P212" s="259" t="s">
        <v>1554</v>
      </c>
      <c r="Q212" s="259" t="s">
        <v>2198</v>
      </c>
      <c r="R212" s="274">
        <v>44630.5471875</v>
      </c>
      <c r="S212" s="321">
        <v>2022</v>
      </c>
      <c r="T212" s="259" t="s">
        <v>2001</v>
      </c>
      <c r="U212" s="259" t="s">
        <v>630</v>
      </c>
      <c r="V212" s="259" t="s">
        <v>631</v>
      </c>
      <c r="W212" s="259" t="s">
        <v>145</v>
      </c>
      <c r="X212" s="259" t="s">
        <v>309</v>
      </c>
      <c r="Y212" s="365">
        <v>44835</v>
      </c>
      <c r="Z212" s="259" t="s">
        <v>1875</v>
      </c>
      <c r="AA212" s="274"/>
      <c r="AB212" s="259" t="s">
        <v>139</v>
      </c>
      <c r="AC212" s="259" t="s">
        <v>1875</v>
      </c>
      <c r="AD212" s="259">
        <v>900</v>
      </c>
      <c r="AE212" s="259">
        <v>900</v>
      </c>
      <c r="AF212" s="274"/>
      <c r="AJ212" s="319" t="s">
        <v>2191</v>
      </c>
      <c r="AK212" s="274"/>
      <c r="AL212" s="319" t="s">
        <v>2190</v>
      </c>
      <c r="AM212" s="259" t="s">
        <v>1975</v>
      </c>
      <c r="AN212" s="259" t="b">
        <v>0</v>
      </c>
      <c r="AP212" s="274"/>
      <c r="AQ212" s="274"/>
      <c r="AR212" s="274"/>
      <c r="AT212" s="274"/>
      <c r="AU212" s="274"/>
      <c r="AZ212" s="274"/>
      <c r="BA212" s="259" t="s">
        <v>373</v>
      </c>
      <c r="BB212" s="259" t="s">
        <v>1610</v>
      </c>
      <c r="BC212" s="259" t="s">
        <v>2192</v>
      </c>
    </row>
    <row r="213" spans="1:55" ht="135">
      <c r="A213" s="259">
        <v>343</v>
      </c>
      <c r="B213" s="259" t="s">
        <v>2824</v>
      </c>
      <c r="C213" s="259" t="s">
        <v>2825</v>
      </c>
      <c r="D213" s="259" t="s">
        <v>8</v>
      </c>
      <c r="E213" s="259" t="s">
        <v>9</v>
      </c>
      <c r="F213" s="259" t="s">
        <v>1771</v>
      </c>
      <c r="G213" s="274">
        <v>44807</v>
      </c>
      <c r="H213" s="274"/>
      <c r="I213" s="274"/>
      <c r="N213" s="259" t="s">
        <v>122</v>
      </c>
      <c r="P213" s="259" t="s">
        <v>1554</v>
      </c>
      <c r="Q213" s="259" t="s">
        <v>2198</v>
      </c>
      <c r="R213" s="274">
        <v>44630.545960648145</v>
      </c>
      <c r="S213" s="321">
        <v>2022</v>
      </c>
      <c r="T213" s="259" t="s">
        <v>2001</v>
      </c>
      <c r="U213" s="259" t="s">
        <v>630</v>
      </c>
      <c r="V213" s="259" t="s">
        <v>631</v>
      </c>
      <c r="W213" s="259" t="s">
        <v>145</v>
      </c>
      <c r="X213" s="259" t="s">
        <v>309</v>
      </c>
      <c r="Y213" s="365">
        <v>44835</v>
      </c>
      <c r="Z213" s="259" t="s">
        <v>1875</v>
      </c>
      <c r="AA213" s="274"/>
      <c r="AB213" s="259" t="s">
        <v>139</v>
      </c>
      <c r="AC213" s="259" t="s">
        <v>1875</v>
      </c>
      <c r="AD213" s="259">
        <v>900</v>
      </c>
      <c r="AE213" s="259">
        <v>900</v>
      </c>
      <c r="AF213" s="274"/>
      <c r="AJ213" s="319" t="s">
        <v>2191</v>
      </c>
      <c r="AK213" s="274"/>
      <c r="AL213" s="319" t="s">
        <v>2190</v>
      </c>
      <c r="AM213" s="259" t="s">
        <v>1975</v>
      </c>
      <c r="AN213" s="259" t="b">
        <v>0</v>
      </c>
      <c r="AP213" s="274"/>
      <c r="AQ213" s="274"/>
      <c r="AR213" s="274"/>
      <c r="AT213" s="274"/>
      <c r="AU213" s="274"/>
      <c r="AZ213" s="274"/>
      <c r="BA213" s="259" t="s">
        <v>373</v>
      </c>
      <c r="BB213" s="259" t="s">
        <v>1610</v>
      </c>
      <c r="BC213" s="259" t="s">
        <v>2192</v>
      </c>
    </row>
    <row r="214" spans="1:55" ht="135">
      <c r="A214" s="259">
        <v>245</v>
      </c>
      <c r="B214" s="259" t="s">
        <v>2524</v>
      </c>
      <c r="C214" s="259" t="s">
        <v>2525</v>
      </c>
      <c r="D214" s="259" t="s">
        <v>8</v>
      </c>
      <c r="E214" s="259" t="s">
        <v>9</v>
      </c>
      <c r="F214" s="259" t="s">
        <v>1771</v>
      </c>
      <c r="G214" s="274">
        <v>44650</v>
      </c>
      <c r="H214" s="274"/>
      <c r="I214" s="274"/>
      <c r="N214" s="259" t="s">
        <v>122</v>
      </c>
      <c r="P214" s="259" t="s">
        <v>1554</v>
      </c>
      <c r="Q214" s="259" t="s">
        <v>2198</v>
      </c>
      <c r="R214" s="274">
        <v>44571.623368055552</v>
      </c>
      <c r="S214" s="321">
        <v>2022</v>
      </c>
      <c r="T214" s="259" t="s">
        <v>2001</v>
      </c>
      <c r="U214" s="259" t="s">
        <v>630</v>
      </c>
      <c r="V214" s="259" t="s">
        <v>631</v>
      </c>
      <c r="W214" s="259" t="s">
        <v>145</v>
      </c>
      <c r="X214" s="259" t="s">
        <v>309</v>
      </c>
      <c r="Y214" s="365">
        <v>44835</v>
      </c>
      <c r="Z214" s="259" t="s">
        <v>1875</v>
      </c>
      <c r="AA214" s="274"/>
      <c r="AB214" s="259" t="s">
        <v>139</v>
      </c>
      <c r="AC214" s="259" t="s">
        <v>1875</v>
      </c>
      <c r="AD214" s="259">
        <v>900</v>
      </c>
      <c r="AE214" s="259">
        <v>900</v>
      </c>
      <c r="AF214" s="274"/>
      <c r="AJ214" s="319" t="s">
        <v>2191</v>
      </c>
      <c r="AK214" s="274"/>
      <c r="AL214" s="319" t="s">
        <v>2190</v>
      </c>
      <c r="AM214" s="259" t="s">
        <v>1975</v>
      </c>
      <c r="AN214" s="259" t="b">
        <v>0</v>
      </c>
      <c r="AP214" s="274"/>
      <c r="AQ214" s="274"/>
      <c r="AR214" s="274"/>
      <c r="AT214" s="274"/>
      <c r="AU214" s="274"/>
      <c r="AZ214" s="274"/>
      <c r="BA214" s="259" t="s">
        <v>373</v>
      </c>
      <c r="BB214" s="259" t="s">
        <v>1610</v>
      </c>
      <c r="BC214" s="259" t="s">
        <v>2192</v>
      </c>
    </row>
    <row r="215" spans="1:55" ht="135">
      <c r="A215" s="259">
        <v>314</v>
      </c>
      <c r="B215" s="259" t="s">
        <v>2554</v>
      </c>
      <c r="C215" s="259" t="s">
        <v>2567</v>
      </c>
      <c r="D215" s="259" t="s">
        <v>8</v>
      </c>
      <c r="E215" s="259" t="s">
        <v>9</v>
      </c>
      <c r="F215" s="259" t="s">
        <v>1773</v>
      </c>
      <c r="G215" s="274">
        <v>44757</v>
      </c>
      <c r="H215" s="274"/>
      <c r="I215" s="274"/>
      <c r="N215" s="259" t="s">
        <v>122</v>
      </c>
      <c r="P215" s="259" t="s">
        <v>1554</v>
      </c>
      <c r="Q215" s="259" t="s">
        <v>2198</v>
      </c>
      <c r="R215" s="274">
        <v>44571.643275462964</v>
      </c>
      <c r="S215" s="321">
        <v>2022</v>
      </c>
      <c r="T215" s="259" t="s">
        <v>2001</v>
      </c>
      <c r="U215" s="259" t="s">
        <v>630</v>
      </c>
      <c r="V215" s="259" t="s">
        <v>631</v>
      </c>
      <c r="W215" s="259" t="s">
        <v>145</v>
      </c>
      <c r="X215" s="259" t="s">
        <v>309</v>
      </c>
      <c r="Y215" s="365">
        <v>44835</v>
      </c>
      <c r="Z215" s="259" t="s">
        <v>1875</v>
      </c>
      <c r="AA215" s="274"/>
      <c r="AB215" s="259" t="s">
        <v>139</v>
      </c>
      <c r="AC215" s="259" t="s">
        <v>1875</v>
      </c>
      <c r="AD215" s="259">
        <v>900</v>
      </c>
      <c r="AE215" s="259">
        <v>900</v>
      </c>
      <c r="AF215" s="274"/>
      <c r="AJ215" s="319" t="s">
        <v>2191</v>
      </c>
      <c r="AK215" s="274"/>
      <c r="AL215" s="319" t="s">
        <v>2190</v>
      </c>
      <c r="AM215" s="259" t="s">
        <v>1975</v>
      </c>
      <c r="AN215" s="259" t="b">
        <v>0</v>
      </c>
      <c r="AP215" s="274"/>
      <c r="AQ215" s="274"/>
      <c r="AR215" s="274"/>
      <c r="AT215" s="274"/>
      <c r="AU215" s="274"/>
      <c r="AZ215" s="274"/>
      <c r="BA215" s="259" t="s">
        <v>373</v>
      </c>
      <c r="BB215" s="259" t="s">
        <v>1610</v>
      </c>
      <c r="BC215" s="259" t="s">
        <v>2192</v>
      </c>
    </row>
    <row r="216" spans="1:55" ht="135">
      <c r="A216" s="259">
        <v>333</v>
      </c>
      <c r="B216" s="259" t="s">
        <v>2568</v>
      </c>
      <c r="C216" s="259" t="s">
        <v>2569</v>
      </c>
      <c r="D216" s="259" t="s">
        <v>8</v>
      </c>
      <c r="E216" s="259" t="s">
        <v>9</v>
      </c>
      <c r="F216" s="259" t="s">
        <v>1773</v>
      </c>
      <c r="G216" s="274">
        <v>44795</v>
      </c>
      <c r="H216" s="274"/>
      <c r="I216" s="274"/>
      <c r="N216" s="259" t="s">
        <v>122</v>
      </c>
      <c r="P216" s="259" t="s">
        <v>1554</v>
      </c>
      <c r="Q216" s="259" t="s">
        <v>2198</v>
      </c>
      <c r="R216" s="274">
        <v>44571.644120370373</v>
      </c>
      <c r="S216" s="321">
        <v>2022</v>
      </c>
      <c r="T216" s="259" t="s">
        <v>2001</v>
      </c>
      <c r="U216" s="259" t="s">
        <v>630</v>
      </c>
      <c r="V216" s="259" t="s">
        <v>631</v>
      </c>
      <c r="W216" s="259" t="s">
        <v>145</v>
      </c>
      <c r="X216" s="259" t="s">
        <v>309</v>
      </c>
      <c r="Y216" s="365">
        <v>44835</v>
      </c>
      <c r="Z216" s="259" t="s">
        <v>1875</v>
      </c>
      <c r="AA216" s="274"/>
      <c r="AB216" s="259" t="s">
        <v>139</v>
      </c>
      <c r="AC216" s="259" t="s">
        <v>1875</v>
      </c>
      <c r="AD216" s="259">
        <v>900</v>
      </c>
      <c r="AE216" s="259">
        <v>900</v>
      </c>
      <c r="AF216" s="274"/>
      <c r="AJ216" s="319" t="s">
        <v>2191</v>
      </c>
      <c r="AK216" s="274"/>
      <c r="AL216" s="319" t="s">
        <v>2190</v>
      </c>
      <c r="AM216" s="259" t="s">
        <v>1975</v>
      </c>
      <c r="AN216" s="259" t="b">
        <v>0</v>
      </c>
      <c r="AP216" s="274"/>
      <c r="AQ216" s="274"/>
      <c r="AR216" s="274"/>
      <c r="AT216" s="274"/>
      <c r="AU216" s="274"/>
      <c r="AZ216" s="274"/>
      <c r="BA216" s="259" t="s">
        <v>373</v>
      </c>
      <c r="BB216" s="259" t="s">
        <v>1610</v>
      </c>
      <c r="BC216" s="259" t="s">
        <v>2192</v>
      </c>
    </row>
    <row r="217" spans="1:55" ht="135">
      <c r="A217" s="259">
        <v>360</v>
      </c>
      <c r="B217" s="259" t="s">
        <v>2802</v>
      </c>
      <c r="C217" s="259" t="s">
        <v>2803</v>
      </c>
      <c r="D217" s="259" t="s">
        <v>8</v>
      </c>
      <c r="E217" s="259" t="s">
        <v>9</v>
      </c>
      <c r="F217" s="259" t="s">
        <v>1773</v>
      </c>
      <c r="G217" s="274">
        <v>44825</v>
      </c>
      <c r="H217" s="274"/>
      <c r="I217" s="274"/>
      <c r="N217" s="259" t="s">
        <v>122</v>
      </c>
      <c r="P217" s="259" t="s">
        <v>1554</v>
      </c>
      <c r="Q217" s="259" t="s">
        <v>2198</v>
      </c>
      <c r="R217" s="274">
        <v>44630.531192129631</v>
      </c>
      <c r="S217" s="321">
        <v>2022</v>
      </c>
      <c r="T217" s="259" t="s">
        <v>2001</v>
      </c>
      <c r="U217" s="259" t="s">
        <v>630</v>
      </c>
      <c r="V217" s="259" t="s">
        <v>631</v>
      </c>
      <c r="W217" s="259" t="s">
        <v>145</v>
      </c>
      <c r="X217" s="259" t="s">
        <v>309</v>
      </c>
      <c r="Y217" s="365">
        <v>44835</v>
      </c>
      <c r="Z217" s="259" t="s">
        <v>1875</v>
      </c>
      <c r="AA217" s="274"/>
      <c r="AB217" s="259" t="s">
        <v>139</v>
      </c>
      <c r="AC217" s="259" t="s">
        <v>1875</v>
      </c>
      <c r="AD217" s="259">
        <v>900</v>
      </c>
      <c r="AE217" s="259">
        <v>900</v>
      </c>
      <c r="AF217" s="274"/>
      <c r="AJ217" s="319" t="s">
        <v>2191</v>
      </c>
      <c r="AK217" s="274"/>
      <c r="AL217" s="319" t="s">
        <v>2190</v>
      </c>
      <c r="AM217" s="259" t="s">
        <v>1975</v>
      </c>
      <c r="AN217" s="259" t="b">
        <v>0</v>
      </c>
      <c r="AP217" s="274"/>
      <c r="AQ217" s="274"/>
      <c r="AR217" s="274"/>
      <c r="AT217" s="274"/>
      <c r="AU217" s="274"/>
      <c r="AZ217" s="274"/>
      <c r="BA217" s="259" t="s">
        <v>373</v>
      </c>
      <c r="BB217" s="259" t="s">
        <v>1610</v>
      </c>
      <c r="BC217" s="259" t="s">
        <v>2192</v>
      </c>
    </row>
    <row r="218" spans="1:55" ht="135">
      <c r="A218" s="259">
        <v>180</v>
      </c>
      <c r="B218" s="259" t="s">
        <v>2561</v>
      </c>
      <c r="C218" s="259" t="s">
        <v>2562</v>
      </c>
      <c r="D218" s="259" t="s">
        <v>8</v>
      </c>
      <c r="E218" s="259" t="s">
        <v>9</v>
      </c>
      <c r="F218" s="259" t="s">
        <v>1773</v>
      </c>
      <c r="G218" s="274">
        <v>44466</v>
      </c>
      <c r="H218" s="274"/>
      <c r="I218" s="274"/>
      <c r="N218" s="259" t="s">
        <v>122</v>
      </c>
      <c r="P218" s="259" t="s">
        <v>1554</v>
      </c>
      <c r="Q218" s="259" t="s">
        <v>2198</v>
      </c>
      <c r="R218" s="274">
        <v>44571.6403587963</v>
      </c>
      <c r="S218" s="321">
        <v>2021</v>
      </c>
      <c r="T218" s="259" t="s">
        <v>2001</v>
      </c>
      <c r="U218" s="259" t="s">
        <v>630</v>
      </c>
      <c r="V218" s="259" t="s">
        <v>631</v>
      </c>
      <c r="W218" s="259" t="s">
        <v>145</v>
      </c>
      <c r="X218" s="259" t="s">
        <v>309</v>
      </c>
      <c r="Y218" s="365">
        <v>44835</v>
      </c>
      <c r="Z218" s="259" t="s">
        <v>1875</v>
      </c>
      <c r="AA218" s="274"/>
      <c r="AB218" s="259" t="s">
        <v>139</v>
      </c>
      <c r="AC218" s="259" t="s">
        <v>1875</v>
      </c>
      <c r="AD218" s="259">
        <v>900</v>
      </c>
      <c r="AE218" s="259">
        <v>900</v>
      </c>
      <c r="AF218" s="274"/>
      <c r="AJ218" s="319" t="s">
        <v>2191</v>
      </c>
      <c r="AK218" s="274"/>
      <c r="AL218" s="319" t="s">
        <v>2190</v>
      </c>
      <c r="AM218" s="259" t="s">
        <v>1975</v>
      </c>
      <c r="AN218" s="259" t="b">
        <v>0</v>
      </c>
      <c r="AP218" s="274"/>
      <c r="AQ218" s="274"/>
      <c r="AR218" s="274"/>
      <c r="AT218" s="274"/>
      <c r="AU218" s="274"/>
      <c r="AZ218" s="274"/>
      <c r="BA218" s="259" t="s">
        <v>373</v>
      </c>
      <c r="BB218" s="259" t="s">
        <v>1610</v>
      </c>
      <c r="BC218" s="259" t="s">
        <v>2192</v>
      </c>
    </row>
    <row r="219" spans="1:55" ht="135">
      <c r="A219" s="259">
        <v>123</v>
      </c>
      <c r="B219" s="259" t="s">
        <v>2556</v>
      </c>
      <c r="C219" s="259" t="s">
        <v>2557</v>
      </c>
      <c r="D219" s="259" t="s">
        <v>8</v>
      </c>
      <c r="E219" s="259" t="s">
        <v>9</v>
      </c>
      <c r="F219" s="259" t="s">
        <v>1773</v>
      </c>
      <c r="G219" s="274">
        <v>44334</v>
      </c>
      <c r="H219" s="274"/>
      <c r="I219" s="274"/>
      <c r="N219" s="259" t="s">
        <v>122</v>
      </c>
      <c r="P219" s="259" t="s">
        <v>1554</v>
      </c>
      <c r="Q219" s="259" t="s">
        <v>2198</v>
      </c>
      <c r="R219" s="274">
        <v>44571.636990740742</v>
      </c>
      <c r="S219" s="321">
        <v>2021</v>
      </c>
      <c r="T219" s="259" t="s">
        <v>2001</v>
      </c>
      <c r="U219" s="259" t="s">
        <v>630</v>
      </c>
      <c r="V219" s="259" t="s">
        <v>631</v>
      </c>
      <c r="W219" s="259" t="s">
        <v>145</v>
      </c>
      <c r="X219" s="259" t="s">
        <v>309</v>
      </c>
      <c r="Y219" s="365">
        <v>44835</v>
      </c>
      <c r="Z219" s="259" t="s">
        <v>2558</v>
      </c>
      <c r="AA219" s="274"/>
      <c r="AB219" s="259" t="s">
        <v>139</v>
      </c>
      <c r="AC219" s="259" t="s">
        <v>1875</v>
      </c>
      <c r="AD219" s="259">
        <v>900</v>
      </c>
      <c r="AE219" s="259">
        <v>900</v>
      </c>
      <c r="AF219" s="274"/>
      <c r="AJ219" s="319" t="s">
        <v>2191</v>
      </c>
      <c r="AK219" s="274"/>
      <c r="AL219" s="319" t="s">
        <v>2190</v>
      </c>
      <c r="AM219" s="259" t="s">
        <v>1975</v>
      </c>
      <c r="AN219" s="259" t="b">
        <v>0</v>
      </c>
      <c r="AP219" s="274"/>
      <c r="AQ219" s="274"/>
      <c r="AR219" s="274"/>
      <c r="AT219" s="274"/>
      <c r="AU219" s="274"/>
      <c r="AZ219" s="274"/>
      <c r="BA219" s="259" t="s">
        <v>373</v>
      </c>
      <c r="BB219" s="259" t="s">
        <v>1610</v>
      </c>
      <c r="BC219" s="259" t="s">
        <v>2192</v>
      </c>
    </row>
    <row r="220" spans="1:55" ht="135">
      <c r="A220" s="259">
        <v>122</v>
      </c>
      <c r="B220" s="259" t="s">
        <v>2554</v>
      </c>
      <c r="C220" s="259" t="s">
        <v>2555</v>
      </c>
      <c r="D220" s="259" t="s">
        <v>8</v>
      </c>
      <c r="E220" s="259" t="s">
        <v>9</v>
      </c>
      <c r="F220" s="259" t="s">
        <v>1773</v>
      </c>
      <c r="G220" s="274">
        <v>44325</v>
      </c>
      <c r="H220" s="274"/>
      <c r="I220" s="274"/>
      <c r="N220" s="259" t="s">
        <v>122</v>
      </c>
      <c r="P220" s="259" t="s">
        <v>1554</v>
      </c>
      <c r="Q220" s="259" t="s">
        <v>2198</v>
      </c>
      <c r="R220" s="274">
        <v>44571.636145833334</v>
      </c>
      <c r="S220" s="321">
        <v>2021</v>
      </c>
      <c r="T220" s="259" t="s">
        <v>2001</v>
      </c>
      <c r="U220" s="259" t="s">
        <v>630</v>
      </c>
      <c r="V220" s="259" t="s">
        <v>631</v>
      </c>
      <c r="W220" s="259" t="s">
        <v>145</v>
      </c>
      <c r="X220" s="259" t="s">
        <v>309</v>
      </c>
      <c r="Y220" s="365">
        <v>44835</v>
      </c>
      <c r="Z220" s="259" t="s">
        <v>1875</v>
      </c>
      <c r="AA220" s="274"/>
      <c r="AB220" s="259" t="s">
        <v>139</v>
      </c>
      <c r="AC220" s="259" t="s">
        <v>1875</v>
      </c>
      <c r="AD220" s="259">
        <v>900</v>
      </c>
      <c r="AE220" s="259">
        <v>900</v>
      </c>
      <c r="AF220" s="274"/>
      <c r="AJ220" s="319" t="s">
        <v>2191</v>
      </c>
      <c r="AK220" s="274"/>
      <c r="AL220" s="319" t="s">
        <v>2190</v>
      </c>
      <c r="AM220" s="259" t="s">
        <v>1975</v>
      </c>
      <c r="AN220" s="259" t="b">
        <v>0</v>
      </c>
      <c r="AP220" s="274"/>
      <c r="AQ220" s="274"/>
      <c r="AR220" s="274"/>
      <c r="AT220" s="274"/>
      <c r="AU220" s="274"/>
      <c r="AZ220" s="274"/>
      <c r="BA220" s="259" t="s">
        <v>373</v>
      </c>
      <c r="BB220" s="259" t="s">
        <v>1610</v>
      </c>
      <c r="BC220" s="259" t="s">
        <v>2192</v>
      </c>
    </row>
    <row r="221" spans="1:55" ht="135">
      <c r="A221" s="259">
        <v>223</v>
      </c>
      <c r="B221" s="259" t="s">
        <v>2563</v>
      </c>
      <c r="C221" s="259" t="s">
        <v>2564</v>
      </c>
      <c r="D221" s="259" t="s">
        <v>8</v>
      </c>
      <c r="E221" s="259" t="s">
        <v>9</v>
      </c>
      <c r="F221" s="259" t="s">
        <v>1773</v>
      </c>
      <c r="G221" s="274">
        <v>44602</v>
      </c>
      <c r="H221" s="274"/>
      <c r="I221" s="274"/>
      <c r="N221" s="259" t="s">
        <v>122</v>
      </c>
      <c r="P221" s="259" t="s">
        <v>1554</v>
      </c>
      <c r="Q221" s="259" t="s">
        <v>2198</v>
      </c>
      <c r="R221" s="274">
        <v>44571.641875000001</v>
      </c>
      <c r="S221" s="321">
        <v>2022</v>
      </c>
      <c r="T221" s="259" t="s">
        <v>2001</v>
      </c>
      <c r="U221" s="259" t="s">
        <v>630</v>
      </c>
      <c r="V221" s="259" t="s">
        <v>631</v>
      </c>
      <c r="W221" s="259" t="s">
        <v>145</v>
      </c>
      <c r="X221" s="259" t="s">
        <v>309</v>
      </c>
      <c r="Y221" s="365">
        <v>44835</v>
      </c>
      <c r="Z221" s="259" t="s">
        <v>1875</v>
      </c>
      <c r="AA221" s="274"/>
      <c r="AB221" s="259" t="s">
        <v>139</v>
      </c>
      <c r="AC221" s="259" t="s">
        <v>1875</v>
      </c>
      <c r="AD221" s="259">
        <v>900</v>
      </c>
      <c r="AE221" s="259">
        <v>900</v>
      </c>
      <c r="AF221" s="274"/>
      <c r="AJ221" s="319" t="s">
        <v>2191</v>
      </c>
      <c r="AK221" s="274"/>
      <c r="AL221" s="319" t="s">
        <v>2190</v>
      </c>
      <c r="AM221" s="259" t="s">
        <v>1975</v>
      </c>
      <c r="AN221" s="259" t="b">
        <v>0</v>
      </c>
      <c r="AP221" s="274"/>
      <c r="AQ221" s="274"/>
      <c r="AR221" s="274"/>
      <c r="AT221" s="274"/>
      <c r="AU221" s="274"/>
      <c r="AZ221" s="274"/>
      <c r="BA221" s="259" t="s">
        <v>373</v>
      </c>
      <c r="BB221" s="259" t="s">
        <v>1610</v>
      </c>
      <c r="BC221" s="259" t="s">
        <v>2192</v>
      </c>
    </row>
    <row r="222" spans="1:55" ht="135">
      <c r="A222" s="259">
        <v>177</v>
      </c>
      <c r="B222" s="259" t="s">
        <v>2559</v>
      </c>
      <c r="C222" s="259" t="s">
        <v>2560</v>
      </c>
      <c r="D222" s="259" t="s">
        <v>8</v>
      </c>
      <c r="E222" s="259" t="s">
        <v>9</v>
      </c>
      <c r="F222" s="259" t="s">
        <v>1773</v>
      </c>
      <c r="G222" s="274">
        <v>44460</v>
      </c>
      <c r="H222" s="274"/>
      <c r="I222" s="274"/>
      <c r="N222" s="259" t="s">
        <v>122</v>
      </c>
      <c r="P222" s="259" t="s">
        <v>1554</v>
      </c>
      <c r="Q222" s="259" t="s">
        <v>2198</v>
      </c>
      <c r="R222" s="274">
        <v>44571.639803240738</v>
      </c>
      <c r="S222" s="321">
        <v>2021</v>
      </c>
      <c r="T222" s="259" t="s">
        <v>2001</v>
      </c>
      <c r="U222" s="259" t="s">
        <v>630</v>
      </c>
      <c r="V222" s="259" t="s">
        <v>631</v>
      </c>
      <c r="W222" s="259" t="s">
        <v>145</v>
      </c>
      <c r="X222" s="259" t="s">
        <v>309</v>
      </c>
      <c r="Y222" s="365">
        <v>44835</v>
      </c>
      <c r="Z222" s="259" t="s">
        <v>1875</v>
      </c>
      <c r="AA222" s="274"/>
      <c r="AB222" s="259" t="s">
        <v>139</v>
      </c>
      <c r="AC222" s="259" t="s">
        <v>1875</v>
      </c>
      <c r="AD222" s="259">
        <v>900</v>
      </c>
      <c r="AE222" s="259">
        <v>900</v>
      </c>
      <c r="AF222" s="274"/>
      <c r="AJ222" s="319" t="s">
        <v>2191</v>
      </c>
      <c r="AK222" s="274"/>
      <c r="AL222" s="319" t="s">
        <v>2190</v>
      </c>
      <c r="AM222" s="259" t="s">
        <v>1975</v>
      </c>
      <c r="AN222" s="259" t="b">
        <v>0</v>
      </c>
      <c r="AP222" s="274"/>
      <c r="AQ222" s="274"/>
      <c r="AR222" s="274"/>
      <c r="AT222" s="274"/>
      <c r="AU222" s="274"/>
      <c r="AZ222" s="274"/>
      <c r="BA222" s="259" t="s">
        <v>373</v>
      </c>
      <c r="BB222" s="259" t="s">
        <v>1610</v>
      </c>
      <c r="BC222" s="259" t="s">
        <v>2192</v>
      </c>
    </row>
    <row r="223" spans="1:55" ht="135">
      <c r="A223" s="259">
        <v>280</v>
      </c>
      <c r="B223" s="259" t="s">
        <v>2565</v>
      </c>
      <c r="C223" s="259" t="s">
        <v>2566</v>
      </c>
      <c r="D223" s="259" t="s">
        <v>8</v>
      </c>
      <c r="E223" s="259" t="s">
        <v>9</v>
      </c>
      <c r="F223" s="259" t="s">
        <v>1773</v>
      </c>
      <c r="G223" s="274">
        <v>44720</v>
      </c>
      <c r="H223" s="274"/>
      <c r="I223" s="274"/>
      <c r="N223" s="259" t="s">
        <v>122</v>
      </c>
      <c r="P223" s="259" t="s">
        <v>1554</v>
      </c>
      <c r="Q223" s="259" t="s">
        <v>2198</v>
      </c>
      <c r="R223" s="274">
        <v>44571.642314814817</v>
      </c>
      <c r="S223" s="321">
        <v>2022</v>
      </c>
      <c r="T223" s="259" t="s">
        <v>2001</v>
      </c>
      <c r="U223" s="259" t="s">
        <v>630</v>
      </c>
      <c r="V223" s="259" t="s">
        <v>631</v>
      </c>
      <c r="W223" s="259" t="s">
        <v>145</v>
      </c>
      <c r="X223" s="259" t="s">
        <v>309</v>
      </c>
      <c r="Y223" s="365">
        <v>44835</v>
      </c>
      <c r="Z223" s="259" t="s">
        <v>1875</v>
      </c>
      <c r="AA223" s="274"/>
      <c r="AB223" s="259" t="s">
        <v>139</v>
      </c>
      <c r="AC223" s="259" t="s">
        <v>1875</v>
      </c>
      <c r="AD223" s="259">
        <v>900</v>
      </c>
      <c r="AE223" s="259">
        <v>900</v>
      </c>
      <c r="AF223" s="274"/>
      <c r="AJ223" s="319" t="s">
        <v>2191</v>
      </c>
      <c r="AK223" s="274"/>
      <c r="AL223" s="319" t="s">
        <v>2190</v>
      </c>
      <c r="AM223" s="259" t="s">
        <v>1975</v>
      </c>
      <c r="AN223" s="259" t="b">
        <v>0</v>
      </c>
      <c r="AP223" s="274"/>
      <c r="AQ223" s="274"/>
      <c r="AR223" s="274"/>
      <c r="AT223" s="274"/>
      <c r="AU223" s="274"/>
      <c r="AZ223" s="274"/>
      <c r="BA223" s="259" t="s">
        <v>373</v>
      </c>
      <c r="BB223" s="259" t="s">
        <v>1610</v>
      </c>
      <c r="BC223" s="259" t="s">
        <v>2192</v>
      </c>
    </row>
    <row r="224" spans="1:55" ht="135">
      <c r="A224" s="259">
        <v>246</v>
      </c>
      <c r="B224" s="259" t="s">
        <v>2572</v>
      </c>
      <c r="C224" s="259" t="s">
        <v>2573</v>
      </c>
      <c r="D224" s="259" t="s">
        <v>8</v>
      </c>
      <c r="E224" s="259" t="s">
        <v>9</v>
      </c>
      <c r="F224" s="259" t="s">
        <v>1775</v>
      </c>
      <c r="G224" s="274">
        <v>44663</v>
      </c>
      <c r="H224" s="274"/>
      <c r="I224" s="274"/>
      <c r="N224" s="259" t="s">
        <v>98</v>
      </c>
      <c r="P224" s="259" t="s">
        <v>1554</v>
      </c>
      <c r="Q224" s="259" t="s">
        <v>2198</v>
      </c>
      <c r="R224" s="274">
        <v>44630.387326388889</v>
      </c>
      <c r="S224" s="321">
        <v>2022</v>
      </c>
      <c r="T224" s="259" t="s">
        <v>2001</v>
      </c>
      <c r="U224" s="259" t="s">
        <v>630</v>
      </c>
      <c r="V224" s="259" t="s">
        <v>631</v>
      </c>
      <c r="W224" s="259" t="s">
        <v>145</v>
      </c>
      <c r="X224" s="259" t="s">
        <v>309</v>
      </c>
      <c r="Y224" s="365">
        <v>44835</v>
      </c>
      <c r="Z224" s="259" t="s">
        <v>1875</v>
      </c>
      <c r="AA224" s="274"/>
      <c r="AB224" s="259" t="s">
        <v>139</v>
      </c>
      <c r="AC224" s="259" t="s">
        <v>1875</v>
      </c>
      <c r="AD224" s="259">
        <v>900</v>
      </c>
      <c r="AE224" s="259">
        <v>900</v>
      </c>
      <c r="AF224" s="274"/>
      <c r="AJ224" s="319" t="s">
        <v>2191</v>
      </c>
      <c r="AK224" s="274"/>
      <c r="AL224" s="319" t="s">
        <v>2190</v>
      </c>
      <c r="AM224" s="259" t="s">
        <v>1975</v>
      </c>
      <c r="AN224" s="259" t="b">
        <v>0</v>
      </c>
      <c r="AP224" s="274"/>
      <c r="AQ224" s="274"/>
      <c r="AR224" s="274"/>
      <c r="AT224" s="274"/>
      <c r="AU224" s="274"/>
      <c r="AZ224" s="274"/>
      <c r="BA224" s="259" t="s">
        <v>373</v>
      </c>
      <c r="BB224" s="259" t="s">
        <v>1610</v>
      </c>
      <c r="BC224" s="259" t="s">
        <v>2192</v>
      </c>
    </row>
    <row r="225" spans="1:55" ht="135">
      <c r="A225" s="259">
        <v>247</v>
      </c>
      <c r="B225" s="259" t="s">
        <v>2574</v>
      </c>
      <c r="C225" s="259" t="s">
        <v>2575</v>
      </c>
      <c r="D225" s="259" t="s">
        <v>8</v>
      </c>
      <c r="E225" s="259" t="s">
        <v>9</v>
      </c>
      <c r="F225" s="259" t="s">
        <v>1775</v>
      </c>
      <c r="G225" s="274">
        <v>44663</v>
      </c>
      <c r="H225" s="274"/>
      <c r="I225" s="274"/>
      <c r="N225" s="259" t="s">
        <v>122</v>
      </c>
      <c r="P225" s="259" t="s">
        <v>1554</v>
      </c>
      <c r="Q225" s="259" t="s">
        <v>2198</v>
      </c>
      <c r="R225" s="274">
        <v>44630.388437499998</v>
      </c>
      <c r="S225" s="321">
        <v>2022</v>
      </c>
      <c r="T225" s="259" t="s">
        <v>2001</v>
      </c>
      <c r="U225" s="259" t="s">
        <v>630</v>
      </c>
      <c r="V225" s="259" t="s">
        <v>631</v>
      </c>
      <c r="W225" s="259" t="s">
        <v>145</v>
      </c>
      <c r="X225" s="259" t="s">
        <v>309</v>
      </c>
      <c r="Y225" s="365">
        <v>44835</v>
      </c>
      <c r="Z225" s="259" t="s">
        <v>1875</v>
      </c>
      <c r="AA225" s="274"/>
      <c r="AB225" s="259" t="s">
        <v>139</v>
      </c>
      <c r="AC225" s="259" t="s">
        <v>1875</v>
      </c>
      <c r="AD225" s="259">
        <v>900</v>
      </c>
      <c r="AE225" s="259">
        <v>900</v>
      </c>
      <c r="AF225" s="274"/>
      <c r="AJ225" s="319" t="s">
        <v>2191</v>
      </c>
      <c r="AK225" s="274"/>
      <c r="AL225" s="319" t="s">
        <v>2190</v>
      </c>
      <c r="AM225" s="259" t="s">
        <v>1975</v>
      </c>
      <c r="AN225" s="259" t="b">
        <v>0</v>
      </c>
      <c r="AP225" s="274"/>
      <c r="AQ225" s="274"/>
      <c r="AR225" s="274"/>
      <c r="AT225" s="274"/>
      <c r="AU225" s="274"/>
      <c r="AZ225" s="274"/>
      <c r="BA225" s="259" t="s">
        <v>373</v>
      </c>
      <c r="BB225" s="259" t="s">
        <v>1610</v>
      </c>
      <c r="BC225" s="259" t="s">
        <v>2192</v>
      </c>
    </row>
    <row r="226" spans="1:55" ht="135">
      <c r="A226" s="259">
        <v>315</v>
      </c>
      <c r="B226" s="259" t="s">
        <v>2586</v>
      </c>
      <c r="C226" s="259" t="s">
        <v>2587</v>
      </c>
      <c r="D226" s="259" t="s">
        <v>8</v>
      </c>
      <c r="E226" s="259" t="s">
        <v>9</v>
      </c>
      <c r="F226" s="259" t="s">
        <v>1775</v>
      </c>
      <c r="G226" s="274">
        <v>44758</v>
      </c>
      <c r="H226" s="274"/>
      <c r="I226" s="274"/>
      <c r="N226" s="259" t="s">
        <v>98</v>
      </c>
      <c r="P226" s="259" t="s">
        <v>1554</v>
      </c>
      <c r="Q226" s="259" t="s">
        <v>2198</v>
      </c>
      <c r="R226" s="274">
        <v>44630.394016203703</v>
      </c>
      <c r="S226" s="321">
        <v>2022</v>
      </c>
      <c r="T226" s="259" t="s">
        <v>2001</v>
      </c>
      <c r="U226" s="259" t="s">
        <v>630</v>
      </c>
      <c r="V226" s="259" t="s">
        <v>631</v>
      </c>
      <c r="W226" s="259" t="s">
        <v>145</v>
      </c>
      <c r="X226" s="259" t="s">
        <v>309</v>
      </c>
      <c r="Y226" s="365">
        <v>44835</v>
      </c>
      <c r="Z226" s="259" t="s">
        <v>1875</v>
      </c>
      <c r="AA226" s="274"/>
      <c r="AB226" s="259" t="s">
        <v>139</v>
      </c>
      <c r="AC226" s="259" t="s">
        <v>1875</v>
      </c>
      <c r="AD226" s="259">
        <v>900</v>
      </c>
      <c r="AE226" s="259">
        <v>900</v>
      </c>
      <c r="AF226" s="274"/>
      <c r="AJ226" s="319" t="s">
        <v>2191</v>
      </c>
      <c r="AK226" s="274"/>
      <c r="AL226" s="319" t="s">
        <v>2190</v>
      </c>
      <c r="AM226" s="259" t="s">
        <v>1975</v>
      </c>
      <c r="AN226" s="259" t="b">
        <v>0</v>
      </c>
      <c r="AP226" s="274"/>
      <c r="AQ226" s="274"/>
      <c r="AR226" s="274"/>
      <c r="AT226" s="274"/>
      <c r="AU226" s="274"/>
      <c r="AZ226" s="274"/>
      <c r="BA226" s="259" t="s">
        <v>373</v>
      </c>
      <c r="BB226" s="259" t="s">
        <v>1610</v>
      </c>
      <c r="BC226" s="259" t="s">
        <v>2192</v>
      </c>
    </row>
    <row r="227" spans="1:55" ht="135">
      <c r="A227" s="259">
        <v>338</v>
      </c>
      <c r="B227" s="259" t="s">
        <v>2598</v>
      </c>
      <c r="C227" s="259" t="s">
        <v>2599</v>
      </c>
      <c r="D227" s="259" t="s">
        <v>8</v>
      </c>
      <c r="E227" s="259" t="s">
        <v>9</v>
      </c>
      <c r="F227" s="259" t="s">
        <v>1775</v>
      </c>
      <c r="G227" s="274">
        <v>44798</v>
      </c>
      <c r="H227" s="274"/>
      <c r="I227" s="274"/>
      <c r="N227" s="259" t="s">
        <v>122</v>
      </c>
      <c r="P227" s="259" t="s">
        <v>1554</v>
      </c>
      <c r="Q227" s="259" t="s">
        <v>2198</v>
      </c>
      <c r="R227" s="274">
        <v>44630.398923611108</v>
      </c>
      <c r="S227" s="321">
        <v>2022</v>
      </c>
      <c r="T227" s="259" t="s">
        <v>2001</v>
      </c>
      <c r="U227" s="259" t="s">
        <v>630</v>
      </c>
      <c r="V227" s="259" t="s">
        <v>631</v>
      </c>
      <c r="W227" s="259" t="s">
        <v>145</v>
      </c>
      <c r="X227" s="259" t="s">
        <v>309</v>
      </c>
      <c r="Y227" s="365">
        <v>44835</v>
      </c>
      <c r="Z227" s="259" t="s">
        <v>1875</v>
      </c>
      <c r="AA227" s="274"/>
      <c r="AB227" s="259" t="s">
        <v>139</v>
      </c>
      <c r="AC227" s="259" t="s">
        <v>1875</v>
      </c>
      <c r="AD227" s="259">
        <v>900</v>
      </c>
      <c r="AE227" s="259">
        <v>900</v>
      </c>
      <c r="AF227" s="274"/>
      <c r="AJ227" s="319" t="s">
        <v>2191</v>
      </c>
      <c r="AK227" s="274"/>
      <c r="AL227" s="319" t="s">
        <v>2190</v>
      </c>
      <c r="AM227" s="259" t="s">
        <v>1975</v>
      </c>
      <c r="AN227" s="259" t="b">
        <v>0</v>
      </c>
      <c r="AP227" s="274"/>
      <c r="AQ227" s="274"/>
      <c r="AR227" s="274"/>
      <c r="AT227" s="274"/>
      <c r="AU227" s="274"/>
      <c r="AZ227" s="274"/>
      <c r="BA227" s="259" t="s">
        <v>373</v>
      </c>
      <c r="BB227" s="259" t="s">
        <v>1610</v>
      </c>
      <c r="BC227" s="259" t="s">
        <v>2192</v>
      </c>
    </row>
    <row r="228" spans="1:55" ht="135">
      <c r="A228" s="259">
        <v>335</v>
      </c>
      <c r="B228" s="259" t="s">
        <v>2596</v>
      </c>
      <c r="C228" s="259" t="s">
        <v>2597</v>
      </c>
      <c r="D228" s="259" t="s">
        <v>8</v>
      </c>
      <c r="E228" s="259" t="s">
        <v>9</v>
      </c>
      <c r="F228" s="259" t="s">
        <v>1775</v>
      </c>
      <c r="G228" s="274">
        <v>44796</v>
      </c>
      <c r="H228" s="274"/>
      <c r="I228" s="274"/>
      <c r="N228" s="259" t="s">
        <v>98</v>
      </c>
      <c r="P228" s="259" t="s">
        <v>1554</v>
      </c>
      <c r="Q228" s="259" t="s">
        <v>2198</v>
      </c>
      <c r="R228" s="274">
        <v>44630.398101851853</v>
      </c>
      <c r="S228" s="321">
        <v>2022</v>
      </c>
      <c r="T228" s="259" t="s">
        <v>2001</v>
      </c>
      <c r="U228" s="259" t="s">
        <v>630</v>
      </c>
      <c r="V228" s="259" t="s">
        <v>631</v>
      </c>
      <c r="W228" s="259" t="s">
        <v>145</v>
      </c>
      <c r="X228" s="259" t="s">
        <v>309</v>
      </c>
      <c r="Y228" s="365">
        <v>44835</v>
      </c>
      <c r="Z228" s="259" t="s">
        <v>1875</v>
      </c>
      <c r="AA228" s="274"/>
      <c r="AB228" s="259" t="s">
        <v>139</v>
      </c>
      <c r="AC228" s="259" t="s">
        <v>1875</v>
      </c>
      <c r="AD228" s="259">
        <v>900</v>
      </c>
      <c r="AE228" s="259">
        <v>900</v>
      </c>
      <c r="AF228" s="274"/>
      <c r="AJ228" s="319" t="s">
        <v>2191</v>
      </c>
      <c r="AK228" s="274"/>
      <c r="AL228" s="319" t="s">
        <v>2190</v>
      </c>
      <c r="AM228" s="259" t="s">
        <v>1975</v>
      </c>
      <c r="AN228" s="259" t="b">
        <v>0</v>
      </c>
      <c r="AP228" s="274"/>
      <c r="AQ228" s="274"/>
      <c r="AR228" s="274"/>
      <c r="AT228" s="274"/>
      <c r="AU228" s="274"/>
      <c r="AZ228" s="274"/>
      <c r="BA228" s="259" t="s">
        <v>373</v>
      </c>
      <c r="BB228" s="259" t="s">
        <v>1610</v>
      </c>
      <c r="BC228" s="259" t="s">
        <v>2192</v>
      </c>
    </row>
    <row r="229" spans="1:55" ht="135">
      <c r="A229" s="259">
        <v>334</v>
      </c>
      <c r="B229" s="259" t="s">
        <v>2594</v>
      </c>
      <c r="C229" s="259" t="s">
        <v>2595</v>
      </c>
      <c r="D229" s="259" t="s">
        <v>8</v>
      </c>
      <c r="E229" s="259" t="s">
        <v>9</v>
      </c>
      <c r="F229" s="259" t="s">
        <v>1775</v>
      </c>
      <c r="G229" s="274">
        <v>44796</v>
      </c>
      <c r="H229" s="274"/>
      <c r="I229" s="274"/>
      <c r="N229" s="259" t="s">
        <v>122</v>
      </c>
      <c r="P229" s="259" t="s">
        <v>1554</v>
      </c>
      <c r="Q229" s="259" t="s">
        <v>2198</v>
      </c>
      <c r="R229" s="274">
        <v>44630.396215277775</v>
      </c>
      <c r="S229" s="321">
        <v>2022</v>
      </c>
      <c r="T229" s="259" t="s">
        <v>2001</v>
      </c>
      <c r="U229" s="259" t="s">
        <v>630</v>
      </c>
      <c r="V229" s="259" t="s">
        <v>631</v>
      </c>
      <c r="W229" s="259" t="s">
        <v>145</v>
      </c>
      <c r="X229" s="259" t="s">
        <v>309</v>
      </c>
      <c r="Y229" s="365">
        <v>44835</v>
      </c>
      <c r="Z229" s="259" t="s">
        <v>1875</v>
      </c>
      <c r="AA229" s="274"/>
      <c r="AB229" s="259" t="s">
        <v>139</v>
      </c>
      <c r="AC229" s="259" t="s">
        <v>1875</v>
      </c>
      <c r="AD229" s="259">
        <v>900</v>
      </c>
      <c r="AE229" s="259">
        <v>900</v>
      </c>
      <c r="AF229" s="274"/>
      <c r="AJ229" s="319" t="s">
        <v>2191</v>
      </c>
      <c r="AK229" s="274"/>
      <c r="AL229" s="319" t="s">
        <v>2190</v>
      </c>
      <c r="AM229" s="259" t="s">
        <v>1975</v>
      </c>
      <c r="AN229" s="259" t="b">
        <v>0</v>
      </c>
      <c r="AP229" s="274"/>
      <c r="AQ229" s="274"/>
      <c r="AR229" s="274"/>
      <c r="AT229" s="274"/>
      <c r="AU229" s="274"/>
      <c r="AZ229" s="274"/>
      <c r="BA229" s="259" t="s">
        <v>373</v>
      </c>
      <c r="BB229" s="259" t="s">
        <v>1610</v>
      </c>
      <c r="BC229" s="259" t="s">
        <v>2192</v>
      </c>
    </row>
    <row r="230" spans="1:55" ht="135">
      <c r="A230" s="259">
        <v>332</v>
      </c>
      <c r="B230" s="259" t="s">
        <v>2592</v>
      </c>
      <c r="C230" s="259" t="s">
        <v>2593</v>
      </c>
      <c r="D230" s="259" t="s">
        <v>8</v>
      </c>
      <c r="E230" s="259" t="s">
        <v>9</v>
      </c>
      <c r="F230" s="259" t="s">
        <v>1775</v>
      </c>
      <c r="G230" s="274">
        <v>44795</v>
      </c>
      <c r="H230" s="274"/>
      <c r="I230" s="274"/>
      <c r="N230" s="259" t="s">
        <v>98</v>
      </c>
      <c r="P230" s="259" t="s">
        <v>1554</v>
      </c>
      <c r="Q230" s="259" t="s">
        <v>2198</v>
      </c>
      <c r="R230" s="274">
        <v>44630.395671296297</v>
      </c>
      <c r="S230" s="321">
        <v>2022</v>
      </c>
      <c r="T230" s="259" t="s">
        <v>2001</v>
      </c>
      <c r="U230" s="259" t="s">
        <v>630</v>
      </c>
      <c r="V230" s="259" t="s">
        <v>631</v>
      </c>
      <c r="W230" s="259" t="s">
        <v>145</v>
      </c>
      <c r="X230" s="259" t="s">
        <v>309</v>
      </c>
      <c r="Y230" s="365">
        <v>44835</v>
      </c>
      <c r="Z230" s="259" t="s">
        <v>1875</v>
      </c>
      <c r="AA230" s="274"/>
      <c r="AB230" s="259" t="s">
        <v>139</v>
      </c>
      <c r="AC230" s="259" t="s">
        <v>1875</v>
      </c>
      <c r="AD230" s="259">
        <v>900</v>
      </c>
      <c r="AE230" s="259">
        <v>900</v>
      </c>
      <c r="AF230" s="274"/>
      <c r="AJ230" s="319" t="s">
        <v>2191</v>
      </c>
      <c r="AK230" s="274"/>
      <c r="AL230" s="319" t="s">
        <v>2190</v>
      </c>
      <c r="AM230" s="259" t="s">
        <v>1975</v>
      </c>
      <c r="AN230" s="259" t="b">
        <v>0</v>
      </c>
      <c r="AP230" s="274"/>
      <c r="AQ230" s="274"/>
      <c r="AR230" s="274"/>
      <c r="AT230" s="274"/>
      <c r="AU230" s="274"/>
      <c r="AZ230" s="274"/>
      <c r="BA230" s="259" t="s">
        <v>373</v>
      </c>
      <c r="BB230" s="259" t="s">
        <v>1610</v>
      </c>
      <c r="BC230" s="259" t="s">
        <v>2192</v>
      </c>
    </row>
    <row r="231" spans="1:55" ht="135">
      <c r="A231" s="259">
        <v>274</v>
      </c>
      <c r="B231" s="259" t="s">
        <v>2578</v>
      </c>
      <c r="C231" s="259" t="s">
        <v>2579</v>
      </c>
      <c r="D231" s="259" t="s">
        <v>8</v>
      </c>
      <c r="E231" s="259" t="s">
        <v>9</v>
      </c>
      <c r="F231" s="259" t="s">
        <v>1775</v>
      </c>
      <c r="G231" s="274">
        <v>44712</v>
      </c>
      <c r="H231" s="274"/>
      <c r="I231" s="274"/>
      <c r="N231" s="259" t="s">
        <v>122</v>
      </c>
      <c r="P231" s="259" t="s">
        <v>1554</v>
      </c>
      <c r="Q231" s="259" t="s">
        <v>2198</v>
      </c>
      <c r="R231" s="274">
        <v>44630.390486111108</v>
      </c>
      <c r="S231" s="321">
        <v>2022</v>
      </c>
      <c r="T231" s="259" t="s">
        <v>2001</v>
      </c>
      <c r="U231" s="259" t="s">
        <v>630</v>
      </c>
      <c r="V231" s="259" t="s">
        <v>631</v>
      </c>
      <c r="W231" s="259" t="s">
        <v>145</v>
      </c>
      <c r="X231" s="259" t="s">
        <v>309</v>
      </c>
      <c r="Y231" s="365">
        <v>44835</v>
      </c>
      <c r="Z231" s="259" t="s">
        <v>1875</v>
      </c>
      <c r="AA231" s="274"/>
      <c r="AB231" s="259" t="s">
        <v>139</v>
      </c>
      <c r="AC231" s="259" t="s">
        <v>1875</v>
      </c>
      <c r="AD231" s="259">
        <v>900</v>
      </c>
      <c r="AE231" s="259">
        <v>900</v>
      </c>
      <c r="AF231" s="274"/>
      <c r="AJ231" s="319" t="s">
        <v>2191</v>
      </c>
      <c r="AK231" s="274"/>
      <c r="AL231" s="319" t="s">
        <v>2190</v>
      </c>
      <c r="AM231" s="259" t="s">
        <v>1975</v>
      </c>
      <c r="AN231" s="259" t="b">
        <v>0</v>
      </c>
      <c r="AP231" s="274"/>
      <c r="AQ231" s="274"/>
      <c r="AR231" s="274"/>
      <c r="AT231" s="274"/>
      <c r="AU231" s="274"/>
      <c r="AZ231" s="274"/>
      <c r="BA231" s="259" t="s">
        <v>373</v>
      </c>
      <c r="BB231" s="259" t="s">
        <v>1610</v>
      </c>
      <c r="BC231" s="259" t="s">
        <v>2192</v>
      </c>
    </row>
    <row r="232" spans="1:55" ht="135">
      <c r="A232" s="259">
        <v>331</v>
      </c>
      <c r="B232" s="259" t="s">
        <v>2590</v>
      </c>
      <c r="C232" s="259" t="s">
        <v>2591</v>
      </c>
      <c r="D232" s="259" t="s">
        <v>8</v>
      </c>
      <c r="E232" s="259" t="s">
        <v>9</v>
      </c>
      <c r="F232" s="259" t="s">
        <v>1775</v>
      </c>
      <c r="G232" s="274">
        <v>44795</v>
      </c>
      <c r="H232" s="274"/>
      <c r="I232" s="274"/>
      <c r="N232" s="259" t="s">
        <v>122</v>
      </c>
      <c r="P232" s="259" t="s">
        <v>1554</v>
      </c>
      <c r="Q232" s="259" t="s">
        <v>2198</v>
      </c>
      <c r="R232" s="274">
        <v>44630.395057870373</v>
      </c>
      <c r="S232" s="321">
        <v>2022</v>
      </c>
      <c r="T232" s="259" t="s">
        <v>2001</v>
      </c>
      <c r="U232" s="259" t="s">
        <v>630</v>
      </c>
      <c r="V232" s="259" t="s">
        <v>631</v>
      </c>
      <c r="W232" s="259" t="s">
        <v>145</v>
      </c>
      <c r="X232" s="259" t="s">
        <v>309</v>
      </c>
      <c r="Y232" s="365">
        <v>44835</v>
      </c>
      <c r="Z232" s="259" t="s">
        <v>1875</v>
      </c>
      <c r="AA232" s="274"/>
      <c r="AB232" s="259" t="s">
        <v>139</v>
      </c>
      <c r="AC232" s="259" t="s">
        <v>1875</v>
      </c>
      <c r="AD232" s="259">
        <v>900</v>
      </c>
      <c r="AE232" s="259">
        <v>900</v>
      </c>
      <c r="AF232" s="274"/>
      <c r="AJ232" s="319" t="s">
        <v>2191</v>
      </c>
      <c r="AK232" s="274"/>
      <c r="AL232" s="319" t="s">
        <v>2190</v>
      </c>
      <c r="AM232" s="259" t="s">
        <v>1975</v>
      </c>
      <c r="AN232" s="259" t="b">
        <v>0</v>
      </c>
      <c r="AP232" s="274"/>
      <c r="AQ232" s="274"/>
      <c r="AR232" s="274"/>
      <c r="AT232" s="274"/>
      <c r="AU232" s="274"/>
      <c r="AZ232" s="274"/>
      <c r="BA232" s="259" t="s">
        <v>373</v>
      </c>
      <c r="BB232" s="259" t="s">
        <v>1610</v>
      </c>
      <c r="BC232" s="259" t="s">
        <v>2192</v>
      </c>
    </row>
    <row r="233" spans="1:55" ht="135">
      <c r="A233" s="259">
        <v>341</v>
      </c>
      <c r="B233" s="259" t="s">
        <v>2814</v>
      </c>
      <c r="C233" s="259" t="s">
        <v>2815</v>
      </c>
      <c r="D233" s="259" t="s">
        <v>8</v>
      </c>
      <c r="E233" s="259" t="s">
        <v>9</v>
      </c>
      <c r="F233" s="259" t="s">
        <v>1775</v>
      </c>
      <c r="G233" s="274">
        <v>44807</v>
      </c>
      <c r="H233" s="274"/>
      <c r="I233" s="274"/>
      <c r="N233" s="259" t="s">
        <v>122</v>
      </c>
      <c r="P233" s="259" t="s">
        <v>1554</v>
      </c>
      <c r="Q233" s="259" t="s">
        <v>2198</v>
      </c>
      <c r="R233" s="274">
        <v>44630.5391087963</v>
      </c>
      <c r="S233" s="321">
        <v>2022</v>
      </c>
      <c r="T233" s="259" t="s">
        <v>2001</v>
      </c>
      <c r="U233" s="259" t="s">
        <v>630</v>
      </c>
      <c r="V233" s="259" t="s">
        <v>631</v>
      </c>
      <c r="W233" s="259" t="s">
        <v>145</v>
      </c>
      <c r="X233" s="259" t="s">
        <v>309</v>
      </c>
      <c r="Y233" s="365">
        <v>44835</v>
      </c>
      <c r="Z233" s="259" t="s">
        <v>1875</v>
      </c>
      <c r="AA233" s="274"/>
      <c r="AB233" s="259" t="s">
        <v>139</v>
      </c>
      <c r="AC233" s="259" t="s">
        <v>1875</v>
      </c>
      <c r="AD233" s="259">
        <v>900</v>
      </c>
      <c r="AE233" s="259">
        <v>900</v>
      </c>
      <c r="AF233" s="274"/>
      <c r="AJ233" s="319" t="s">
        <v>2191</v>
      </c>
      <c r="AK233" s="274"/>
      <c r="AL233" s="319" t="s">
        <v>2190</v>
      </c>
      <c r="AM233" s="259" t="s">
        <v>1975</v>
      </c>
      <c r="AN233" s="259" t="b">
        <v>0</v>
      </c>
      <c r="AP233" s="274"/>
      <c r="AQ233" s="274"/>
      <c r="AR233" s="274"/>
      <c r="AT233" s="274"/>
      <c r="AU233" s="274"/>
      <c r="AZ233" s="274"/>
      <c r="BA233" s="259" t="s">
        <v>373</v>
      </c>
      <c r="BB233" s="259" t="s">
        <v>1610</v>
      </c>
      <c r="BC233" s="259" t="s">
        <v>2192</v>
      </c>
    </row>
    <row r="234" spans="1:55" ht="135">
      <c r="A234" s="259">
        <v>320</v>
      </c>
      <c r="B234" s="259" t="s">
        <v>2588</v>
      </c>
      <c r="C234" s="259" t="s">
        <v>2589</v>
      </c>
      <c r="D234" s="259" t="s">
        <v>8</v>
      </c>
      <c r="E234" s="259" t="s">
        <v>9</v>
      </c>
      <c r="F234" s="259" t="s">
        <v>1775</v>
      </c>
      <c r="G234" s="274">
        <v>44784</v>
      </c>
      <c r="H234" s="274"/>
      <c r="I234" s="274"/>
      <c r="N234" s="259" t="s">
        <v>132</v>
      </c>
      <c r="P234" s="259" t="s">
        <v>1554</v>
      </c>
      <c r="Q234" s="259" t="s">
        <v>2198</v>
      </c>
      <c r="R234" s="274">
        <v>44630.394513888888</v>
      </c>
      <c r="S234" s="321">
        <v>2022</v>
      </c>
      <c r="T234" s="259" t="s">
        <v>2001</v>
      </c>
      <c r="U234" s="259" t="s">
        <v>630</v>
      </c>
      <c r="V234" s="259" t="s">
        <v>631</v>
      </c>
      <c r="W234" s="259" t="s">
        <v>145</v>
      </c>
      <c r="X234" s="259" t="s">
        <v>309</v>
      </c>
      <c r="Y234" s="365">
        <v>44835</v>
      </c>
      <c r="Z234" s="259" t="s">
        <v>1875</v>
      </c>
      <c r="AA234" s="274"/>
      <c r="AB234" s="259" t="s">
        <v>139</v>
      </c>
      <c r="AC234" s="259" t="s">
        <v>1875</v>
      </c>
      <c r="AD234" s="259">
        <v>900</v>
      </c>
      <c r="AE234" s="259">
        <v>900</v>
      </c>
      <c r="AF234" s="274"/>
      <c r="AJ234" s="319" t="s">
        <v>2191</v>
      </c>
      <c r="AK234" s="274"/>
      <c r="AL234" s="319" t="s">
        <v>2190</v>
      </c>
      <c r="AM234" s="259" t="s">
        <v>1975</v>
      </c>
      <c r="AN234" s="259" t="b">
        <v>0</v>
      </c>
      <c r="AP234" s="274"/>
      <c r="AQ234" s="274"/>
      <c r="AR234" s="274"/>
      <c r="AT234" s="274"/>
      <c r="AU234" s="274"/>
      <c r="AZ234" s="274"/>
      <c r="BA234" s="259" t="s">
        <v>373</v>
      </c>
      <c r="BB234" s="259" t="s">
        <v>1610</v>
      </c>
      <c r="BC234" s="259" t="s">
        <v>2192</v>
      </c>
    </row>
    <row r="235" spans="1:55" ht="135">
      <c r="A235" s="259">
        <v>220</v>
      </c>
      <c r="B235" s="259" t="s">
        <v>2570</v>
      </c>
      <c r="C235" s="259" t="s">
        <v>2571</v>
      </c>
      <c r="D235" s="259" t="s">
        <v>8</v>
      </c>
      <c r="E235" s="259" t="s">
        <v>9</v>
      </c>
      <c r="F235" s="259" t="s">
        <v>1775</v>
      </c>
      <c r="G235" s="274">
        <v>44594</v>
      </c>
      <c r="H235" s="274"/>
      <c r="I235" s="274"/>
      <c r="N235" s="259" t="s">
        <v>98</v>
      </c>
      <c r="P235" s="259" t="s">
        <v>1554</v>
      </c>
      <c r="Q235" s="259" t="s">
        <v>2198</v>
      </c>
      <c r="R235" s="274">
        <v>44630.386504629627</v>
      </c>
      <c r="S235" s="321">
        <v>2022</v>
      </c>
      <c r="T235" s="259" t="s">
        <v>2001</v>
      </c>
      <c r="U235" s="259" t="s">
        <v>630</v>
      </c>
      <c r="V235" s="259" t="s">
        <v>631</v>
      </c>
      <c r="W235" s="259" t="s">
        <v>145</v>
      </c>
      <c r="X235" s="259" t="s">
        <v>309</v>
      </c>
      <c r="Y235" s="365">
        <v>44835</v>
      </c>
      <c r="Z235" s="259" t="s">
        <v>1875</v>
      </c>
      <c r="AA235" s="274"/>
      <c r="AB235" s="259" t="s">
        <v>139</v>
      </c>
      <c r="AC235" s="259" t="s">
        <v>1875</v>
      </c>
      <c r="AD235" s="259">
        <v>900</v>
      </c>
      <c r="AE235" s="259">
        <v>900</v>
      </c>
      <c r="AF235" s="274"/>
      <c r="AJ235" s="319" t="s">
        <v>2191</v>
      </c>
      <c r="AK235" s="274"/>
      <c r="AL235" s="319" t="s">
        <v>2190</v>
      </c>
      <c r="AM235" s="259" t="s">
        <v>1975</v>
      </c>
      <c r="AN235" s="259" t="b">
        <v>0</v>
      </c>
      <c r="AP235" s="274"/>
      <c r="AQ235" s="274"/>
      <c r="AR235" s="274"/>
      <c r="AT235" s="274"/>
      <c r="AU235" s="274"/>
      <c r="AZ235" s="274"/>
      <c r="BA235" s="259" t="s">
        <v>373</v>
      </c>
      <c r="BB235" s="259" t="s">
        <v>1610</v>
      </c>
      <c r="BC235" s="259" t="s">
        <v>2192</v>
      </c>
    </row>
    <row r="236" spans="1:55" ht="135">
      <c r="A236" s="259">
        <v>257</v>
      </c>
      <c r="B236" s="259" t="s">
        <v>2576</v>
      </c>
      <c r="C236" s="259" t="s">
        <v>2577</v>
      </c>
      <c r="D236" s="259" t="s">
        <v>8</v>
      </c>
      <c r="E236" s="259" t="s">
        <v>9</v>
      </c>
      <c r="F236" s="259" t="s">
        <v>1775</v>
      </c>
      <c r="G236" s="274">
        <v>44672</v>
      </c>
      <c r="H236" s="274"/>
      <c r="I236" s="274"/>
      <c r="N236" s="259" t="s">
        <v>132</v>
      </c>
      <c r="P236" s="259" t="s">
        <v>1554</v>
      </c>
      <c r="Q236" s="259" t="s">
        <v>2198</v>
      </c>
      <c r="R236" s="274">
        <v>44630.389849537038</v>
      </c>
      <c r="S236" s="321">
        <v>2022</v>
      </c>
      <c r="T236" s="259" t="s">
        <v>2001</v>
      </c>
      <c r="U236" s="259" t="s">
        <v>630</v>
      </c>
      <c r="V236" s="259" t="s">
        <v>631</v>
      </c>
      <c r="W236" s="259" t="s">
        <v>145</v>
      </c>
      <c r="X236" s="259" t="s">
        <v>309</v>
      </c>
      <c r="Y236" s="365">
        <v>44835</v>
      </c>
      <c r="Z236" s="259" t="s">
        <v>1875</v>
      </c>
      <c r="AA236" s="274"/>
      <c r="AB236" s="259" t="s">
        <v>139</v>
      </c>
      <c r="AC236" s="259" t="s">
        <v>1875</v>
      </c>
      <c r="AD236" s="259">
        <v>900</v>
      </c>
      <c r="AE236" s="259">
        <v>900</v>
      </c>
      <c r="AF236" s="274"/>
      <c r="AJ236" s="319" t="s">
        <v>2191</v>
      </c>
      <c r="AK236" s="274"/>
      <c r="AL236" s="319" t="s">
        <v>2190</v>
      </c>
      <c r="AM236" s="259" t="s">
        <v>1975</v>
      </c>
      <c r="AN236" s="259" t="b">
        <v>0</v>
      </c>
      <c r="AP236" s="274"/>
      <c r="AQ236" s="274"/>
      <c r="AR236" s="274"/>
      <c r="AT236" s="274"/>
      <c r="AU236" s="274"/>
      <c r="AZ236" s="274"/>
      <c r="BA236" s="259" t="s">
        <v>373</v>
      </c>
      <c r="BB236" s="259" t="s">
        <v>1610</v>
      </c>
      <c r="BC236" s="259" t="s">
        <v>2192</v>
      </c>
    </row>
    <row r="237" spans="1:55" ht="135">
      <c r="A237" s="259">
        <v>293</v>
      </c>
      <c r="B237" s="259" t="s">
        <v>2584</v>
      </c>
      <c r="C237" s="259" t="s">
        <v>2585</v>
      </c>
      <c r="D237" s="259" t="s">
        <v>8</v>
      </c>
      <c r="E237" s="259" t="s">
        <v>9</v>
      </c>
      <c r="F237" s="259" t="s">
        <v>1775</v>
      </c>
      <c r="G237" s="274">
        <v>44743</v>
      </c>
      <c r="H237" s="274"/>
      <c r="I237" s="274"/>
      <c r="N237" s="259" t="s">
        <v>98</v>
      </c>
      <c r="P237" s="259" t="s">
        <v>1554</v>
      </c>
      <c r="Q237" s="259" t="s">
        <v>2198</v>
      </c>
      <c r="R237" s="274">
        <v>44630.39340277778</v>
      </c>
      <c r="S237" s="321">
        <v>2022</v>
      </c>
      <c r="T237" s="259" t="s">
        <v>2001</v>
      </c>
      <c r="U237" s="259" t="s">
        <v>630</v>
      </c>
      <c r="V237" s="259" t="s">
        <v>631</v>
      </c>
      <c r="W237" s="259" t="s">
        <v>145</v>
      </c>
      <c r="X237" s="259" t="s">
        <v>309</v>
      </c>
      <c r="Y237" s="365">
        <v>44835</v>
      </c>
      <c r="Z237" s="259" t="s">
        <v>1875</v>
      </c>
      <c r="AA237" s="274"/>
      <c r="AB237" s="259" t="s">
        <v>139</v>
      </c>
      <c r="AC237" s="259" t="s">
        <v>1875</v>
      </c>
      <c r="AD237" s="259">
        <v>900</v>
      </c>
      <c r="AE237" s="259">
        <v>900</v>
      </c>
      <c r="AF237" s="274"/>
      <c r="AJ237" s="319" t="s">
        <v>2191</v>
      </c>
      <c r="AK237" s="274"/>
      <c r="AL237" s="319" t="s">
        <v>2190</v>
      </c>
      <c r="AM237" s="259" t="s">
        <v>1975</v>
      </c>
      <c r="AN237" s="259" t="b">
        <v>0</v>
      </c>
      <c r="AP237" s="274"/>
      <c r="AQ237" s="274"/>
      <c r="AR237" s="274"/>
      <c r="AT237" s="274"/>
      <c r="AU237" s="274"/>
      <c r="AZ237" s="274"/>
      <c r="BA237" s="259" t="s">
        <v>373</v>
      </c>
      <c r="BB237" s="259" t="s">
        <v>1610</v>
      </c>
      <c r="BC237" s="259" t="s">
        <v>2192</v>
      </c>
    </row>
    <row r="238" spans="1:55" ht="135">
      <c r="A238" s="259">
        <v>289</v>
      </c>
      <c r="B238" s="259" t="s">
        <v>2582</v>
      </c>
      <c r="C238" s="259" t="s">
        <v>2583</v>
      </c>
      <c r="D238" s="259" t="s">
        <v>8</v>
      </c>
      <c r="E238" s="259" t="s">
        <v>9</v>
      </c>
      <c r="F238" s="259" t="s">
        <v>1775</v>
      </c>
      <c r="G238" s="274">
        <v>44734</v>
      </c>
      <c r="H238" s="274"/>
      <c r="I238" s="274"/>
      <c r="N238" s="259" t="s">
        <v>98</v>
      </c>
      <c r="P238" s="259" t="s">
        <v>1554</v>
      </c>
      <c r="Q238" s="259" t="s">
        <v>2198</v>
      </c>
      <c r="R238" s="274">
        <v>44630.392870370371</v>
      </c>
      <c r="S238" s="321">
        <v>2022</v>
      </c>
      <c r="T238" s="259" t="s">
        <v>2001</v>
      </c>
      <c r="U238" s="259" t="s">
        <v>630</v>
      </c>
      <c r="V238" s="259" t="s">
        <v>631</v>
      </c>
      <c r="W238" s="259" t="s">
        <v>145</v>
      </c>
      <c r="X238" s="259" t="s">
        <v>309</v>
      </c>
      <c r="Y238" s="365">
        <v>44835</v>
      </c>
      <c r="Z238" s="259" t="s">
        <v>1875</v>
      </c>
      <c r="AA238" s="274"/>
      <c r="AB238" s="259" t="s">
        <v>139</v>
      </c>
      <c r="AC238" s="259" t="s">
        <v>1875</v>
      </c>
      <c r="AD238" s="259">
        <v>900</v>
      </c>
      <c r="AE238" s="259">
        <v>900</v>
      </c>
      <c r="AF238" s="274"/>
      <c r="AJ238" s="319" t="s">
        <v>2191</v>
      </c>
      <c r="AK238" s="274"/>
      <c r="AL238" s="319" t="s">
        <v>2190</v>
      </c>
      <c r="AM238" s="259" t="s">
        <v>1975</v>
      </c>
      <c r="AN238" s="259" t="b">
        <v>0</v>
      </c>
      <c r="AP238" s="274"/>
      <c r="AQ238" s="274"/>
      <c r="AR238" s="274"/>
      <c r="AT238" s="274"/>
      <c r="AU238" s="274"/>
      <c r="AZ238" s="274"/>
      <c r="BA238" s="259" t="s">
        <v>373</v>
      </c>
      <c r="BB238" s="259" t="s">
        <v>1610</v>
      </c>
      <c r="BC238" s="259" t="s">
        <v>2192</v>
      </c>
    </row>
    <row r="239" spans="1:55" ht="135">
      <c r="A239" s="259">
        <v>279</v>
      </c>
      <c r="B239" s="259" t="s">
        <v>2580</v>
      </c>
      <c r="C239" s="259" t="s">
        <v>2581</v>
      </c>
      <c r="D239" s="259" t="s">
        <v>8</v>
      </c>
      <c r="E239" s="259" t="s">
        <v>9</v>
      </c>
      <c r="F239" s="259" t="s">
        <v>1775</v>
      </c>
      <c r="G239" s="274">
        <v>44714</v>
      </c>
      <c r="H239" s="274"/>
      <c r="I239" s="274"/>
      <c r="N239" s="259" t="s">
        <v>131</v>
      </c>
      <c r="P239" s="259" t="s">
        <v>1554</v>
      </c>
      <c r="Q239" s="259" t="s">
        <v>2198</v>
      </c>
      <c r="R239" s="274">
        <v>44630.391655092593</v>
      </c>
      <c r="S239" s="321">
        <v>2022</v>
      </c>
      <c r="T239" s="259" t="s">
        <v>2001</v>
      </c>
      <c r="U239" s="259" t="s">
        <v>630</v>
      </c>
      <c r="V239" s="259" t="s">
        <v>631</v>
      </c>
      <c r="W239" s="259" t="s">
        <v>145</v>
      </c>
      <c r="X239" s="259" t="s">
        <v>309</v>
      </c>
      <c r="Y239" s="365">
        <v>44835</v>
      </c>
      <c r="Z239" s="259" t="s">
        <v>1875</v>
      </c>
      <c r="AA239" s="274"/>
      <c r="AB239" s="259" t="s">
        <v>139</v>
      </c>
      <c r="AC239" s="259" t="s">
        <v>1875</v>
      </c>
      <c r="AD239" s="259">
        <v>900</v>
      </c>
      <c r="AE239" s="259">
        <v>900</v>
      </c>
      <c r="AF239" s="274"/>
      <c r="AJ239" s="319" t="s">
        <v>2191</v>
      </c>
      <c r="AK239" s="274"/>
      <c r="AL239" s="319" t="s">
        <v>2190</v>
      </c>
      <c r="AM239" s="259" t="s">
        <v>1975</v>
      </c>
      <c r="AN239" s="259" t="b">
        <v>0</v>
      </c>
      <c r="AP239" s="274"/>
      <c r="AQ239" s="274"/>
      <c r="AR239" s="274"/>
      <c r="AT239" s="274"/>
      <c r="AU239" s="274"/>
      <c r="AZ239" s="274"/>
      <c r="BA239" s="259" t="s">
        <v>373</v>
      </c>
      <c r="BB239" s="259" t="s">
        <v>1610</v>
      </c>
      <c r="BC239" s="259" t="s">
        <v>2192</v>
      </c>
    </row>
    <row r="240" spans="1:55" ht="135">
      <c r="A240" s="259">
        <v>363</v>
      </c>
      <c r="B240" s="259" t="s">
        <v>2818</v>
      </c>
      <c r="C240" s="259" t="s">
        <v>2819</v>
      </c>
      <c r="D240" s="259" t="s">
        <v>8</v>
      </c>
      <c r="E240" s="259" t="s">
        <v>9</v>
      </c>
      <c r="F240" s="259" t="s">
        <v>1775</v>
      </c>
      <c r="G240" s="274">
        <v>44830</v>
      </c>
      <c r="H240" s="274"/>
      <c r="I240" s="274"/>
      <c r="N240" s="259" t="s">
        <v>122</v>
      </c>
      <c r="P240" s="259" t="s">
        <v>1554</v>
      </c>
      <c r="Q240" s="259" t="s">
        <v>2198</v>
      </c>
      <c r="R240" s="274">
        <v>44630.540937500002</v>
      </c>
      <c r="S240" s="321">
        <v>2022</v>
      </c>
      <c r="T240" s="259" t="s">
        <v>2001</v>
      </c>
      <c r="U240" s="259" t="s">
        <v>630</v>
      </c>
      <c r="V240" s="259" t="s">
        <v>631</v>
      </c>
      <c r="W240" s="259" t="s">
        <v>145</v>
      </c>
      <c r="X240" s="259" t="s">
        <v>309</v>
      </c>
      <c r="Y240" s="365">
        <v>44835</v>
      </c>
      <c r="Z240" s="259" t="s">
        <v>1875</v>
      </c>
      <c r="AA240" s="274"/>
      <c r="AB240" s="259" t="s">
        <v>139</v>
      </c>
      <c r="AC240" s="259" t="s">
        <v>1875</v>
      </c>
      <c r="AD240" s="259">
        <v>900</v>
      </c>
      <c r="AE240" s="259">
        <v>900</v>
      </c>
      <c r="AF240" s="274"/>
      <c r="AJ240" s="319" t="s">
        <v>2191</v>
      </c>
      <c r="AK240" s="274"/>
      <c r="AL240" s="319" t="s">
        <v>2190</v>
      </c>
      <c r="AM240" s="259" t="s">
        <v>1975</v>
      </c>
      <c r="AN240" s="259" t="b">
        <v>0</v>
      </c>
      <c r="AP240" s="274"/>
      <c r="AQ240" s="274"/>
      <c r="AR240" s="274"/>
      <c r="AT240" s="274"/>
      <c r="AU240" s="274"/>
      <c r="AZ240" s="274"/>
      <c r="BA240" s="259" t="s">
        <v>373</v>
      </c>
      <c r="BB240" s="259" t="s">
        <v>1610</v>
      </c>
      <c r="BC240" s="259" t="s">
        <v>2192</v>
      </c>
    </row>
    <row r="241" spans="1:55" ht="135">
      <c r="A241" s="259">
        <v>367</v>
      </c>
      <c r="B241" s="259" t="s">
        <v>2820</v>
      </c>
      <c r="C241" s="259" t="s">
        <v>2821</v>
      </c>
      <c r="D241" s="259" t="s">
        <v>8</v>
      </c>
      <c r="E241" s="259" t="s">
        <v>9</v>
      </c>
      <c r="F241" s="259" t="s">
        <v>1775</v>
      </c>
      <c r="G241" s="274">
        <v>44831</v>
      </c>
      <c r="H241" s="274"/>
      <c r="I241" s="274"/>
      <c r="N241" s="259" t="s">
        <v>122</v>
      </c>
      <c r="P241" s="259" t="s">
        <v>1554</v>
      </c>
      <c r="Q241" s="259" t="s">
        <v>2198</v>
      </c>
      <c r="R241" s="274">
        <v>44630.541481481479</v>
      </c>
      <c r="S241" s="321">
        <v>2022</v>
      </c>
      <c r="T241" s="259" t="s">
        <v>2001</v>
      </c>
      <c r="U241" s="259" t="s">
        <v>630</v>
      </c>
      <c r="V241" s="259" t="s">
        <v>631</v>
      </c>
      <c r="W241" s="259" t="s">
        <v>145</v>
      </c>
      <c r="X241" s="259" t="s">
        <v>309</v>
      </c>
      <c r="Y241" s="365">
        <v>44835</v>
      </c>
      <c r="Z241" s="259" t="s">
        <v>1875</v>
      </c>
      <c r="AA241" s="274"/>
      <c r="AB241" s="259" t="s">
        <v>139</v>
      </c>
      <c r="AC241" s="259" t="s">
        <v>1875</v>
      </c>
      <c r="AD241" s="259">
        <v>900</v>
      </c>
      <c r="AE241" s="259">
        <v>900</v>
      </c>
      <c r="AF241" s="274"/>
      <c r="AJ241" s="319" t="s">
        <v>2191</v>
      </c>
      <c r="AK241" s="274"/>
      <c r="AL241" s="319" t="s">
        <v>2190</v>
      </c>
      <c r="AM241" s="259" t="s">
        <v>1975</v>
      </c>
      <c r="AN241" s="259" t="b">
        <v>0</v>
      </c>
      <c r="AP241" s="274"/>
      <c r="AQ241" s="274"/>
      <c r="AR241" s="274"/>
      <c r="AT241" s="274"/>
      <c r="AU241" s="274"/>
      <c r="AZ241" s="274"/>
      <c r="BA241" s="259" t="s">
        <v>373</v>
      </c>
      <c r="BB241" s="259" t="s">
        <v>1610</v>
      </c>
      <c r="BC241" s="259" t="s">
        <v>2192</v>
      </c>
    </row>
    <row r="242" spans="1:55" ht="135">
      <c r="A242" s="259">
        <v>362</v>
      </c>
      <c r="B242" s="259" t="s">
        <v>2816</v>
      </c>
      <c r="C242" s="259" t="s">
        <v>2817</v>
      </c>
      <c r="D242" s="259" t="s">
        <v>8</v>
      </c>
      <c r="E242" s="259" t="s">
        <v>9</v>
      </c>
      <c r="F242" s="259" t="s">
        <v>1775</v>
      </c>
      <c r="G242" s="274">
        <v>44830</v>
      </c>
      <c r="H242" s="274"/>
      <c r="I242" s="274"/>
      <c r="N242" s="259" t="s">
        <v>122</v>
      </c>
      <c r="P242" s="259" t="s">
        <v>1554</v>
      </c>
      <c r="Q242" s="259" t="s">
        <v>2198</v>
      </c>
      <c r="R242" s="274">
        <v>44630.540208333332</v>
      </c>
      <c r="S242" s="321">
        <v>2022</v>
      </c>
      <c r="T242" s="259" t="s">
        <v>2001</v>
      </c>
      <c r="U242" s="259" t="s">
        <v>630</v>
      </c>
      <c r="V242" s="259" t="s">
        <v>631</v>
      </c>
      <c r="W242" s="259" t="s">
        <v>145</v>
      </c>
      <c r="X242" s="259" t="s">
        <v>309</v>
      </c>
      <c r="Y242" s="365">
        <v>44835</v>
      </c>
      <c r="Z242" s="259" t="s">
        <v>1875</v>
      </c>
      <c r="AA242" s="274"/>
      <c r="AB242" s="259" t="s">
        <v>139</v>
      </c>
      <c r="AC242" s="259" t="s">
        <v>1875</v>
      </c>
      <c r="AD242" s="259">
        <v>900</v>
      </c>
      <c r="AE242" s="259">
        <v>900</v>
      </c>
      <c r="AF242" s="274"/>
      <c r="AJ242" s="319" t="s">
        <v>2191</v>
      </c>
      <c r="AK242" s="274"/>
      <c r="AL242" s="319" t="s">
        <v>2190</v>
      </c>
      <c r="AM242" s="259" t="s">
        <v>1975</v>
      </c>
      <c r="AN242" s="259" t="b">
        <v>0</v>
      </c>
      <c r="AP242" s="274"/>
      <c r="AQ242" s="274"/>
      <c r="AR242" s="274"/>
      <c r="AT242" s="274"/>
      <c r="AU242" s="274"/>
      <c r="AZ242" s="274"/>
      <c r="BA242" s="259" t="s">
        <v>373</v>
      </c>
      <c r="BB242" s="259" t="s">
        <v>1610</v>
      </c>
      <c r="BC242" s="259" t="s">
        <v>2192</v>
      </c>
    </row>
    <row r="243" spans="1:55" ht="135">
      <c r="A243" s="259">
        <v>256</v>
      </c>
      <c r="B243" s="259" t="s">
        <v>2617</v>
      </c>
      <c r="C243" s="259" t="s">
        <v>2618</v>
      </c>
      <c r="D243" s="259" t="s">
        <v>8</v>
      </c>
      <c r="E243" s="259" t="s">
        <v>9</v>
      </c>
      <c r="F243" s="259" t="s">
        <v>1871</v>
      </c>
      <c r="G243" s="274">
        <v>44670</v>
      </c>
      <c r="H243" s="274"/>
      <c r="I243" s="274"/>
      <c r="N243" s="259" t="s">
        <v>98</v>
      </c>
      <c r="P243" s="259" t="s">
        <v>1554</v>
      </c>
      <c r="Q243" s="259" t="s">
        <v>2198</v>
      </c>
      <c r="R243" s="274">
        <v>44630.413981481484</v>
      </c>
      <c r="S243" s="321">
        <v>2022</v>
      </c>
      <c r="T243" s="259" t="s">
        <v>2001</v>
      </c>
      <c r="U243" s="259" t="s">
        <v>630</v>
      </c>
      <c r="V243" s="259" t="s">
        <v>631</v>
      </c>
      <c r="W243" s="259" t="s">
        <v>145</v>
      </c>
      <c r="X243" s="259" t="s">
        <v>309</v>
      </c>
      <c r="Y243" s="365">
        <v>44835</v>
      </c>
      <c r="Z243" s="259" t="s">
        <v>1875</v>
      </c>
      <c r="AA243" s="274"/>
      <c r="AB243" s="259" t="s">
        <v>139</v>
      </c>
      <c r="AC243" s="259" t="s">
        <v>1875</v>
      </c>
      <c r="AD243" s="259">
        <v>900</v>
      </c>
      <c r="AE243" s="259">
        <v>900</v>
      </c>
      <c r="AF243" s="274"/>
      <c r="AJ243" s="319" t="s">
        <v>2191</v>
      </c>
      <c r="AK243" s="274"/>
      <c r="AL243" s="319" t="s">
        <v>2190</v>
      </c>
      <c r="AM243" s="259" t="s">
        <v>1975</v>
      </c>
      <c r="AN243" s="259" t="b">
        <v>0</v>
      </c>
      <c r="AP243" s="274"/>
      <c r="AQ243" s="274"/>
      <c r="AR243" s="274"/>
      <c r="AT243" s="274"/>
      <c r="AU243" s="274"/>
      <c r="AZ243" s="274"/>
      <c r="BA243" s="259" t="s">
        <v>373</v>
      </c>
      <c r="BB243" s="259" t="s">
        <v>1610</v>
      </c>
      <c r="BC243" s="259" t="s">
        <v>2192</v>
      </c>
    </row>
    <row r="244" spans="1:55" ht="135">
      <c r="A244" s="259">
        <v>244</v>
      </c>
      <c r="B244" s="259" t="s">
        <v>2613</v>
      </c>
      <c r="C244" s="259" t="s">
        <v>2614</v>
      </c>
      <c r="D244" s="259" t="s">
        <v>8</v>
      </c>
      <c r="E244" s="259" t="s">
        <v>9</v>
      </c>
      <c r="F244" s="259" t="s">
        <v>1871</v>
      </c>
      <c r="G244" s="274">
        <v>44649</v>
      </c>
      <c r="H244" s="274"/>
      <c r="I244" s="274"/>
      <c r="N244" s="259" t="s">
        <v>98</v>
      </c>
      <c r="P244" s="259" t="s">
        <v>1554</v>
      </c>
      <c r="Q244" s="259" t="s">
        <v>2198</v>
      </c>
      <c r="R244" s="274">
        <v>44630.413078703707</v>
      </c>
      <c r="S244" s="321">
        <v>2022</v>
      </c>
      <c r="T244" s="259" t="s">
        <v>2001</v>
      </c>
      <c r="U244" s="259" t="s">
        <v>630</v>
      </c>
      <c r="V244" s="259" t="s">
        <v>631</v>
      </c>
      <c r="W244" s="259" t="s">
        <v>145</v>
      </c>
      <c r="X244" s="259" t="s">
        <v>309</v>
      </c>
      <c r="Y244" s="365">
        <v>44835</v>
      </c>
      <c r="Z244" s="259" t="s">
        <v>1875</v>
      </c>
      <c r="AA244" s="274"/>
      <c r="AB244" s="259" t="s">
        <v>139</v>
      </c>
      <c r="AC244" s="259" t="s">
        <v>1875</v>
      </c>
      <c r="AD244" s="259">
        <v>900</v>
      </c>
      <c r="AE244" s="259">
        <v>900</v>
      </c>
      <c r="AF244" s="274"/>
      <c r="AJ244" s="319" t="s">
        <v>2191</v>
      </c>
      <c r="AK244" s="274"/>
      <c r="AL244" s="319" t="s">
        <v>2190</v>
      </c>
      <c r="AM244" s="259" t="s">
        <v>1975</v>
      </c>
      <c r="AN244" s="259" t="b">
        <v>0</v>
      </c>
      <c r="AP244" s="274"/>
      <c r="AQ244" s="274"/>
      <c r="AR244" s="274"/>
      <c r="AT244" s="274"/>
      <c r="AU244" s="274"/>
      <c r="AZ244" s="274"/>
      <c r="BA244" s="259" t="s">
        <v>373</v>
      </c>
      <c r="BB244" s="259" t="s">
        <v>1610</v>
      </c>
      <c r="BC244" s="259" t="s">
        <v>2192</v>
      </c>
    </row>
    <row r="245" spans="1:55" ht="135">
      <c r="A245" s="259">
        <v>17</v>
      </c>
      <c r="B245" s="259" t="s">
        <v>2600</v>
      </c>
      <c r="C245" s="259" t="s">
        <v>2601</v>
      </c>
      <c r="D245" s="259" t="s">
        <v>8</v>
      </c>
      <c r="E245" s="259" t="s">
        <v>9</v>
      </c>
      <c r="F245" s="259" t="s">
        <v>1871</v>
      </c>
      <c r="G245" s="274">
        <v>43684</v>
      </c>
      <c r="H245" s="274"/>
      <c r="I245" s="274"/>
      <c r="N245" s="259" t="s">
        <v>98</v>
      </c>
      <c r="P245" s="259" t="s">
        <v>1554</v>
      </c>
      <c r="Q245" s="259" t="s">
        <v>2198</v>
      </c>
      <c r="R245" s="274">
        <v>44630.405266203707</v>
      </c>
      <c r="S245" s="321">
        <v>2019</v>
      </c>
      <c r="T245" s="259" t="s">
        <v>2001</v>
      </c>
      <c r="U245" s="259" t="s">
        <v>630</v>
      </c>
      <c r="V245" s="259" t="s">
        <v>631</v>
      </c>
      <c r="W245" s="259" t="s">
        <v>145</v>
      </c>
      <c r="X245" s="259" t="s">
        <v>309</v>
      </c>
      <c r="Y245" s="365">
        <v>44835</v>
      </c>
      <c r="Z245" s="259" t="s">
        <v>1875</v>
      </c>
      <c r="AA245" s="274"/>
      <c r="AB245" s="259" t="s">
        <v>139</v>
      </c>
      <c r="AC245" s="259" t="s">
        <v>1875</v>
      </c>
      <c r="AD245" s="259">
        <v>900</v>
      </c>
      <c r="AE245" s="259">
        <v>900</v>
      </c>
      <c r="AF245" s="274"/>
      <c r="AJ245" s="319" t="s">
        <v>2191</v>
      </c>
      <c r="AK245" s="274"/>
      <c r="AL245" s="319" t="s">
        <v>2190</v>
      </c>
      <c r="AM245" s="259" t="s">
        <v>1975</v>
      </c>
      <c r="AN245" s="259" t="b">
        <v>0</v>
      </c>
      <c r="AP245" s="274"/>
      <c r="AQ245" s="274"/>
      <c r="AR245" s="274"/>
      <c r="AT245" s="274"/>
      <c r="AU245" s="274"/>
      <c r="AZ245" s="274"/>
      <c r="BA245" s="259" t="s">
        <v>373</v>
      </c>
      <c r="BB245" s="259" t="s">
        <v>1610</v>
      </c>
      <c r="BC245" s="259" t="s">
        <v>2192</v>
      </c>
    </row>
    <row r="246" spans="1:55" ht="135">
      <c r="A246" s="259">
        <v>240</v>
      </c>
      <c r="B246" s="259" t="s">
        <v>2612</v>
      </c>
      <c r="C246" s="259" t="s">
        <v>2431</v>
      </c>
      <c r="D246" s="259" t="s">
        <v>8</v>
      </c>
      <c r="E246" s="259" t="s">
        <v>9</v>
      </c>
      <c r="F246" s="259" t="s">
        <v>1871</v>
      </c>
      <c r="G246" s="274">
        <v>44637</v>
      </c>
      <c r="H246" s="274"/>
      <c r="I246" s="274"/>
      <c r="N246" s="259" t="s">
        <v>98</v>
      </c>
      <c r="P246" s="259" t="s">
        <v>1554</v>
      </c>
      <c r="Q246" s="259" t="s">
        <v>2198</v>
      </c>
      <c r="R246" s="274">
        <v>44630.412546296298</v>
      </c>
      <c r="S246" s="321">
        <v>2022</v>
      </c>
      <c r="T246" s="259" t="s">
        <v>2001</v>
      </c>
      <c r="U246" s="259" t="s">
        <v>630</v>
      </c>
      <c r="V246" s="259" t="s">
        <v>631</v>
      </c>
      <c r="W246" s="259" t="s">
        <v>145</v>
      </c>
      <c r="X246" s="259" t="s">
        <v>309</v>
      </c>
      <c r="Y246" s="365">
        <v>44835</v>
      </c>
      <c r="Z246" s="259" t="s">
        <v>1875</v>
      </c>
      <c r="AA246" s="274"/>
      <c r="AB246" s="259" t="s">
        <v>139</v>
      </c>
      <c r="AC246" s="259" t="s">
        <v>1875</v>
      </c>
      <c r="AD246" s="259">
        <v>900</v>
      </c>
      <c r="AE246" s="259">
        <v>900</v>
      </c>
      <c r="AF246" s="274"/>
      <c r="AJ246" s="319" t="s">
        <v>2191</v>
      </c>
      <c r="AK246" s="274"/>
      <c r="AL246" s="319" t="s">
        <v>2190</v>
      </c>
      <c r="AM246" s="259" t="s">
        <v>1975</v>
      </c>
      <c r="AN246" s="259" t="b">
        <v>0</v>
      </c>
      <c r="AP246" s="274"/>
      <c r="AQ246" s="274"/>
      <c r="AR246" s="274"/>
      <c r="AT246" s="274"/>
      <c r="AU246" s="274"/>
      <c r="AZ246" s="274"/>
      <c r="BA246" s="259" t="s">
        <v>373</v>
      </c>
      <c r="BB246" s="259" t="s">
        <v>1610</v>
      </c>
      <c r="BC246" s="259" t="s">
        <v>2192</v>
      </c>
    </row>
    <row r="247" spans="1:55" ht="135">
      <c r="A247" s="259">
        <v>290</v>
      </c>
      <c r="B247" s="259" t="s">
        <v>2627</v>
      </c>
      <c r="C247" s="259" t="s">
        <v>2628</v>
      </c>
      <c r="D247" s="259" t="s">
        <v>8</v>
      </c>
      <c r="E247" s="259" t="s">
        <v>9</v>
      </c>
      <c r="F247" s="259" t="s">
        <v>1871</v>
      </c>
      <c r="G247" s="274">
        <v>44736</v>
      </c>
      <c r="H247" s="274"/>
      <c r="I247" s="274"/>
      <c r="N247" s="259" t="s">
        <v>98</v>
      </c>
      <c r="P247" s="259" t="s">
        <v>1554</v>
      </c>
      <c r="Q247" s="259" t="s">
        <v>2198</v>
      </c>
      <c r="R247" s="274">
        <v>44630.41678240741</v>
      </c>
      <c r="S247" s="321">
        <v>2022</v>
      </c>
      <c r="T247" s="259" t="s">
        <v>2001</v>
      </c>
      <c r="U247" s="259" t="s">
        <v>630</v>
      </c>
      <c r="V247" s="259" t="s">
        <v>631</v>
      </c>
      <c r="W247" s="259" t="s">
        <v>145</v>
      </c>
      <c r="X247" s="259" t="s">
        <v>309</v>
      </c>
      <c r="Y247" s="365">
        <v>44835</v>
      </c>
      <c r="Z247" s="259" t="s">
        <v>1875</v>
      </c>
      <c r="AA247" s="274"/>
      <c r="AB247" s="259" t="s">
        <v>139</v>
      </c>
      <c r="AC247" s="259" t="s">
        <v>1875</v>
      </c>
      <c r="AD247" s="259">
        <v>900</v>
      </c>
      <c r="AE247" s="259">
        <v>900</v>
      </c>
      <c r="AF247" s="274"/>
      <c r="AJ247" s="319" t="s">
        <v>2191</v>
      </c>
      <c r="AK247" s="274"/>
      <c r="AL247" s="319" t="s">
        <v>2190</v>
      </c>
      <c r="AM247" s="259" t="s">
        <v>1975</v>
      </c>
      <c r="AN247" s="259" t="b">
        <v>0</v>
      </c>
      <c r="AP247" s="274"/>
      <c r="AQ247" s="274"/>
      <c r="AR247" s="274"/>
      <c r="AT247" s="274"/>
      <c r="AU247" s="274"/>
      <c r="AZ247" s="274"/>
      <c r="BA247" s="259" t="s">
        <v>373</v>
      </c>
      <c r="BB247" s="259" t="s">
        <v>1610</v>
      </c>
      <c r="BC247" s="259" t="s">
        <v>2192</v>
      </c>
    </row>
    <row r="248" spans="1:55" ht="135">
      <c r="A248" s="259">
        <v>100</v>
      </c>
      <c r="B248" s="259" t="s">
        <v>2602</v>
      </c>
      <c r="C248" s="259" t="s">
        <v>2603</v>
      </c>
      <c r="D248" s="259" t="s">
        <v>8</v>
      </c>
      <c r="E248" s="259" t="s">
        <v>9</v>
      </c>
      <c r="F248" s="259" t="s">
        <v>1871</v>
      </c>
      <c r="G248" s="274">
        <v>44259</v>
      </c>
      <c r="H248" s="274"/>
      <c r="I248" s="274"/>
      <c r="N248" s="259" t="s">
        <v>98</v>
      </c>
      <c r="P248" s="259" t="s">
        <v>1554</v>
      </c>
      <c r="Q248" s="259" t="s">
        <v>2198</v>
      </c>
      <c r="R248" s="274">
        <v>44630.405833333331</v>
      </c>
      <c r="S248" s="321">
        <v>2021</v>
      </c>
      <c r="T248" s="259" t="s">
        <v>2001</v>
      </c>
      <c r="U248" s="259" t="s">
        <v>630</v>
      </c>
      <c r="V248" s="259" t="s">
        <v>631</v>
      </c>
      <c r="W248" s="259" t="s">
        <v>145</v>
      </c>
      <c r="X248" s="259" t="s">
        <v>309</v>
      </c>
      <c r="Y248" s="365">
        <v>44835</v>
      </c>
      <c r="Z248" s="259" t="s">
        <v>1875</v>
      </c>
      <c r="AA248" s="274"/>
      <c r="AB248" s="259" t="s">
        <v>139</v>
      </c>
      <c r="AC248" s="259" t="s">
        <v>1875</v>
      </c>
      <c r="AD248" s="259">
        <v>900</v>
      </c>
      <c r="AE248" s="259">
        <v>900</v>
      </c>
      <c r="AF248" s="274"/>
      <c r="AJ248" s="319" t="s">
        <v>2191</v>
      </c>
      <c r="AK248" s="274"/>
      <c r="AL248" s="319" t="s">
        <v>2190</v>
      </c>
      <c r="AM248" s="259" t="s">
        <v>1975</v>
      </c>
      <c r="AN248" s="259" t="b">
        <v>0</v>
      </c>
      <c r="AP248" s="274"/>
      <c r="AQ248" s="274"/>
      <c r="AR248" s="274"/>
      <c r="AT248" s="274"/>
      <c r="AU248" s="274"/>
      <c r="AZ248" s="274"/>
      <c r="BA248" s="259" t="s">
        <v>373</v>
      </c>
      <c r="BB248" s="259" t="s">
        <v>1610</v>
      </c>
      <c r="BC248" s="259" t="s">
        <v>2192</v>
      </c>
    </row>
    <row r="249" spans="1:55" ht="135">
      <c r="A249" s="259">
        <v>260</v>
      </c>
      <c r="B249" s="259" t="s">
        <v>2619</v>
      </c>
      <c r="C249" s="259" t="s">
        <v>2620</v>
      </c>
      <c r="D249" s="259" t="s">
        <v>8</v>
      </c>
      <c r="E249" s="259" t="s">
        <v>9</v>
      </c>
      <c r="F249" s="259" t="s">
        <v>1871</v>
      </c>
      <c r="G249" s="274">
        <v>44691</v>
      </c>
      <c r="H249" s="274"/>
      <c r="I249" s="274"/>
      <c r="N249" s="259" t="s">
        <v>98</v>
      </c>
      <c r="P249" s="259" t="s">
        <v>1554</v>
      </c>
      <c r="Q249" s="259" t="s">
        <v>2198</v>
      </c>
      <c r="R249" s="274">
        <v>44630.414490740739</v>
      </c>
      <c r="S249" s="321">
        <v>2022</v>
      </c>
      <c r="T249" s="259" t="s">
        <v>2001</v>
      </c>
      <c r="U249" s="259" t="s">
        <v>630</v>
      </c>
      <c r="V249" s="259" t="s">
        <v>631</v>
      </c>
      <c r="W249" s="259" t="s">
        <v>145</v>
      </c>
      <c r="X249" s="259" t="s">
        <v>309</v>
      </c>
      <c r="Y249" s="365">
        <v>44835</v>
      </c>
      <c r="Z249" s="259" t="s">
        <v>1875</v>
      </c>
      <c r="AA249" s="274"/>
      <c r="AB249" s="259" t="s">
        <v>139</v>
      </c>
      <c r="AC249" s="259" t="s">
        <v>1875</v>
      </c>
      <c r="AD249" s="259">
        <v>900</v>
      </c>
      <c r="AE249" s="259">
        <v>900</v>
      </c>
      <c r="AF249" s="274"/>
      <c r="AJ249" s="319" t="s">
        <v>2191</v>
      </c>
      <c r="AK249" s="274"/>
      <c r="AL249" s="319" t="s">
        <v>2190</v>
      </c>
      <c r="AM249" s="259" t="s">
        <v>1975</v>
      </c>
      <c r="AN249" s="259" t="b">
        <v>0</v>
      </c>
      <c r="AP249" s="274"/>
      <c r="AQ249" s="274"/>
      <c r="AR249" s="274"/>
      <c r="AT249" s="274"/>
      <c r="AU249" s="274"/>
      <c r="AZ249" s="274"/>
      <c r="BA249" s="259" t="s">
        <v>373</v>
      </c>
      <c r="BB249" s="259" t="s">
        <v>1610</v>
      </c>
      <c r="BC249" s="259" t="s">
        <v>2192</v>
      </c>
    </row>
    <row r="250" spans="1:55" ht="135">
      <c r="A250" s="259">
        <v>271</v>
      </c>
      <c r="B250" s="259" t="s">
        <v>2621</v>
      </c>
      <c r="C250" s="259" t="s">
        <v>2622</v>
      </c>
      <c r="D250" s="259" t="s">
        <v>8</v>
      </c>
      <c r="E250" s="259" t="s">
        <v>9</v>
      </c>
      <c r="F250" s="259" t="s">
        <v>1871</v>
      </c>
      <c r="G250" s="274">
        <v>44709</v>
      </c>
      <c r="H250" s="274"/>
      <c r="I250" s="274"/>
      <c r="N250" s="259" t="s">
        <v>98</v>
      </c>
      <c r="P250" s="259" t="s">
        <v>1554</v>
      </c>
      <c r="Q250" s="259" t="s">
        <v>2198</v>
      </c>
      <c r="R250" s="274">
        <v>44630.415578703702</v>
      </c>
      <c r="S250" s="321">
        <v>2022</v>
      </c>
      <c r="T250" s="259" t="s">
        <v>2001</v>
      </c>
      <c r="U250" s="259" t="s">
        <v>630</v>
      </c>
      <c r="V250" s="259" t="s">
        <v>631</v>
      </c>
      <c r="W250" s="259" t="s">
        <v>145</v>
      </c>
      <c r="X250" s="259" t="s">
        <v>309</v>
      </c>
      <c r="Y250" s="365">
        <v>44835</v>
      </c>
      <c r="Z250" s="259" t="s">
        <v>1875</v>
      </c>
      <c r="AA250" s="274"/>
      <c r="AB250" s="259" t="s">
        <v>139</v>
      </c>
      <c r="AC250" s="259" t="s">
        <v>1875</v>
      </c>
      <c r="AD250" s="259">
        <v>900</v>
      </c>
      <c r="AE250" s="259">
        <v>900</v>
      </c>
      <c r="AF250" s="274"/>
      <c r="AJ250" s="319" t="s">
        <v>2191</v>
      </c>
      <c r="AK250" s="274"/>
      <c r="AL250" s="319" t="s">
        <v>2190</v>
      </c>
      <c r="AM250" s="259" t="s">
        <v>1975</v>
      </c>
      <c r="AN250" s="259" t="b">
        <v>0</v>
      </c>
      <c r="AP250" s="274"/>
      <c r="AQ250" s="274"/>
      <c r="AR250" s="274"/>
      <c r="AT250" s="274"/>
      <c r="AU250" s="274"/>
      <c r="AZ250" s="274"/>
      <c r="BA250" s="259" t="s">
        <v>373</v>
      </c>
      <c r="BB250" s="259" t="s">
        <v>1610</v>
      </c>
      <c r="BC250" s="259" t="s">
        <v>2192</v>
      </c>
    </row>
    <row r="251" spans="1:55" ht="135">
      <c r="A251" s="259">
        <v>278</v>
      </c>
      <c r="B251" s="259" t="s">
        <v>2625</v>
      </c>
      <c r="C251" s="259" t="s">
        <v>2626</v>
      </c>
      <c r="D251" s="259" t="s">
        <v>8</v>
      </c>
      <c r="E251" s="259" t="s">
        <v>9</v>
      </c>
      <c r="F251" s="259" t="s">
        <v>1871</v>
      </c>
      <c r="G251" s="274">
        <v>44714</v>
      </c>
      <c r="H251" s="274"/>
      <c r="I251" s="274"/>
      <c r="N251" s="259" t="s">
        <v>122</v>
      </c>
      <c r="P251" s="259" t="s">
        <v>1554</v>
      </c>
      <c r="Q251" s="259" t="s">
        <v>2198</v>
      </c>
      <c r="R251" s="274">
        <v>44630.416354166664</v>
      </c>
      <c r="S251" s="321">
        <v>2022</v>
      </c>
      <c r="T251" s="259" t="s">
        <v>2001</v>
      </c>
      <c r="U251" s="259" t="s">
        <v>630</v>
      </c>
      <c r="V251" s="259" t="s">
        <v>631</v>
      </c>
      <c r="W251" s="259" t="s">
        <v>145</v>
      </c>
      <c r="X251" s="259" t="s">
        <v>309</v>
      </c>
      <c r="Y251" s="365">
        <v>44835</v>
      </c>
      <c r="Z251" s="259" t="s">
        <v>1875</v>
      </c>
      <c r="AA251" s="274"/>
      <c r="AB251" s="259" t="s">
        <v>139</v>
      </c>
      <c r="AC251" s="259" t="s">
        <v>1875</v>
      </c>
      <c r="AD251" s="259">
        <v>900</v>
      </c>
      <c r="AE251" s="259">
        <v>900</v>
      </c>
      <c r="AF251" s="274"/>
      <c r="AJ251" s="319" t="s">
        <v>2191</v>
      </c>
      <c r="AK251" s="274"/>
      <c r="AL251" s="319" t="s">
        <v>2190</v>
      </c>
      <c r="AM251" s="259" t="s">
        <v>1975</v>
      </c>
      <c r="AN251" s="259" t="b">
        <v>0</v>
      </c>
      <c r="AP251" s="274"/>
      <c r="AQ251" s="274"/>
      <c r="AR251" s="274"/>
      <c r="AT251" s="274"/>
      <c r="AU251" s="274"/>
      <c r="AZ251" s="274"/>
      <c r="BA251" s="259" t="s">
        <v>373</v>
      </c>
      <c r="BB251" s="259" t="s">
        <v>1610</v>
      </c>
      <c r="BC251" s="259" t="s">
        <v>2192</v>
      </c>
    </row>
    <row r="252" spans="1:55" ht="135">
      <c r="A252" s="259">
        <v>272</v>
      </c>
      <c r="B252" s="259" t="s">
        <v>2623</v>
      </c>
      <c r="C252" s="259" t="s">
        <v>2624</v>
      </c>
      <c r="D252" s="259" t="s">
        <v>8</v>
      </c>
      <c r="E252" s="259" t="s">
        <v>9</v>
      </c>
      <c r="F252" s="259" t="s">
        <v>1871</v>
      </c>
      <c r="G252" s="274">
        <v>44709</v>
      </c>
      <c r="H252" s="274"/>
      <c r="I252" s="274"/>
      <c r="N252" s="259" t="s">
        <v>98</v>
      </c>
      <c r="P252" s="259" t="s">
        <v>1554</v>
      </c>
      <c r="Q252" s="259" t="s">
        <v>2198</v>
      </c>
      <c r="R252" s="274">
        <v>44630.415937500002</v>
      </c>
      <c r="S252" s="321">
        <v>2022</v>
      </c>
      <c r="T252" s="259" t="s">
        <v>2001</v>
      </c>
      <c r="U252" s="259" t="s">
        <v>630</v>
      </c>
      <c r="V252" s="259" t="s">
        <v>631</v>
      </c>
      <c r="W252" s="259" t="s">
        <v>145</v>
      </c>
      <c r="X252" s="259" t="s">
        <v>309</v>
      </c>
      <c r="Y252" s="365">
        <v>44835</v>
      </c>
      <c r="Z252" s="259" t="s">
        <v>1875</v>
      </c>
      <c r="AA252" s="274"/>
      <c r="AB252" s="259" t="s">
        <v>139</v>
      </c>
      <c r="AC252" s="259" t="s">
        <v>1875</v>
      </c>
      <c r="AD252" s="259">
        <v>900</v>
      </c>
      <c r="AE252" s="259">
        <v>900</v>
      </c>
      <c r="AF252" s="274"/>
      <c r="AJ252" s="319" t="s">
        <v>2191</v>
      </c>
      <c r="AK252" s="274"/>
      <c r="AL252" s="319" t="s">
        <v>2190</v>
      </c>
      <c r="AM252" s="259" t="s">
        <v>1975</v>
      </c>
      <c r="AN252" s="259" t="b">
        <v>0</v>
      </c>
      <c r="AP252" s="274"/>
      <c r="AQ252" s="274"/>
      <c r="AR252" s="274"/>
      <c r="AT252" s="274"/>
      <c r="AU252" s="274"/>
      <c r="AZ252" s="274"/>
      <c r="BA252" s="259" t="s">
        <v>373</v>
      </c>
      <c r="BB252" s="259" t="s">
        <v>1610</v>
      </c>
      <c r="BC252" s="259" t="s">
        <v>2192</v>
      </c>
    </row>
    <row r="253" spans="1:55" ht="135">
      <c r="A253" s="259">
        <v>253</v>
      </c>
      <c r="B253" s="259" t="s">
        <v>2615</v>
      </c>
      <c r="C253" s="259" t="s">
        <v>2616</v>
      </c>
      <c r="D253" s="259" t="s">
        <v>8</v>
      </c>
      <c r="E253" s="259" t="s">
        <v>9</v>
      </c>
      <c r="F253" s="259" t="s">
        <v>1871</v>
      </c>
      <c r="G253" s="274">
        <v>44667</v>
      </c>
      <c r="H253" s="274"/>
      <c r="I253" s="274"/>
      <c r="N253" s="259" t="s">
        <v>98</v>
      </c>
      <c r="P253" s="259" t="s">
        <v>1554</v>
      </c>
      <c r="Q253" s="259" t="s">
        <v>2198</v>
      </c>
      <c r="R253" s="274">
        <v>44630.413576388892</v>
      </c>
      <c r="S253" s="321">
        <v>2022</v>
      </c>
      <c r="T253" s="259" t="s">
        <v>2001</v>
      </c>
      <c r="U253" s="259" t="s">
        <v>630</v>
      </c>
      <c r="V253" s="259" t="s">
        <v>631</v>
      </c>
      <c r="W253" s="259" t="s">
        <v>145</v>
      </c>
      <c r="X253" s="259" t="s">
        <v>309</v>
      </c>
      <c r="Y253" s="365">
        <v>44835</v>
      </c>
      <c r="Z253" s="259" t="s">
        <v>1875</v>
      </c>
      <c r="AA253" s="274"/>
      <c r="AB253" s="259" t="s">
        <v>139</v>
      </c>
      <c r="AC253" s="259" t="s">
        <v>1875</v>
      </c>
      <c r="AD253" s="259">
        <v>900</v>
      </c>
      <c r="AE253" s="259">
        <v>900</v>
      </c>
      <c r="AF253" s="274"/>
      <c r="AJ253" s="319" t="s">
        <v>2191</v>
      </c>
      <c r="AK253" s="274"/>
      <c r="AL253" s="319" t="s">
        <v>2190</v>
      </c>
      <c r="AM253" s="259" t="s">
        <v>1975</v>
      </c>
      <c r="AN253" s="259" t="b">
        <v>0</v>
      </c>
      <c r="AP253" s="274"/>
      <c r="AQ253" s="274"/>
      <c r="AR253" s="274"/>
      <c r="AT253" s="274"/>
      <c r="AU253" s="274"/>
      <c r="AZ253" s="274"/>
      <c r="BA253" s="259" t="s">
        <v>373</v>
      </c>
      <c r="BB253" s="259" t="s">
        <v>1610</v>
      </c>
      <c r="BC253" s="259" t="s">
        <v>2192</v>
      </c>
    </row>
    <row r="254" spans="1:55" ht="135">
      <c r="A254" s="259">
        <v>222</v>
      </c>
      <c r="B254" s="259" t="s">
        <v>2610</v>
      </c>
      <c r="C254" s="259" t="s">
        <v>2611</v>
      </c>
      <c r="D254" s="259" t="s">
        <v>8</v>
      </c>
      <c r="E254" s="259" t="s">
        <v>9</v>
      </c>
      <c r="F254" s="259" t="s">
        <v>1871</v>
      </c>
      <c r="G254" s="274">
        <v>44595</v>
      </c>
      <c r="H254" s="274"/>
      <c r="I254" s="274"/>
      <c r="N254" s="259" t="s">
        <v>98</v>
      </c>
      <c r="P254" s="259" t="s">
        <v>1554</v>
      </c>
      <c r="Q254" s="259" t="s">
        <v>2198</v>
      </c>
      <c r="R254" s="274">
        <v>44630.412002314813</v>
      </c>
      <c r="S254" s="321">
        <v>2022</v>
      </c>
      <c r="T254" s="259" t="s">
        <v>2001</v>
      </c>
      <c r="U254" s="259" t="s">
        <v>630</v>
      </c>
      <c r="V254" s="259" t="s">
        <v>631</v>
      </c>
      <c r="W254" s="259" t="s">
        <v>145</v>
      </c>
      <c r="X254" s="259" t="s">
        <v>309</v>
      </c>
      <c r="Y254" s="365">
        <v>44835</v>
      </c>
      <c r="Z254" s="259" t="s">
        <v>1875</v>
      </c>
      <c r="AA254" s="274"/>
      <c r="AB254" s="259" t="s">
        <v>139</v>
      </c>
      <c r="AC254" s="259" t="s">
        <v>1875</v>
      </c>
      <c r="AD254" s="259">
        <v>900</v>
      </c>
      <c r="AE254" s="259">
        <v>900</v>
      </c>
      <c r="AF254" s="274"/>
      <c r="AJ254" s="319" t="s">
        <v>2191</v>
      </c>
      <c r="AK254" s="274"/>
      <c r="AL254" s="319" t="s">
        <v>2190</v>
      </c>
      <c r="AM254" s="259" t="s">
        <v>1975</v>
      </c>
      <c r="AN254" s="259" t="b">
        <v>0</v>
      </c>
      <c r="AP254" s="274"/>
      <c r="AQ254" s="274"/>
      <c r="AR254" s="274"/>
      <c r="AT254" s="274"/>
      <c r="AU254" s="274"/>
      <c r="AZ254" s="274"/>
      <c r="BA254" s="259" t="s">
        <v>373</v>
      </c>
      <c r="BB254" s="259" t="s">
        <v>1610</v>
      </c>
      <c r="BC254" s="259" t="s">
        <v>2192</v>
      </c>
    </row>
    <row r="255" spans="1:55" ht="135">
      <c r="A255" s="259">
        <v>160</v>
      </c>
      <c r="B255" s="259" t="s">
        <v>2604</v>
      </c>
      <c r="C255" s="259" t="s">
        <v>2605</v>
      </c>
      <c r="D255" s="259" t="s">
        <v>8</v>
      </c>
      <c r="E255" s="259" t="s">
        <v>9</v>
      </c>
      <c r="F255" s="259" t="s">
        <v>1871</v>
      </c>
      <c r="G255" s="274">
        <v>44394</v>
      </c>
      <c r="H255" s="274"/>
      <c r="I255" s="274"/>
      <c r="N255" s="259" t="s">
        <v>98</v>
      </c>
      <c r="P255" s="259" t="s">
        <v>1554</v>
      </c>
      <c r="Q255" s="259" t="s">
        <v>2198</v>
      </c>
      <c r="R255" s="274">
        <v>44630.407754629632</v>
      </c>
      <c r="S255" s="321">
        <v>2021</v>
      </c>
      <c r="T255" s="259" t="s">
        <v>2001</v>
      </c>
      <c r="U255" s="259" t="s">
        <v>630</v>
      </c>
      <c r="V255" s="259" t="s">
        <v>631</v>
      </c>
      <c r="W255" s="259" t="s">
        <v>145</v>
      </c>
      <c r="X255" s="259" t="s">
        <v>309</v>
      </c>
      <c r="Y255" s="365">
        <v>44835</v>
      </c>
      <c r="Z255" s="259" t="s">
        <v>1875</v>
      </c>
      <c r="AA255" s="274"/>
      <c r="AB255" s="259" t="s">
        <v>139</v>
      </c>
      <c r="AC255" s="259" t="s">
        <v>1875</v>
      </c>
      <c r="AD255" s="259">
        <v>900</v>
      </c>
      <c r="AE255" s="259">
        <v>900</v>
      </c>
      <c r="AF255" s="274"/>
      <c r="AJ255" s="319" t="s">
        <v>2191</v>
      </c>
      <c r="AK255" s="274"/>
      <c r="AL255" s="319" t="s">
        <v>2190</v>
      </c>
      <c r="AM255" s="259" t="s">
        <v>1975</v>
      </c>
      <c r="AN255" s="259" t="b">
        <v>0</v>
      </c>
      <c r="AP255" s="274"/>
      <c r="AQ255" s="274"/>
      <c r="AR255" s="274"/>
      <c r="AT255" s="274"/>
      <c r="AU255" s="274"/>
      <c r="AZ255" s="274"/>
      <c r="BA255" s="259" t="s">
        <v>373</v>
      </c>
      <c r="BB255" s="259" t="s">
        <v>1610</v>
      </c>
      <c r="BC255" s="259" t="s">
        <v>2192</v>
      </c>
    </row>
    <row r="256" spans="1:55" ht="135">
      <c r="A256" s="259">
        <v>190</v>
      </c>
      <c r="B256" s="259" t="s">
        <v>2608</v>
      </c>
      <c r="C256" s="259" t="s">
        <v>2609</v>
      </c>
      <c r="D256" s="259" t="s">
        <v>8</v>
      </c>
      <c r="E256" s="259" t="s">
        <v>9</v>
      </c>
      <c r="F256" s="259" t="s">
        <v>1871</v>
      </c>
      <c r="G256" s="274">
        <v>44494</v>
      </c>
      <c r="H256" s="274"/>
      <c r="I256" s="274"/>
      <c r="N256" s="259" t="s">
        <v>132</v>
      </c>
      <c r="P256" s="259" t="s">
        <v>1554</v>
      </c>
      <c r="Q256" s="259" t="s">
        <v>2198</v>
      </c>
      <c r="R256" s="274">
        <v>44630.408807870372</v>
      </c>
      <c r="S256" s="321">
        <v>2021</v>
      </c>
      <c r="T256" s="259" t="s">
        <v>2001</v>
      </c>
      <c r="U256" s="259" t="s">
        <v>630</v>
      </c>
      <c r="V256" s="259" t="s">
        <v>631</v>
      </c>
      <c r="W256" s="259" t="s">
        <v>145</v>
      </c>
      <c r="X256" s="259" t="s">
        <v>309</v>
      </c>
      <c r="Y256" s="365">
        <v>44835</v>
      </c>
      <c r="Z256" s="259" t="s">
        <v>1875</v>
      </c>
      <c r="AA256" s="274"/>
      <c r="AB256" s="259" t="s">
        <v>139</v>
      </c>
      <c r="AC256" s="259" t="s">
        <v>1875</v>
      </c>
      <c r="AD256" s="259">
        <v>900</v>
      </c>
      <c r="AE256" s="259">
        <v>900</v>
      </c>
      <c r="AF256" s="274"/>
      <c r="AJ256" s="319" t="s">
        <v>2191</v>
      </c>
      <c r="AK256" s="274"/>
      <c r="AL256" s="319" t="s">
        <v>2190</v>
      </c>
      <c r="AM256" s="259" t="s">
        <v>1975</v>
      </c>
      <c r="AN256" s="259" t="b">
        <v>0</v>
      </c>
      <c r="AP256" s="274"/>
      <c r="AQ256" s="274"/>
      <c r="AR256" s="274"/>
      <c r="AT256" s="274"/>
      <c r="AU256" s="274"/>
      <c r="AZ256" s="274"/>
      <c r="BA256" s="259" t="s">
        <v>373</v>
      </c>
      <c r="BB256" s="259" t="s">
        <v>1610</v>
      </c>
      <c r="BC256" s="259" t="s">
        <v>2192</v>
      </c>
    </row>
    <row r="257" spans="1:55" ht="135">
      <c r="A257" s="259">
        <v>189</v>
      </c>
      <c r="B257" s="259" t="s">
        <v>2606</v>
      </c>
      <c r="C257" s="259" t="s">
        <v>2607</v>
      </c>
      <c r="D257" s="259" t="s">
        <v>8</v>
      </c>
      <c r="E257" s="259" t="s">
        <v>9</v>
      </c>
      <c r="F257" s="259" t="s">
        <v>1871</v>
      </c>
      <c r="G257" s="274">
        <v>44494</v>
      </c>
      <c r="H257" s="274"/>
      <c r="I257" s="274"/>
      <c r="N257" s="259" t="s">
        <v>98</v>
      </c>
      <c r="P257" s="259" t="s">
        <v>1554</v>
      </c>
      <c r="Q257" s="259" t="s">
        <v>2198</v>
      </c>
      <c r="R257" s="274">
        <v>44630.408217592594</v>
      </c>
      <c r="S257" s="321">
        <v>2021</v>
      </c>
      <c r="T257" s="259" t="s">
        <v>2001</v>
      </c>
      <c r="U257" s="259" t="s">
        <v>630</v>
      </c>
      <c r="V257" s="259" t="s">
        <v>631</v>
      </c>
      <c r="W257" s="259" t="s">
        <v>145</v>
      </c>
      <c r="X257" s="259" t="s">
        <v>309</v>
      </c>
      <c r="Y257" s="365">
        <v>44835</v>
      </c>
      <c r="Z257" s="259" t="s">
        <v>1875</v>
      </c>
      <c r="AA257" s="274"/>
      <c r="AB257" s="259" t="s">
        <v>139</v>
      </c>
      <c r="AC257" s="259" t="s">
        <v>1875</v>
      </c>
      <c r="AD257" s="259">
        <v>900</v>
      </c>
      <c r="AE257" s="259">
        <v>900</v>
      </c>
      <c r="AF257" s="274"/>
      <c r="AJ257" s="319" t="s">
        <v>2191</v>
      </c>
      <c r="AK257" s="274"/>
      <c r="AL257" s="319" t="s">
        <v>2190</v>
      </c>
      <c r="AM257" s="259" t="s">
        <v>1975</v>
      </c>
      <c r="AN257" s="259" t="b">
        <v>0</v>
      </c>
      <c r="AP257" s="274"/>
      <c r="AQ257" s="274"/>
      <c r="AR257" s="274"/>
      <c r="AT257" s="274"/>
      <c r="AU257" s="274"/>
      <c r="AZ257" s="274"/>
      <c r="BA257" s="259" t="s">
        <v>373</v>
      </c>
      <c r="BB257" s="259" t="s">
        <v>1610</v>
      </c>
      <c r="BC257" s="259" t="s">
        <v>2192</v>
      </c>
    </row>
    <row r="258" spans="1:55" ht="135">
      <c r="A258" s="259">
        <v>258</v>
      </c>
      <c r="B258" s="259" t="s">
        <v>2636</v>
      </c>
      <c r="C258" s="259" t="s">
        <v>2679</v>
      </c>
      <c r="D258" s="259" t="s">
        <v>8</v>
      </c>
      <c r="E258" s="259" t="s">
        <v>13</v>
      </c>
      <c r="F258" s="259" t="s">
        <v>1560</v>
      </c>
      <c r="G258" s="274">
        <v>44674</v>
      </c>
      <c r="H258" s="274"/>
      <c r="I258" s="274"/>
      <c r="N258" s="259" t="s">
        <v>126</v>
      </c>
      <c r="P258" s="259" t="s">
        <v>1554</v>
      </c>
      <c r="Q258" s="259" t="s">
        <v>2198</v>
      </c>
      <c r="R258" s="274">
        <v>44630.448020833333</v>
      </c>
      <c r="S258" s="321">
        <v>2022</v>
      </c>
      <c r="T258" s="259" t="s">
        <v>2001</v>
      </c>
      <c r="U258" s="259" t="s">
        <v>630</v>
      </c>
      <c r="V258" s="259" t="s">
        <v>631</v>
      </c>
      <c r="W258" s="259" t="s">
        <v>145</v>
      </c>
      <c r="X258" s="259" t="s">
        <v>309</v>
      </c>
      <c r="Y258" s="365">
        <v>44835</v>
      </c>
      <c r="Z258" s="259" t="s">
        <v>1875</v>
      </c>
      <c r="AA258" s="274"/>
      <c r="AB258" s="259" t="s">
        <v>139</v>
      </c>
      <c r="AC258" s="259" t="s">
        <v>1875</v>
      </c>
      <c r="AD258" s="259">
        <v>900</v>
      </c>
      <c r="AE258" s="259">
        <v>900</v>
      </c>
      <c r="AF258" s="274"/>
      <c r="AJ258" s="319" t="s">
        <v>2191</v>
      </c>
      <c r="AK258" s="274"/>
      <c r="AL258" s="319" t="s">
        <v>2190</v>
      </c>
      <c r="AM258" s="259" t="s">
        <v>1975</v>
      </c>
      <c r="AN258" s="259" t="b">
        <v>0</v>
      </c>
      <c r="AP258" s="274"/>
      <c r="AQ258" s="274"/>
      <c r="AR258" s="274"/>
      <c r="AT258" s="274"/>
      <c r="AU258" s="274"/>
      <c r="AZ258" s="274"/>
      <c r="BA258" s="259" t="s">
        <v>373</v>
      </c>
      <c r="BB258" s="259" t="s">
        <v>1610</v>
      </c>
      <c r="BC258" s="259" t="s">
        <v>2192</v>
      </c>
    </row>
    <row r="259" spans="1:55" ht="135">
      <c r="A259" s="259">
        <v>96</v>
      </c>
      <c r="B259" s="259" t="s">
        <v>2637</v>
      </c>
      <c r="C259" s="259" t="s">
        <v>2638</v>
      </c>
      <c r="D259" s="259" t="s">
        <v>8</v>
      </c>
      <c r="E259" s="259" t="s">
        <v>13</v>
      </c>
      <c r="F259" s="259" t="s">
        <v>1560</v>
      </c>
      <c r="G259" s="274">
        <v>44252</v>
      </c>
      <c r="H259" s="274"/>
      <c r="I259" s="274"/>
      <c r="N259" s="259" t="s">
        <v>126</v>
      </c>
      <c r="P259" s="259" t="s">
        <v>1554</v>
      </c>
      <c r="Q259" s="259" t="s">
        <v>2198</v>
      </c>
      <c r="R259" s="274">
        <v>44630.428773148145</v>
      </c>
      <c r="S259" s="321">
        <v>2021</v>
      </c>
      <c r="T259" s="259" t="s">
        <v>2001</v>
      </c>
      <c r="U259" s="259" t="s">
        <v>630</v>
      </c>
      <c r="V259" s="259" t="s">
        <v>631</v>
      </c>
      <c r="W259" s="259" t="s">
        <v>145</v>
      </c>
      <c r="X259" s="259" t="s">
        <v>309</v>
      </c>
      <c r="Y259" s="365">
        <v>44835</v>
      </c>
      <c r="Z259" s="259" t="s">
        <v>1875</v>
      </c>
      <c r="AA259" s="274"/>
      <c r="AB259" s="259" t="s">
        <v>139</v>
      </c>
      <c r="AC259" s="259" t="s">
        <v>1875</v>
      </c>
      <c r="AD259" s="259">
        <v>900</v>
      </c>
      <c r="AE259" s="259">
        <v>900</v>
      </c>
      <c r="AF259" s="274"/>
      <c r="AJ259" s="319" t="s">
        <v>2191</v>
      </c>
      <c r="AK259" s="274"/>
      <c r="AL259" s="319" t="s">
        <v>2190</v>
      </c>
      <c r="AM259" s="259" t="s">
        <v>1975</v>
      </c>
      <c r="AN259" s="259" t="b">
        <v>0</v>
      </c>
      <c r="AP259" s="274"/>
      <c r="AQ259" s="274"/>
      <c r="AR259" s="274"/>
      <c r="AT259" s="274"/>
      <c r="AU259" s="274"/>
      <c r="AZ259" s="274"/>
      <c r="BA259" s="259" t="s">
        <v>373</v>
      </c>
      <c r="BB259" s="259" t="s">
        <v>1610</v>
      </c>
      <c r="BC259" s="259" t="s">
        <v>2192</v>
      </c>
    </row>
    <row r="260" spans="1:55" ht="135">
      <c r="A260" s="259">
        <v>197</v>
      </c>
      <c r="B260" s="259" t="s">
        <v>2666</v>
      </c>
      <c r="C260" s="259" t="s">
        <v>2667</v>
      </c>
      <c r="D260" s="259" t="s">
        <v>8</v>
      </c>
      <c r="E260" s="259" t="s">
        <v>13</v>
      </c>
      <c r="F260" s="259" t="s">
        <v>1560</v>
      </c>
      <c r="G260" s="274">
        <v>44533</v>
      </c>
      <c r="H260" s="274"/>
      <c r="I260" s="274"/>
      <c r="N260" s="259" t="s">
        <v>126</v>
      </c>
      <c r="P260" s="259" t="s">
        <v>1554</v>
      </c>
      <c r="Q260" s="259" t="s">
        <v>2198</v>
      </c>
      <c r="R260" s="274">
        <v>44630.445</v>
      </c>
      <c r="S260" s="321">
        <v>2021</v>
      </c>
      <c r="T260" s="259" t="s">
        <v>2001</v>
      </c>
      <c r="U260" s="259" t="s">
        <v>630</v>
      </c>
      <c r="V260" s="259" t="s">
        <v>631</v>
      </c>
      <c r="W260" s="259" t="s">
        <v>145</v>
      </c>
      <c r="X260" s="259" t="s">
        <v>309</v>
      </c>
      <c r="Y260" s="365">
        <v>44835</v>
      </c>
      <c r="Z260" s="259" t="s">
        <v>1875</v>
      </c>
      <c r="AA260" s="274"/>
      <c r="AB260" s="259" t="s">
        <v>139</v>
      </c>
      <c r="AC260" s="259" t="s">
        <v>1875</v>
      </c>
      <c r="AD260" s="259">
        <v>900</v>
      </c>
      <c r="AE260" s="259">
        <v>900</v>
      </c>
      <c r="AF260" s="274"/>
      <c r="AJ260" s="319" t="s">
        <v>2191</v>
      </c>
      <c r="AK260" s="274"/>
      <c r="AL260" s="319" t="s">
        <v>2190</v>
      </c>
      <c r="AM260" s="259" t="s">
        <v>1975</v>
      </c>
      <c r="AN260" s="259" t="b">
        <v>0</v>
      </c>
      <c r="AP260" s="274"/>
      <c r="AQ260" s="274"/>
      <c r="AR260" s="274"/>
      <c r="AT260" s="274"/>
      <c r="AU260" s="274"/>
      <c r="AZ260" s="274"/>
      <c r="BA260" s="259" t="s">
        <v>373</v>
      </c>
      <c r="BB260" s="259" t="s">
        <v>1610</v>
      </c>
      <c r="BC260" s="259" t="s">
        <v>2192</v>
      </c>
    </row>
    <row r="261" spans="1:55" ht="135">
      <c r="A261" s="259">
        <v>86</v>
      </c>
      <c r="B261" s="259" t="s">
        <v>2632</v>
      </c>
      <c r="C261" s="259" t="s">
        <v>2633</v>
      </c>
      <c r="D261" s="259" t="s">
        <v>8</v>
      </c>
      <c r="E261" s="259" t="s">
        <v>13</v>
      </c>
      <c r="F261" s="259" t="s">
        <v>1560</v>
      </c>
      <c r="G261" s="274">
        <v>44162</v>
      </c>
      <c r="H261" s="274"/>
      <c r="I261" s="274"/>
      <c r="N261" s="259" t="s">
        <v>131</v>
      </c>
      <c r="P261" s="259" t="s">
        <v>1554</v>
      </c>
      <c r="Q261" s="259" t="s">
        <v>2198</v>
      </c>
      <c r="R261" s="274">
        <v>44630.427488425928</v>
      </c>
      <c r="S261" s="321">
        <v>2020</v>
      </c>
      <c r="T261" s="259" t="s">
        <v>2001</v>
      </c>
      <c r="U261" s="259" t="s">
        <v>630</v>
      </c>
      <c r="V261" s="259" t="s">
        <v>631</v>
      </c>
      <c r="W261" s="259" t="s">
        <v>145</v>
      </c>
      <c r="X261" s="259" t="s">
        <v>309</v>
      </c>
      <c r="Y261" s="365">
        <v>44835</v>
      </c>
      <c r="Z261" s="259" t="s">
        <v>1875</v>
      </c>
      <c r="AA261" s="274"/>
      <c r="AB261" s="259" t="s">
        <v>139</v>
      </c>
      <c r="AC261" s="259" t="s">
        <v>1875</v>
      </c>
      <c r="AD261" s="259">
        <v>900</v>
      </c>
      <c r="AE261" s="259">
        <v>900</v>
      </c>
      <c r="AF261" s="274"/>
      <c r="AJ261" s="319" t="s">
        <v>2191</v>
      </c>
      <c r="AK261" s="274"/>
      <c r="AL261" s="319" t="s">
        <v>2190</v>
      </c>
      <c r="AM261" s="259" t="s">
        <v>1975</v>
      </c>
      <c r="AN261" s="259" t="b">
        <v>0</v>
      </c>
      <c r="AP261" s="274"/>
      <c r="AQ261" s="274"/>
      <c r="AR261" s="274"/>
      <c r="AT261" s="274"/>
      <c r="AU261" s="274"/>
      <c r="AZ261" s="274"/>
      <c r="BA261" s="259" t="s">
        <v>373</v>
      </c>
      <c r="BB261" s="259" t="s">
        <v>1610</v>
      </c>
      <c r="BC261" s="259" t="s">
        <v>2192</v>
      </c>
    </row>
    <row r="262" spans="1:55" ht="135">
      <c r="A262" s="259">
        <v>176</v>
      </c>
      <c r="B262" s="259" t="s">
        <v>2660</v>
      </c>
      <c r="C262" s="259" t="s">
        <v>2661</v>
      </c>
      <c r="D262" s="259" t="s">
        <v>8</v>
      </c>
      <c r="E262" s="259" t="s">
        <v>13</v>
      </c>
      <c r="F262" s="259" t="s">
        <v>1560</v>
      </c>
      <c r="G262" s="274">
        <v>44447</v>
      </c>
      <c r="H262" s="274"/>
      <c r="I262" s="274"/>
      <c r="N262" s="259" t="s">
        <v>126</v>
      </c>
      <c r="P262" s="259" t="s">
        <v>1554</v>
      </c>
      <c r="Q262" s="259" t="s">
        <v>2198</v>
      </c>
      <c r="R262" s="274">
        <v>44630.443888888891</v>
      </c>
      <c r="S262" s="321">
        <v>2021</v>
      </c>
      <c r="T262" s="259" t="s">
        <v>2001</v>
      </c>
      <c r="U262" s="259" t="s">
        <v>630</v>
      </c>
      <c r="V262" s="259" t="s">
        <v>631</v>
      </c>
      <c r="W262" s="259" t="s">
        <v>145</v>
      </c>
      <c r="X262" s="259" t="s">
        <v>309</v>
      </c>
      <c r="Y262" s="365">
        <v>44835</v>
      </c>
      <c r="Z262" s="259" t="s">
        <v>1875</v>
      </c>
      <c r="AA262" s="274"/>
      <c r="AB262" s="259" t="s">
        <v>139</v>
      </c>
      <c r="AC262" s="259" t="s">
        <v>1875</v>
      </c>
      <c r="AD262" s="259">
        <v>900</v>
      </c>
      <c r="AE262" s="259">
        <v>900</v>
      </c>
      <c r="AF262" s="274"/>
      <c r="AJ262" s="319" t="s">
        <v>2191</v>
      </c>
      <c r="AK262" s="274"/>
      <c r="AL262" s="319" t="s">
        <v>2190</v>
      </c>
      <c r="AM262" s="259" t="s">
        <v>1975</v>
      </c>
      <c r="AN262" s="259" t="b">
        <v>0</v>
      </c>
      <c r="AP262" s="274"/>
      <c r="AQ262" s="274"/>
      <c r="AR262" s="274"/>
      <c r="AT262" s="274"/>
      <c r="AU262" s="274"/>
      <c r="AZ262" s="274"/>
      <c r="BA262" s="259" t="s">
        <v>373</v>
      </c>
      <c r="BB262" s="259" t="s">
        <v>1610</v>
      </c>
      <c r="BC262" s="259" t="s">
        <v>2192</v>
      </c>
    </row>
    <row r="263" spans="1:55" ht="135">
      <c r="A263" s="259">
        <v>175</v>
      </c>
      <c r="B263" s="259" t="s">
        <v>2656</v>
      </c>
      <c r="C263" s="259" t="s">
        <v>2657</v>
      </c>
      <c r="D263" s="259" t="s">
        <v>8</v>
      </c>
      <c r="E263" s="259" t="s">
        <v>13</v>
      </c>
      <c r="F263" s="259" t="s">
        <v>1560</v>
      </c>
      <c r="G263" s="274">
        <v>44445</v>
      </c>
      <c r="H263" s="274"/>
      <c r="I263" s="274"/>
      <c r="N263" s="259" t="s">
        <v>126</v>
      </c>
      <c r="P263" s="259" t="s">
        <v>1554</v>
      </c>
      <c r="Q263" s="259" t="s">
        <v>2198</v>
      </c>
      <c r="R263" s="274">
        <v>44630.443148148152</v>
      </c>
      <c r="S263" s="321">
        <v>2021</v>
      </c>
      <c r="T263" s="259" t="s">
        <v>2001</v>
      </c>
      <c r="U263" s="259" t="s">
        <v>630</v>
      </c>
      <c r="V263" s="259" t="s">
        <v>631</v>
      </c>
      <c r="W263" s="259" t="s">
        <v>145</v>
      </c>
      <c r="X263" s="259" t="s">
        <v>309</v>
      </c>
      <c r="Y263" s="365">
        <v>44835</v>
      </c>
      <c r="Z263" s="259" t="s">
        <v>1875</v>
      </c>
      <c r="AA263" s="274"/>
      <c r="AB263" s="259" t="s">
        <v>139</v>
      </c>
      <c r="AC263" s="259" t="s">
        <v>1875</v>
      </c>
      <c r="AD263" s="259">
        <v>900</v>
      </c>
      <c r="AE263" s="259">
        <v>900</v>
      </c>
      <c r="AF263" s="274"/>
      <c r="AJ263" s="319" t="s">
        <v>2191</v>
      </c>
      <c r="AK263" s="274"/>
      <c r="AL263" s="319" t="s">
        <v>2190</v>
      </c>
      <c r="AM263" s="259" t="s">
        <v>1975</v>
      </c>
      <c r="AN263" s="259" t="b">
        <v>0</v>
      </c>
      <c r="AP263" s="274"/>
      <c r="AQ263" s="274"/>
      <c r="AR263" s="274"/>
      <c r="AT263" s="274"/>
      <c r="AU263" s="274"/>
      <c r="AZ263" s="274"/>
      <c r="BA263" s="259" t="s">
        <v>373</v>
      </c>
      <c r="BB263" s="259" t="s">
        <v>1610</v>
      </c>
      <c r="BC263" s="259" t="s">
        <v>2192</v>
      </c>
    </row>
    <row r="264" spans="1:55" ht="135">
      <c r="A264" s="259">
        <v>104</v>
      </c>
      <c r="B264" s="259" t="s">
        <v>2639</v>
      </c>
      <c r="C264" s="259" t="s">
        <v>2640</v>
      </c>
      <c r="D264" s="259" t="s">
        <v>8</v>
      </c>
      <c r="E264" s="259" t="s">
        <v>13</v>
      </c>
      <c r="F264" s="259" t="s">
        <v>1560</v>
      </c>
      <c r="G264" s="274">
        <v>44273</v>
      </c>
      <c r="H264" s="274"/>
      <c r="I264" s="274"/>
      <c r="N264" s="259" t="s">
        <v>126</v>
      </c>
      <c r="P264" s="259" t="s">
        <v>1554</v>
      </c>
      <c r="Q264" s="259" t="s">
        <v>2198</v>
      </c>
      <c r="R264" s="274">
        <v>44630.429270833331</v>
      </c>
      <c r="S264" s="321">
        <v>2021</v>
      </c>
      <c r="T264" s="259" t="s">
        <v>2001</v>
      </c>
      <c r="U264" s="259" t="s">
        <v>630</v>
      </c>
      <c r="V264" s="259" t="s">
        <v>631</v>
      </c>
      <c r="W264" s="259" t="s">
        <v>145</v>
      </c>
      <c r="X264" s="259" t="s">
        <v>309</v>
      </c>
      <c r="Y264" s="365">
        <v>44835</v>
      </c>
      <c r="Z264" s="259" t="s">
        <v>1875</v>
      </c>
      <c r="AA264" s="274"/>
      <c r="AB264" s="259" t="s">
        <v>139</v>
      </c>
      <c r="AC264" s="259" t="s">
        <v>1875</v>
      </c>
      <c r="AD264" s="259">
        <v>900</v>
      </c>
      <c r="AE264" s="259">
        <v>900</v>
      </c>
      <c r="AF264" s="274"/>
      <c r="AJ264" s="319" t="s">
        <v>2191</v>
      </c>
      <c r="AK264" s="274"/>
      <c r="AL264" s="319" t="s">
        <v>2190</v>
      </c>
      <c r="AM264" s="259" t="s">
        <v>1975</v>
      </c>
      <c r="AN264" s="259" t="b">
        <v>0</v>
      </c>
      <c r="AP264" s="274"/>
      <c r="AQ264" s="274"/>
      <c r="AR264" s="274"/>
      <c r="AT264" s="274"/>
      <c r="AU264" s="274"/>
      <c r="AZ264" s="274"/>
      <c r="BA264" s="259" t="s">
        <v>373</v>
      </c>
      <c r="BB264" s="259" t="s">
        <v>1610</v>
      </c>
      <c r="BC264" s="259" t="s">
        <v>2192</v>
      </c>
    </row>
    <row r="265" spans="1:55" ht="135">
      <c r="A265" s="259">
        <v>105</v>
      </c>
      <c r="B265" s="259" t="s">
        <v>2641</v>
      </c>
      <c r="C265" s="259" t="s">
        <v>2642</v>
      </c>
      <c r="D265" s="259" t="s">
        <v>8</v>
      </c>
      <c r="E265" s="259" t="s">
        <v>13</v>
      </c>
      <c r="F265" s="259" t="s">
        <v>1560</v>
      </c>
      <c r="G265" s="274">
        <v>44274</v>
      </c>
      <c r="H265" s="274"/>
      <c r="I265" s="274"/>
      <c r="N265" s="259" t="s">
        <v>98</v>
      </c>
      <c r="P265" s="259" t="s">
        <v>1554</v>
      </c>
      <c r="Q265" s="259" t="s">
        <v>2198</v>
      </c>
      <c r="R265" s="274">
        <v>44630.430960648147</v>
      </c>
      <c r="S265" s="321">
        <v>2021</v>
      </c>
      <c r="T265" s="259" t="s">
        <v>2001</v>
      </c>
      <c r="U265" s="259" t="s">
        <v>630</v>
      </c>
      <c r="V265" s="259" t="s">
        <v>631</v>
      </c>
      <c r="W265" s="259" t="s">
        <v>145</v>
      </c>
      <c r="X265" s="259" t="s">
        <v>309</v>
      </c>
      <c r="Y265" s="365">
        <v>44835</v>
      </c>
      <c r="Z265" s="259" t="s">
        <v>1875</v>
      </c>
      <c r="AA265" s="274"/>
      <c r="AB265" s="259" t="s">
        <v>139</v>
      </c>
      <c r="AC265" s="259" t="s">
        <v>1875</v>
      </c>
      <c r="AD265" s="259">
        <v>900</v>
      </c>
      <c r="AE265" s="259">
        <v>900</v>
      </c>
      <c r="AF265" s="274"/>
      <c r="AJ265" s="319" t="s">
        <v>2191</v>
      </c>
      <c r="AK265" s="274"/>
      <c r="AL265" s="319" t="s">
        <v>2190</v>
      </c>
      <c r="AM265" s="259" t="s">
        <v>1975</v>
      </c>
      <c r="AN265" s="259" t="b">
        <v>0</v>
      </c>
      <c r="AP265" s="274"/>
      <c r="AQ265" s="274"/>
      <c r="AR265" s="274"/>
      <c r="AT265" s="274"/>
      <c r="AU265" s="274"/>
      <c r="AZ265" s="274"/>
      <c r="BA265" s="259" t="s">
        <v>373</v>
      </c>
      <c r="BB265" s="259" t="s">
        <v>1610</v>
      </c>
      <c r="BC265" s="259" t="s">
        <v>2192</v>
      </c>
    </row>
    <row r="266" spans="1:55" ht="135">
      <c r="A266" s="259">
        <v>251</v>
      </c>
      <c r="B266" s="259" t="s">
        <v>2677</v>
      </c>
      <c r="C266" s="259" t="s">
        <v>2678</v>
      </c>
      <c r="D266" s="259" t="s">
        <v>8</v>
      </c>
      <c r="E266" s="259" t="s">
        <v>13</v>
      </c>
      <c r="F266" s="259" t="s">
        <v>1560</v>
      </c>
      <c r="G266" s="274">
        <v>44666</v>
      </c>
      <c r="H266" s="274"/>
      <c r="I266" s="274"/>
      <c r="N266" s="259" t="s">
        <v>126</v>
      </c>
      <c r="P266" s="259" t="s">
        <v>1554</v>
      </c>
      <c r="Q266" s="259" t="s">
        <v>2198</v>
      </c>
      <c r="R266" s="274">
        <v>44630.447650462964</v>
      </c>
      <c r="S266" s="321">
        <v>2022</v>
      </c>
      <c r="T266" s="259" t="s">
        <v>2001</v>
      </c>
      <c r="U266" s="259" t="s">
        <v>630</v>
      </c>
      <c r="V266" s="259" t="s">
        <v>631</v>
      </c>
      <c r="W266" s="259" t="s">
        <v>145</v>
      </c>
      <c r="X266" s="259" t="s">
        <v>309</v>
      </c>
      <c r="Y266" s="365">
        <v>44835</v>
      </c>
      <c r="Z266" s="259" t="s">
        <v>1875</v>
      </c>
      <c r="AA266" s="274"/>
      <c r="AB266" s="259" t="s">
        <v>139</v>
      </c>
      <c r="AC266" s="259" t="s">
        <v>1875</v>
      </c>
      <c r="AD266" s="259">
        <v>900</v>
      </c>
      <c r="AE266" s="259">
        <v>900</v>
      </c>
      <c r="AF266" s="274"/>
      <c r="AJ266" s="319" t="s">
        <v>2191</v>
      </c>
      <c r="AK266" s="274"/>
      <c r="AL266" s="319" t="s">
        <v>2190</v>
      </c>
      <c r="AM266" s="259" t="s">
        <v>1975</v>
      </c>
      <c r="AN266" s="259" t="b">
        <v>0</v>
      </c>
      <c r="AP266" s="274"/>
      <c r="AQ266" s="274"/>
      <c r="AR266" s="274"/>
      <c r="AT266" s="274"/>
      <c r="AU266" s="274"/>
      <c r="AZ266" s="274"/>
      <c r="BA266" s="259" t="s">
        <v>373</v>
      </c>
      <c r="BB266" s="259" t="s">
        <v>1610</v>
      </c>
      <c r="BC266" s="259" t="s">
        <v>2192</v>
      </c>
    </row>
    <row r="267" spans="1:55" ht="135">
      <c r="A267" s="259">
        <v>92</v>
      </c>
      <c r="B267" s="259" t="s">
        <v>2647</v>
      </c>
      <c r="C267" s="259" t="s">
        <v>2648</v>
      </c>
      <c r="D267" s="259" t="s">
        <v>8</v>
      </c>
      <c r="E267" s="259" t="s">
        <v>13</v>
      </c>
      <c r="F267" s="259" t="s">
        <v>1560</v>
      </c>
      <c r="G267" s="274">
        <v>44218</v>
      </c>
      <c r="H267" s="274"/>
      <c r="I267" s="274"/>
      <c r="N267" s="259" t="s">
        <v>126</v>
      </c>
      <c r="P267" s="259" t="s">
        <v>1554</v>
      </c>
      <c r="Q267" s="259" t="s">
        <v>2198</v>
      </c>
      <c r="R267" s="274">
        <v>44630.432453703703</v>
      </c>
      <c r="S267" s="321">
        <v>2021</v>
      </c>
      <c r="T267" s="259" t="s">
        <v>2001</v>
      </c>
      <c r="U267" s="259" t="s">
        <v>630</v>
      </c>
      <c r="V267" s="259" t="s">
        <v>631</v>
      </c>
      <c r="W267" s="259" t="s">
        <v>145</v>
      </c>
      <c r="X267" s="259" t="s">
        <v>309</v>
      </c>
      <c r="Y267" s="365">
        <v>44835</v>
      </c>
      <c r="Z267" s="259" t="s">
        <v>1875</v>
      </c>
      <c r="AA267" s="274"/>
      <c r="AB267" s="259" t="s">
        <v>139</v>
      </c>
      <c r="AC267" s="259" t="s">
        <v>1875</v>
      </c>
      <c r="AD267" s="259">
        <v>900</v>
      </c>
      <c r="AE267" s="259">
        <v>900</v>
      </c>
      <c r="AF267" s="274"/>
      <c r="AJ267" s="319" t="s">
        <v>2191</v>
      </c>
      <c r="AK267" s="274"/>
      <c r="AL267" s="319" t="s">
        <v>2190</v>
      </c>
      <c r="AM267" s="259" t="s">
        <v>1975</v>
      </c>
      <c r="AN267" s="259" t="b">
        <v>0</v>
      </c>
      <c r="AP267" s="274"/>
      <c r="AQ267" s="274"/>
      <c r="AR267" s="274"/>
      <c r="AT267" s="274"/>
      <c r="AU267" s="274"/>
      <c r="AZ267" s="274"/>
      <c r="BA267" s="259" t="s">
        <v>373</v>
      </c>
      <c r="BB267" s="259" t="s">
        <v>1610</v>
      </c>
      <c r="BC267" s="259" t="s">
        <v>2192</v>
      </c>
    </row>
    <row r="268" spans="1:55" ht="135">
      <c r="A268" s="259">
        <v>147</v>
      </c>
      <c r="B268" s="259" t="s">
        <v>2649</v>
      </c>
      <c r="C268" s="259" t="s">
        <v>2650</v>
      </c>
      <c r="D268" s="259" t="s">
        <v>8</v>
      </c>
      <c r="E268" s="259" t="s">
        <v>13</v>
      </c>
      <c r="F268" s="259" t="s">
        <v>1560</v>
      </c>
      <c r="G268" s="274">
        <v>44373</v>
      </c>
      <c r="H268" s="274"/>
      <c r="I268" s="274"/>
      <c r="N268" s="259" t="s">
        <v>126</v>
      </c>
      <c r="P268" s="259" t="s">
        <v>1554</v>
      </c>
      <c r="Q268" s="259" t="s">
        <v>2198</v>
      </c>
      <c r="R268" s="274">
        <v>44630.433344907404</v>
      </c>
      <c r="S268" s="321">
        <v>2021</v>
      </c>
      <c r="T268" s="259" t="s">
        <v>2001</v>
      </c>
      <c r="U268" s="259" t="s">
        <v>630</v>
      </c>
      <c r="V268" s="259" t="s">
        <v>631</v>
      </c>
      <c r="W268" s="259" t="s">
        <v>145</v>
      </c>
      <c r="X268" s="259" t="s">
        <v>309</v>
      </c>
      <c r="Y268" s="365">
        <v>44835</v>
      </c>
      <c r="Z268" s="259" t="s">
        <v>1875</v>
      </c>
      <c r="AA268" s="274"/>
      <c r="AB268" s="259" t="s">
        <v>139</v>
      </c>
      <c r="AC268" s="259" t="s">
        <v>1875</v>
      </c>
      <c r="AD268" s="259">
        <v>900</v>
      </c>
      <c r="AE268" s="259">
        <v>900</v>
      </c>
      <c r="AF268" s="274"/>
      <c r="AJ268" s="319" t="s">
        <v>2191</v>
      </c>
      <c r="AK268" s="274"/>
      <c r="AL268" s="319" t="s">
        <v>2190</v>
      </c>
      <c r="AM268" s="259" t="s">
        <v>1975</v>
      </c>
      <c r="AN268" s="259" t="b">
        <v>0</v>
      </c>
      <c r="AP268" s="274"/>
      <c r="AQ268" s="274"/>
      <c r="AR268" s="274"/>
      <c r="AT268" s="274"/>
      <c r="AU268" s="274"/>
      <c r="AZ268" s="274"/>
      <c r="BA268" s="259" t="s">
        <v>373</v>
      </c>
      <c r="BB268" s="259" t="s">
        <v>1610</v>
      </c>
      <c r="BC268" s="259" t="s">
        <v>2192</v>
      </c>
    </row>
    <row r="269" spans="1:55" ht="135">
      <c r="A269" s="259">
        <v>339</v>
      </c>
      <c r="B269" s="259" t="s">
        <v>2675</v>
      </c>
      <c r="C269" s="259" t="s">
        <v>2683</v>
      </c>
      <c r="D269" s="259" t="s">
        <v>8</v>
      </c>
      <c r="E269" s="259" t="s">
        <v>13</v>
      </c>
      <c r="F269" s="259" t="s">
        <v>1560</v>
      </c>
      <c r="G269" s="274">
        <v>44799</v>
      </c>
      <c r="H269" s="274"/>
      <c r="I269" s="274"/>
      <c r="N269" s="259" t="s">
        <v>126</v>
      </c>
      <c r="P269" s="259" t="s">
        <v>1554</v>
      </c>
      <c r="Q269" s="259" t="s">
        <v>2198</v>
      </c>
      <c r="R269" s="274">
        <v>44630.449004629627</v>
      </c>
      <c r="S269" s="321">
        <v>2022</v>
      </c>
      <c r="T269" s="259" t="s">
        <v>2001</v>
      </c>
      <c r="U269" s="259" t="s">
        <v>630</v>
      </c>
      <c r="V269" s="259" t="s">
        <v>631</v>
      </c>
      <c r="W269" s="259" t="s">
        <v>145</v>
      </c>
      <c r="X269" s="259" t="s">
        <v>309</v>
      </c>
      <c r="Y269" s="365">
        <v>44835</v>
      </c>
      <c r="Z269" s="259" t="s">
        <v>1875</v>
      </c>
      <c r="AA269" s="274"/>
      <c r="AB269" s="259" t="s">
        <v>139</v>
      </c>
      <c r="AC269" s="259" t="s">
        <v>1875</v>
      </c>
      <c r="AD269" s="259">
        <v>900</v>
      </c>
      <c r="AE269" s="259">
        <v>900</v>
      </c>
      <c r="AF269" s="274"/>
      <c r="AJ269" s="319" t="s">
        <v>2191</v>
      </c>
      <c r="AK269" s="274"/>
      <c r="AL269" s="319" t="s">
        <v>2190</v>
      </c>
      <c r="AM269" s="259" t="s">
        <v>1975</v>
      </c>
      <c r="AN269" s="259" t="b">
        <v>0</v>
      </c>
      <c r="AP269" s="274"/>
      <c r="AQ269" s="274"/>
      <c r="AR269" s="274"/>
      <c r="AT269" s="274"/>
      <c r="AU269" s="274"/>
      <c r="AZ269" s="274"/>
      <c r="BA269" s="259" t="s">
        <v>373</v>
      </c>
      <c r="BB269" s="259" t="s">
        <v>1610</v>
      </c>
      <c r="BC269" s="259" t="s">
        <v>2192</v>
      </c>
    </row>
    <row r="270" spans="1:55" ht="135">
      <c r="A270" s="259">
        <v>282</v>
      </c>
      <c r="B270" s="259" t="s">
        <v>2680</v>
      </c>
      <c r="C270" s="259" t="s">
        <v>2681</v>
      </c>
      <c r="D270" s="259" t="s">
        <v>8</v>
      </c>
      <c r="E270" s="259" t="s">
        <v>13</v>
      </c>
      <c r="F270" s="259" t="s">
        <v>1560</v>
      </c>
      <c r="G270" s="274">
        <v>44723</v>
      </c>
      <c r="H270" s="274"/>
      <c r="I270" s="274"/>
      <c r="N270" s="259" t="s">
        <v>126</v>
      </c>
      <c r="P270" s="259" t="s">
        <v>1554</v>
      </c>
      <c r="Q270" s="259" t="s">
        <v>2198</v>
      </c>
      <c r="R270" s="274">
        <v>44630.448425925926</v>
      </c>
      <c r="S270" s="321">
        <v>2022</v>
      </c>
      <c r="T270" s="259" t="s">
        <v>2001</v>
      </c>
      <c r="U270" s="259" t="s">
        <v>630</v>
      </c>
      <c r="V270" s="259" t="s">
        <v>631</v>
      </c>
      <c r="W270" s="259" t="s">
        <v>145</v>
      </c>
      <c r="X270" s="259" t="s">
        <v>309</v>
      </c>
      <c r="Y270" s="365">
        <v>44835</v>
      </c>
      <c r="Z270" s="259" t="s">
        <v>1875</v>
      </c>
      <c r="AA270" s="274"/>
      <c r="AB270" s="259" t="s">
        <v>139</v>
      </c>
      <c r="AC270" s="259" t="s">
        <v>1875</v>
      </c>
      <c r="AD270" s="259">
        <v>900</v>
      </c>
      <c r="AE270" s="259">
        <v>900</v>
      </c>
      <c r="AF270" s="274"/>
      <c r="AJ270" s="319" t="s">
        <v>2191</v>
      </c>
      <c r="AK270" s="274"/>
      <c r="AL270" s="319" t="s">
        <v>2190</v>
      </c>
      <c r="AM270" s="259" t="s">
        <v>1975</v>
      </c>
      <c r="AN270" s="259" t="b">
        <v>0</v>
      </c>
      <c r="AP270" s="274"/>
      <c r="AQ270" s="274"/>
      <c r="AR270" s="274"/>
      <c r="AT270" s="274"/>
      <c r="AU270" s="274"/>
      <c r="AZ270" s="274"/>
      <c r="BA270" s="259" t="s">
        <v>373</v>
      </c>
      <c r="BB270" s="259" t="s">
        <v>1610</v>
      </c>
      <c r="BC270" s="259" t="s">
        <v>2192</v>
      </c>
    </row>
    <row r="271" spans="1:55" ht="135">
      <c r="A271" s="259">
        <v>155</v>
      </c>
      <c r="B271" s="259" t="s">
        <v>2651</v>
      </c>
      <c r="C271" s="259" t="s">
        <v>2652</v>
      </c>
      <c r="D271" s="259" t="s">
        <v>8</v>
      </c>
      <c r="E271" s="259" t="s">
        <v>13</v>
      </c>
      <c r="F271" s="259" t="s">
        <v>1560</v>
      </c>
      <c r="G271" s="274">
        <v>44386</v>
      </c>
      <c r="H271" s="274"/>
      <c r="I271" s="274"/>
      <c r="N271" s="259" t="s">
        <v>126</v>
      </c>
      <c r="P271" s="259" t="s">
        <v>1554</v>
      </c>
      <c r="Q271" s="259" t="s">
        <v>2198</v>
      </c>
      <c r="R271" s="274">
        <v>44630.433738425927</v>
      </c>
      <c r="S271" s="321">
        <v>2021</v>
      </c>
      <c r="T271" s="259" t="s">
        <v>2001</v>
      </c>
      <c r="U271" s="259" t="s">
        <v>630</v>
      </c>
      <c r="V271" s="259" t="s">
        <v>631</v>
      </c>
      <c r="W271" s="259" t="s">
        <v>145</v>
      </c>
      <c r="X271" s="259" t="s">
        <v>309</v>
      </c>
      <c r="Y271" s="365">
        <v>44835</v>
      </c>
      <c r="Z271" s="259" t="s">
        <v>1875</v>
      </c>
      <c r="AA271" s="274"/>
      <c r="AB271" s="259" t="s">
        <v>139</v>
      </c>
      <c r="AC271" s="259" t="s">
        <v>1875</v>
      </c>
      <c r="AD271" s="259">
        <v>900</v>
      </c>
      <c r="AE271" s="259">
        <v>900</v>
      </c>
      <c r="AF271" s="274"/>
      <c r="AJ271" s="319" t="s">
        <v>2191</v>
      </c>
      <c r="AK271" s="274"/>
      <c r="AL271" s="319" t="s">
        <v>2190</v>
      </c>
      <c r="AM271" s="259" t="s">
        <v>1975</v>
      </c>
      <c r="AN271" s="259" t="b">
        <v>0</v>
      </c>
      <c r="AP271" s="274"/>
      <c r="AQ271" s="274"/>
      <c r="AR271" s="274"/>
      <c r="AT271" s="274"/>
      <c r="AU271" s="274"/>
      <c r="AZ271" s="274"/>
      <c r="BA271" s="259" t="s">
        <v>373</v>
      </c>
      <c r="BB271" s="259" t="s">
        <v>1610</v>
      </c>
      <c r="BC271" s="259" t="s">
        <v>2192</v>
      </c>
    </row>
    <row r="272" spans="1:55" ht="135">
      <c r="A272" s="259">
        <v>285</v>
      </c>
      <c r="B272" s="259" t="s">
        <v>2629</v>
      </c>
      <c r="C272" s="259" t="s">
        <v>2682</v>
      </c>
      <c r="D272" s="259" t="s">
        <v>8</v>
      </c>
      <c r="E272" s="259" t="s">
        <v>13</v>
      </c>
      <c r="F272" s="259" t="s">
        <v>1560</v>
      </c>
      <c r="G272" s="274">
        <v>44729</v>
      </c>
      <c r="H272" s="274"/>
      <c r="I272" s="274"/>
      <c r="N272" s="259" t="s">
        <v>126</v>
      </c>
      <c r="P272" s="259" t="s">
        <v>1554</v>
      </c>
      <c r="Q272" s="259" t="s">
        <v>2198</v>
      </c>
      <c r="R272" s="274">
        <v>44630.44871527778</v>
      </c>
      <c r="S272" s="321">
        <v>2022</v>
      </c>
      <c r="T272" s="259" t="s">
        <v>2001</v>
      </c>
      <c r="U272" s="259" t="s">
        <v>630</v>
      </c>
      <c r="V272" s="259" t="s">
        <v>631</v>
      </c>
      <c r="W272" s="259" t="s">
        <v>145</v>
      </c>
      <c r="X272" s="259" t="s">
        <v>309</v>
      </c>
      <c r="Y272" s="365">
        <v>44835</v>
      </c>
      <c r="Z272" s="259" t="s">
        <v>1875</v>
      </c>
      <c r="AA272" s="274"/>
      <c r="AB272" s="259" t="s">
        <v>139</v>
      </c>
      <c r="AC272" s="259" t="s">
        <v>1875</v>
      </c>
      <c r="AD272" s="259">
        <v>900</v>
      </c>
      <c r="AE272" s="259">
        <v>900</v>
      </c>
      <c r="AF272" s="274"/>
      <c r="AJ272" s="319" t="s">
        <v>2191</v>
      </c>
      <c r="AK272" s="274"/>
      <c r="AL272" s="319" t="s">
        <v>2190</v>
      </c>
      <c r="AM272" s="259" t="s">
        <v>1975</v>
      </c>
      <c r="AN272" s="259" t="b">
        <v>0</v>
      </c>
      <c r="AP272" s="274"/>
      <c r="AQ272" s="274"/>
      <c r="AR272" s="274"/>
      <c r="AT272" s="274"/>
      <c r="AU272" s="274"/>
      <c r="AZ272" s="274"/>
      <c r="BA272" s="259" t="s">
        <v>373</v>
      </c>
      <c r="BB272" s="259" t="s">
        <v>1610</v>
      </c>
      <c r="BC272" s="259" t="s">
        <v>2192</v>
      </c>
    </row>
    <row r="273" spans="1:55" ht="135">
      <c r="A273" s="259">
        <v>156</v>
      </c>
      <c r="B273" s="259" t="s">
        <v>2634</v>
      </c>
      <c r="C273" s="259" t="s">
        <v>2653</v>
      </c>
      <c r="D273" s="259" t="s">
        <v>8</v>
      </c>
      <c r="E273" s="259" t="s">
        <v>13</v>
      </c>
      <c r="F273" s="259" t="s">
        <v>1560</v>
      </c>
      <c r="G273" s="274">
        <v>44387</v>
      </c>
      <c r="H273" s="274"/>
      <c r="I273" s="274"/>
      <c r="N273" s="259" t="s">
        <v>126</v>
      </c>
      <c r="P273" s="259" t="s">
        <v>1554</v>
      </c>
      <c r="Q273" s="259" t="s">
        <v>2198</v>
      </c>
      <c r="R273" s="274">
        <v>44630.434236111112</v>
      </c>
      <c r="S273" s="321">
        <v>2021</v>
      </c>
      <c r="T273" s="259" t="s">
        <v>2001</v>
      </c>
      <c r="U273" s="259" t="s">
        <v>630</v>
      </c>
      <c r="V273" s="259" t="s">
        <v>631</v>
      </c>
      <c r="W273" s="259" t="s">
        <v>145</v>
      </c>
      <c r="X273" s="259" t="s">
        <v>309</v>
      </c>
      <c r="Y273" s="365">
        <v>44835</v>
      </c>
      <c r="Z273" s="259" t="s">
        <v>1875</v>
      </c>
      <c r="AA273" s="274"/>
      <c r="AB273" s="259" t="s">
        <v>139</v>
      </c>
      <c r="AC273" s="259" t="s">
        <v>1875</v>
      </c>
      <c r="AD273" s="259">
        <v>900</v>
      </c>
      <c r="AE273" s="259">
        <v>900</v>
      </c>
      <c r="AF273" s="274"/>
      <c r="AJ273" s="319" t="s">
        <v>2191</v>
      </c>
      <c r="AK273" s="274"/>
      <c r="AL273" s="319" t="s">
        <v>2190</v>
      </c>
      <c r="AM273" s="259" t="s">
        <v>1975</v>
      </c>
      <c r="AN273" s="259" t="b">
        <v>0</v>
      </c>
      <c r="AP273" s="274"/>
      <c r="AQ273" s="274"/>
      <c r="AR273" s="274"/>
      <c r="AT273" s="274"/>
      <c r="AU273" s="274"/>
      <c r="AZ273" s="274"/>
      <c r="BA273" s="259" t="s">
        <v>373</v>
      </c>
      <c r="BB273" s="259" t="s">
        <v>1610</v>
      </c>
      <c r="BC273" s="259" t="s">
        <v>2192</v>
      </c>
    </row>
    <row r="274" spans="1:55" ht="135">
      <c r="A274" s="259">
        <v>165</v>
      </c>
      <c r="B274" s="259" t="s">
        <v>2654</v>
      </c>
      <c r="C274" s="259" t="s">
        <v>2655</v>
      </c>
      <c r="D274" s="259" t="s">
        <v>8</v>
      </c>
      <c r="E274" s="259" t="s">
        <v>13</v>
      </c>
      <c r="F274" s="259" t="s">
        <v>1560</v>
      </c>
      <c r="G274" s="274">
        <v>44445</v>
      </c>
      <c r="H274" s="274"/>
      <c r="I274" s="274"/>
      <c r="N274" s="259" t="s">
        <v>126</v>
      </c>
      <c r="P274" s="259" t="s">
        <v>1554</v>
      </c>
      <c r="Q274" s="259" t="s">
        <v>2198</v>
      </c>
      <c r="R274" s="274">
        <v>44630.435497685183</v>
      </c>
      <c r="S274" s="321">
        <v>2021</v>
      </c>
      <c r="T274" s="259" t="s">
        <v>2001</v>
      </c>
      <c r="U274" s="259" t="s">
        <v>630</v>
      </c>
      <c r="V274" s="259" t="s">
        <v>631</v>
      </c>
      <c r="W274" s="259" t="s">
        <v>145</v>
      </c>
      <c r="X274" s="259" t="s">
        <v>309</v>
      </c>
      <c r="Y274" s="365">
        <v>44835</v>
      </c>
      <c r="Z274" s="259" t="s">
        <v>1875</v>
      </c>
      <c r="AA274" s="274"/>
      <c r="AB274" s="259" t="s">
        <v>139</v>
      </c>
      <c r="AC274" s="259" t="s">
        <v>1875</v>
      </c>
      <c r="AD274" s="259">
        <v>900</v>
      </c>
      <c r="AE274" s="259">
        <v>900</v>
      </c>
      <c r="AF274" s="274"/>
      <c r="AJ274" s="319" t="s">
        <v>2191</v>
      </c>
      <c r="AK274" s="274"/>
      <c r="AL274" s="319" t="s">
        <v>2190</v>
      </c>
      <c r="AM274" s="259" t="s">
        <v>1975</v>
      </c>
      <c r="AN274" s="259" t="b">
        <v>0</v>
      </c>
      <c r="AP274" s="274"/>
      <c r="AQ274" s="274"/>
      <c r="AR274" s="274"/>
      <c r="AT274" s="274"/>
      <c r="AU274" s="274"/>
      <c r="AZ274" s="274"/>
      <c r="BA274" s="259" t="s">
        <v>373</v>
      </c>
      <c r="BB274" s="259" t="s">
        <v>1610</v>
      </c>
      <c r="BC274" s="259" t="s">
        <v>2192</v>
      </c>
    </row>
    <row r="275" spans="1:55" ht="135">
      <c r="A275" s="259">
        <v>164</v>
      </c>
      <c r="B275" s="259" t="s">
        <v>2658</v>
      </c>
      <c r="C275" s="259" t="s">
        <v>2659</v>
      </c>
      <c r="D275" s="259" t="s">
        <v>8</v>
      </c>
      <c r="E275" s="259" t="s">
        <v>13</v>
      </c>
      <c r="F275" s="259" t="s">
        <v>1560</v>
      </c>
      <c r="G275" s="274">
        <v>44445</v>
      </c>
      <c r="H275" s="274"/>
      <c r="I275" s="274"/>
      <c r="N275" s="259" t="s">
        <v>126</v>
      </c>
      <c r="P275" s="259" t="s">
        <v>1554</v>
      </c>
      <c r="Q275" s="259" t="s">
        <v>2198</v>
      </c>
      <c r="R275" s="274">
        <v>44630.443472222221</v>
      </c>
      <c r="S275" s="321">
        <v>2021</v>
      </c>
      <c r="T275" s="259" t="s">
        <v>2001</v>
      </c>
      <c r="U275" s="259" t="s">
        <v>630</v>
      </c>
      <c r="V275" s="259" t="s">
        <v>631</v>
      </c>
      <c r="W275" s="259" t="s">
        <v>145</v>
      </c>
      <c r="X275" s="259" t="s">
        <v>309</v>
      </c>
      <c r="Y275" s="365">
        <v>44835</v>
      </c>
      <c r="Z275" s="259" t="s">
        <v>1875</v>
      </c>
      <c r="AA275" s="274"/>
      <c r="AB275" s="259" t="s">
        <v>139</v>
      </c>
      <c r="AC275" s="259" t="s">
        <v>1875</v>
      </c>
      <c r="AD275" s="259">
        <v>900</v>
      </c>
      <c r="AE275" s="259">
        <v>900</v>
      </c>
      <c r="AF275" s="274"/>
      <c r="AJ275" s="319" t="s">
        <v>2191</v>
      </c>
      <c r="AK275" s="274"/>
      <c r="AL275" s="319" t="s">
        <v>2190</v>
      </c>
      <c r="AM275" s="259" t="s">
        <v>1975</v>
      </c>
      <c r="AN275" s="259" t="b">
        <v>0</v>
      </c>
      <c r="AP275" s="274"/>
      <c r="AQ275" s="274"/>
      <c r="AR275" s="274"/>
      <c r="AT275" s="274"/>
      <c r="AU275" s="274"/>
      <c r="AZ275" s="274"/>
      <c r="BA275" s="259" t="s">
        <v>373</v>
      </c>
      <c r="BB275" s="259" t="s">
        <v>1610</v>
      </c>
      <c r="BC275" s="259" t="s">
        <v>2192</v>
      </c>
    </row>
    <row r="276" spans="1:55" ht="135">
      <c r="A276" s="259">
        <v>203</v>
      </c>
      <c r="B276" s="259" t="s">
        <v>2670</v>
      </c>
      <c r="C276" s="259" t="s">
        <v>2671</v>
      </c>
      <c r="D276" s="259" t="s">
        <v>8</v>
      </c>
      <c r="E276" s="259" t="s">
        <v>13</v>
      </c>
      <c r="F276" s="259" t="s">
        <v>1560</v>
      </c>
      <c r="G276" s="274">
        <v>44553</v>
      </c>
      <c r="H276" s="274"/>
      <c r="I276" s="274"/>
      <c r="N276" s="259" t="s">
        <v>126</v>
      </c>
      <c r="P276" s="259" t="s">
        <v>1554</v>
      </c>
      <c r="Q276" s="259" t="s">
        <v>2198</v>
      </c>
      <c r="R276" s="274">
        <v>44630.44604166667</v>
      </c>
      <c r="S276" s="321">
        <v>2021</v>
      </c>
      <c r="T276" s="259" t="s">
        <v>2001</v>
      </c>
      <c r="U276" s="259" t="s">
        <v>630</v>
      </c>
      <c r="V276" s="259" t="s">
        <v>631</v>
      </c>
      <c r="W276" s="259" t="s">
        <v>145</v>
      </c>
      <c r="X276" s="259" t="s">
        <v>309</v>
      </c>
      <c r="Y276" s="365">
        <v>44835</v>
      </c>
      <c r="Z276" s="259" t="s">
        <v>1875</v>
      </c>
      <c r="AA276" s="274"/>
      <c r="AB276" s="259" t="s">
        <v>139</v>
      </c>
      <c r="AC276" s="259" t="s">
        <v>1875</v>
      </c>
      <c r="AD276" s="259">
        <v>900</v>
      </c>
      <c r="AE276" s="259">
        <v>900</v>
      </c>
      <c r="AF276" s="274"/>
      <c r="AJ276" s="319" t="s">
        <v>2191</v>
      </c>
      <c r="AK276" s="274"/>
      <c r="AL276" s="319" t="s">
        <v>2190</v>
      </c>
      <c r="AM276" s="259" t="s">
        <v>1975</v>
      </c>
      <c r="AN276" s="259" t="b">
        <v>0</v>
      </c>
      <c r="AP276" s="274"/>
      <c r="AQ276" s="274"/>
      <c r="AR276" s="274"/>
      <c r="AT276" s="274"/>
      <c r="AU276" s="274"/>
      <c r="AZ276" s="274"/>
      <c r="BA276" s="259" t="s">
        <v>373</v>
      </c>
      <c r="BB276" s="259" t="s">
        <v>1610</v>
      </c>
      <c r="BC276" s="259" t="s">
        <v>2192</v>
      </c>
    </row>
    <row r="277" spans="1:55" ht="135">
      <c r="A277" s="259">
        <v>201</v>
      </c>
      <c r="B277" s="259" t="s">
        <v>2668</v>
      </c>
      <c r="C277" s="259" t="s">
        <v>2669</v>
      </c>
      <c r="D277" s="259" t="s">
        <v>8</v>
      </c>
      <c r="E277" s="259" t="s">
        <v>13</v>
      </c>
      <c r="F277" s="259" t="s">
        <v>1560</v>
      </c>
      <c r="G277" s="274">
        <v>44553</v>
      </c>
      <c r="H277" s="274"/>
      <c r="I277" s="274"/>
      <c r="N277" s="259" t="s">
        <v>126</v>
      </c>
      <c r="P277" s="259" t="s">
        <v>1554</v>
      </c>
      <c r="Q277" s="259" t="s">
        <v>2198</v>
      </c>
      <c r="R277" s="274">
        <v>44630.445706018516</v>
      </c>
      <c r="S277" s="321">
        <v>2021</v>
      </c>
      <c r="T277" s="259" t="s">
        <v>2001</v>
      </c>
      <c r="U277" s="259" t="s">
        <v>630</v>
      </c>
      <c r="V277" s="259" t="s">
        <v>631</v>
      </c>
      <c r="W277" s="259" t="s">
        <v>145</v>
      </c>
      <c r="X277" s="259" t="s">
        <v>309</v>
      </c>
      <c r="Y277" s="365">
        <v>44835</v>
      </c>
      <c r="Z277" s="259" t="s">
        <v>1875</v>
      </c>
      <c r="AA277" s="274"/>
      <c r="AB277" s="259" t="s">
        <v>139</v>
      </c>
      <c r="AC277" s="259" t="s">
        <v>1875</v>
      </c>
      <c r="AD277" s="259">
        <v>900</v>
      </c>
      <c r="AE277" s="259">
        <v>900</v>
      </c>
      <c r="AF277" s="274"/>
      <c r="AJ277" s="319" t="s">
        <v>2191</v>
      </c>
      <c r="AK277" s="274"/>
      <c r="AL277" s="319" t="s">
        <v>2190</v>
      </c>
      <c r="AM277" s="259" t="s">
        <v>1975</v>
      </c>
      <c r="AN277" s="259" t="b">
        <v>0</v>
      </c>
      <c r="AP277" s="274"/>
      <c r="AQ277" s="274"/>
      <c r="AR277" s="274"/>
      <c r="AT277" s="274"/>
      <c r="AU277" s="274"/>
      <c r="AZ277" s="274"/>
      <c r="BA277" s="259" t="s">
        <v>373</v>
      </c>
      <c r="BB277" s="259" t="s">
        <v>1610</v>
      </c>
      <c r="BC277" s="259" t="s">
        <v>2192</v>
      </c>
    </row>
    <row r="278" spans="1:55" ht="135">
      <c r="A278" s="259">
        <v>214</v>
      </c>
      <c r="B278" s="259" t="s">
        <v>2651</v>
      </c>
      <c r="C278" s="259" t="s">
        <v>2674</v>
      </c>
      <c r="D278" s="259" t="s">
        <v>8</v>
      </c>
      <c r="E278" s="259" t="s">
        <v>13</v>
      </c>
      <c r="F278" s="259" t="s">
        <v>1560</v>
      </c>
      <c r="G278" s="274">
        <v>44580</v>
      </c>
      <c r="H278" s="274"/>
      <c r="I278" s="274"/>
      <c r="N278" s="259" t="s">
        <v>126</v>
      </c>
      <c r="P278" s="259" t="s">
        <v>1554</v>
      </c>
      <c r="Q278" s="259" t="s">
        <v>2198</v>
      </c>
      <c r="R278" s="274">
        <v>44630.446875000001</v>
      </c>
      <c r="S278" s="321">
        <v>2022</v>
      </c>
      <c r="T278" s="259" t="s">
        <v>2001</v>
      </c>
      <c r="U278" s="259" t="s">
        <v>630</v>
      </c>
      <c r="V278" s="259" t="s">
        <v>631</v>
      </c>
      <c r="W278" s="259" t="s">
        <v>145</v>
      </c>
      <c r="X278" s="259" t="s">
        <v>309</v>
      </c>
      <c r="Y278" s="365">
        <v>44835</v>
      </c>
      <c r="Z278" s="259" t="s">
        <v>1875</v>
      </c>
      <c r="AA278" s="274"/>
      <c r="AB278" s="259" t="s">
        <v>139</v>
      </c>
      <c r="AC278" s="259" t="s">
        <v>1875</v>
      </c>
      <c r="AD278" s="259">
        <v>900</v>
      </c>
      <c r="AE278" s="259">
        <v>900</v>
      </c>
      <c r="AF278" s="274"/>
      <c r="AJ278" s="319" t="s">
        <v>2191</v>
      </c>
      <c r="AK278" s="274"/>
      <c r="AL278" s="319" t="s">
        <v>2190</v>
      </c>
      <c r="AM278" s="259" t="s">
        <v>1975</v>
      </c>
      <c r="AN278" s="259" t="b">
        <v>0</v>
      </c>
      <c r="AP278" s="274"/>
      <c r="AQ278" s="274"/>
      <c r="AR278" s="274"/>
      <c r="AT278" s="274"/>
      <c r="AU278" s="274"/>
      <c r="AZ278" s="274"/>
      <c r="BA278" s="259" t="s">
        <v>373</v>
      </c>
      <c r="BB278" s="259" t="s">
        <v>1610</v>
      </c>
      <c r="BC278" s="259" t="s">
        <v>2192</v>
      </c>
    </row>
    <row r="279" spans="1:55" ht="135">
      <c r="A279" s="259">
        <v>163</v>
      </c>
      <c r="B279" s="259" t="s">
        <v>2662</v>
      </c>
      <c r="C279" s="259" t="s">
        <v>2663</v>
      </c>
      <c r="D279" s="259" t="s">
        <v>8</v>
      </c>
      <c r="E279" s="259" t="s">
        <v>13</v>
      </c>
      <c r="F279" s="259" t="s">
        <v>1561</v>
      </c>
      <c r="G279" s="274">
        <v>44445</v>
      </c>
      <c r="H279" s="274"/>
      <c r="I279" s="274"/>
      <c r="N279" s="259" t="s">
        <v>126</v>
      </c>
      <c r="P279" s="259" t="s">
        <v>1554</v>
      </c>
      <c r="Q279" s="259" t="s">
        <v>2198</v>
      </c>
      <c r="R279" s="274">
        <v>44630.44427083333</v>
      </c>
      <c r="S279" s="321">
        <v>2021</v>
      </c>
      <c r="T279" s="259" t="s">
        <v>2001</v>
      </c>
      <c r="U279" s="259" t="s">
        <v>630</v>
      </c>
      <c r="V279" s="259" t="s">
        <v>631</v>
      </c>
      <c r="W279" s="259" t="s">
        <v>145</v>
      </c>
      <c r="X279" s="259" t="s">
        <v>309</v>
      </c>
      <c r="Y279" s="365">
        <v>44835</v>
      </c>
      <c r="Z279" s="259" t="s">
        <v>1875</v>
      </c>
      <c r="AA279" s="274"/>
      <c r="AB279" s="259" t="s">
        <v>139</v>
      </c>
      <c r="AC279" s="259" t="s">
        <v>1875</v>
      </c>
      <c r="AD279" s="259">
        <v>900</v>
      </c>
      <c r="AE279" s="259">
        <v>900</v>
      </c>
      <c r="AF279" s="274"/>
      <c r="AJ279" s="319" t="s">
        <v>2191</v>
      </c>
      <c r="AK279" s="274"/>
      <c r="AL279" s="319" t="s">
        <v>2190</v>
      </c>
      <c r="AM279" s="259" t="s">
        <v>1975</v>
      </c>
      <c r="AN279" s="259" t="b">
        <v>0</v>
      </c>
      <c r="AP279" s="274"/>
      <c r="AQ279" s="274"/>
      <c r="AR279" s="274"/>
      <c r="AT279" s="274"/>
      <c r="AU279" s="274"/>
      <c r="AZ279" s="274"/>
      <c r="BA279" s="259" t="s">
        <v>373</v>
      </c>
      <c r="BB279" s="259" t="s">
        <v>1610</v>
      </c>
      <c r="BC279" s="259" t="s">
        <v>2192</v>
      </c>
    </row>
    <row r="280" spans="1:55" ht="135">
      <c r="A280" s="259">
        <v>178</v>
      </c>
      <c r="B280" s="259" t="s">
        <v>2664</v>
      </c>
      <c r="C280" s="259" t="s">
        <v>2665</v>
      </c>
      <c r="D280" s="259" t="s">
        <v>8</v>
      </c>
      <c r="E280" s="259" t="s">
        <v>13</v>
      </c>
      <c r="F280" s="259" t="s">
        <v>1561</v>
      </c>
      <c r="G280" s="274">
        <v>44461</v>
      </c>
      <c r="H280" s="274"/>
      <c r="I280" s="274"/>
      <c r="N280" s="259" t="s">
        <v>126</v>
      </c>
      <c r="P280" s="259" t="s">
        <v>1554</v>
      </c>
      <c r="Q280" s="259" t="s">
        <v>2198</v>
      </c>
      <c r="R280" s="274">
        <v>44630.444641203707</v>
      </c>
      <c r="S280" s="321">
        <v>2021</v>
      </c>
      <c r="T280" s="259" t="s">
        <v>2001</v>
      </c>
      <c r="U280" s="259" t="s">
        <v>630</v>
      </c>
      <c r="V280" s="259" t="s">
        <v>631</v>
      </c>
      <c r="W280" s="259" t="s">
        <v>145</v>
      </c>
      <c r="X280" s="259" t="s">
        <v>309</v>
      </c>
      <c r="Y280" s="365">
        <v>44835</v>
      </c>
      <c r="Z280" s="259" t="s">
        <v>1875</v>
      </c>
      <c r="AA280" s="274"/>
      <c r="AB280" s="259" t="s">
        <v>139</v>
      </c>
      <c r="AC280" s="259" t="s">
        <v>1875</v>
      </c>
      <c r="AD280" s="259">
        <v>900</v>
      </c>
      <c r="AE280" s="259">
        <v>900</v>
      </c>
      <c r="AF280" s="274"/>
      <c r="AJ280" s="319" t="s">
        <v>2191</v>
      </c>
      <c r="AK280" s="274"/>
      <c r="AL280" s="319" t="s">
        <v>2190</v>
      </c>
      <c r="AM280" s="259" t="s">
        <v>1975</v>
      </c>
      <c r="AN280" s="259" t="b">
        <v>0</v>
      </c>
      <c r="AP280" s="274"/>
      <c r="AQ280" s="274"/>
      <c r="AR280" s="274"/>
      <c r="AT280" s="274"/>
      <c r="AU280" s="274"/>
      <c r="AZ280" s="274"/>
      <c r="BA280" s="259" t="s">
        <v>373</v>
      </c>
      <c r="BB280" s="259" t="s">
        <v>1610</v>
      </c>
      <c r="BC280" s="259" t="s">
        <v>2192</v>
      </c>
    </row>
    <row r="281" spans="1:55" ht="135">
      <c r="A281" s="259">
        <v>294</v>
      </c>
      <c r="B281" s="259" t="s">
        <v>2687</v>
      </c>
      <c r="C281" s="259" t="s">
        <v>2688</v>
      </c>
      <c r="D281" s="259" t="s">
        <v>8</v>
      </c>
      <c r="E281" s="259" t="s">
        <v>13</v>
      </c>
      <c r="F281" s="259" t="s">
        <v>1561</v>
      </c>
      <c r="G281" s="274">
        <v>44744</v>
      </c>
      <c r="H281" s="274"/>
      <c r="I281" s="274"/>
      <c r="N281" s="259" t="s">
        <v>126</v>
      </c>
      <c r="P281" s="259" t="s">
        <v>1554</v>
      </c>
      <c r="Q281" s="259" t="s">
        <v>2198</v>
      </c>
      <c r="R281" s="274">
        <v>44630.610902777778</v>
      </c>
      <c r="S281" s="321">
        <v>2022</v>
      </c>
      <c r="T281" s="259" t="s">
        <v>2001</v>
      </c>
      <c r="U281" s="259" t="s">
        <v>630</v>
      </c>
      <c r="V281" s="259" t="s">
        <v>631</v>
      </c>
      <c r="W281" s="259" t="s">
        <v>145</v>
      </c>
      <c r="X281" s="259" t="s">
        <v>309</v>
      </c>
      <c r="Y281" s="365">
        <v>44835</v>
      </c>
      <c r="Z281" s="259" t="s">
        <v>1875</v>
      </c>
      <c r="AA281" s="274"/>
      <c r="AB281" s="259" t="s">
        <v>139</v>
      </c>
      <c r="AC281" s="259" t="s">
        <v>1875</v>
      </c>
      <c r="AD281" s="259">
        <v>900</v>
      </c>
      <c r="AE281" s="259">
        <v>900</v>
      </c>
      <c r="AF281" s="274"/>
      <c r="AJ281" s="319" t="s">
        <v>2191</v>
      </c>
      <c r="AK281" s="274"/>
      <c r="AL281" s="319" t="s">
        <v>2190</v>
      </c>
      <c r="AM281" s="259" t="s">
        <v>1975</v>
      </c>
      <c r="AN281" s="259" t="b">
        <v>0</v>
      </c>
      <c r="AP281" s="274"/>
      <c r="AQ281" s="274"/>
      <c r="AR281" s="274"/>
      <c r="AT281" s="274"/>
      <c r="AU281" s="274"/>
      <c r="AZ281" s="274"/>
      <c r="BA281" s="259" t="s">
        <v>373</v>
      </c>
      <c r="BB281" s="259" t="s">
        <v>1610</v>
      </c>
      <c r="BC281" s="259" t="s">
        <v>2192</v>
      </c>
    </row>
    <row r="282" spans="1:55" ht="135">
      <c r="A282" s="259">
        <v>295</v>
      </c>
      <c r="B282" s="259" t="s">
        <v>2680</v>
      </c>
      <c r="C282" s="259" t="s">
        <v>2689</v>
      </c>
      <c r="D282" s="259" t="s">
        <v>8</v>
      </c>
      <c r="E282" s="259" t="s">
        <v>13</v>
      </c>
      <c r="F282" s="259" t="s">
        <v>1561</v>
      </c>
      <c r="G282" s="274">
        <v>44744</v>
      </c>
      <c r="H282" s="274"/>
      <c r="I282" s="274"/>
      <c r="N282" s="259" t="s">
        <v>126</v>
      </c>
      <c r="P282" s="259" t="s">
        <v>1554</v>
      </c>
      <c r="Q282" s="259" t="s">
        <v>2198</v>
      </c>
      <c r="R282" s="274">
        <v>44630.45108796296</v>
      </c>
      <c r="S282" s="321">
        <v>2022</v>
      </c>
      <c r="T282" s="259" t="s">
        <v>2001</v>
      </c>
      <c r="U282" s="259" t="s">
        <v>630</v>
      </c>
      <c r="V282" s="259" t="s">
        <v>631</v>
      </c>
      <c r="W282" s="259" t="s">
        <v>145</v>
      </c>
      <c r="X282" s="259" t="s">
        <v>309</v>
      </c>
      <c r="Y282" s="365">
        <v>44835</v>
      </c>
      <c r="Z282" s="259" t="s">
        <v>1875</v>
      </c>
      <c r="AA282" s="274"/>
      <c r="AB282" s="259" t="s">
        <v>139</v>
      </c>
      <c r="AC282" s="259" t="s">
        <v>1875</v>
      </c>
      <c r="AD282" s="259">
        <v>900</v>
      </c>
      <c r="AE282" s="259">
        <v>900</v>
      </c>
      <c r="AF282" s="274"/>
      <c r="AJ282" s="319" t="s">
        <v>2191</v>
      </c>
      <c r="AK282" s="274"/>
      <c r="AL282" s="319" t="s">
        <v>2190</v>
      </c>
      <c r="AM282" s="259" t="s">
        <v>1975</v>
      </c>
      <c r="AN282" s="259" t="b">
        <v>0</v>
      </c>
      <c r="AP282" s="274"/>
      <c r="AQ282" s="274"/>
      <c r="AR282" s="274"/>
      <c r="AT282" s="274"/>
      <c r="AU282" s="274"/>
      <c r="AZ282" s="274"/>
      <c r="BA282" s="259" t="s">
        <v>373</v>
      </c>
      <c r="BB282" s="259" t="s">
        <v>1610</v>
      </c>
      <c r="BC282" s="259" t="s">
        <v>2192</v>
      </c>
    </row>
    <row r="283" spans="1:55" ht="135">
      <c r="A283" s="259">
        <v>236</v>
      </c>
      <c r="B283" s="259" t="s">
        <v>2684</v>
      </c>
      <c r="C283" s="259" t="s">
        <v>2685</v>
      </c>
      <c r="D283" s="259" t="s">
        <v>8</v>
      </c>
      <c r="E283" s="259" t="s">
        <v>13</v>
      </c>
      <c r="F283" s="259" t="s">
        <v>1561</v>
      </c>
      <c r="G283" s="274">
        <v>44632</v>
      </c>
      <c r="H283" s="274"/>
      <c r="I283" s="274"/>
      <c r="N283" s="259" t="s">
        <v>126</v>
      </c>
      <c r="P283" s="259" t="s">
        <v>1554</v>
      </c>
      <c r="Q283" s="259" t="s">
        <v>2198</v>
      </c>
      <c r="R283" s="274">
        <v>44630.449629629627</v>
      </c>
      <c r="S283" s="321">
        <v>2022</v>
      </c>
      <c r="T283" s="259" t="s">
        <v>2001</v>
      </c>
      <c r="U283" s="259" t="s">
        <v>630</v>
      </c>
      <c r="V283" s="259" t="s">
        <v>631</v>
      </c>
      <c r="W283" s="259" t="s">
        <v>145</v>
      </c>
      <c r="X283" s="259" t="s">
        <v>309</v>
      </c>
      <c r="Y283" s="365">
        <v>44835</v>
      </c>
      <c r="Z283" s="259" t="s">
        <v>1875</v>
      </c>
      <c r="AA283" s="274"/>
      <c r="AB283" s="259" t="s">
        <v>139</v>
      </c>
      <c r="AC283" s="259" t="s">
        <v>1875</v>
      </c>
      <c r="AD283" s="259">
        <v>900</v>
      </c>
      <c r="AE283" s="259">
        <v>900</v>
      </c>
      <c r="AF283" s="274"/>
      <c r="AJ283" s="319" t="s">
        <v>2191</v>
      </c>
      <c r="AK283" s="274"/>
      <c r="AL283" s="319" t="s">
        <v>2190</v>
      </c>
      <c r="AM283" s="259" t="s">
        <v>1975</v>
      </c>
      <c r="AN283" s="259" t="b">
        <v>0</v>
      </c>
      <c r="AP283" s="274"/>
      <c r="AQ283" s="274"/>
      <c r="AR283" s="274"/>
      <c r="AT283" s="274"/>
      <c r="AU283" s="274"/>
      <c r="AZ283" s="274"/>
      <c r="BA283" s="259" t="s">
        <v>373</v>
      </c>
      <c r="BB283" s="259" t="s">
        <v>1610</v>
      </c>
      <c r="BC283" s="259" t="s">
        <v>2192</v>
      </c>
    </row>
    <row r="284" spans="1:55" ht="135">
      <c r="A284" s="259">
        <v>357</v>
      </c>
      <c r="B284" s="259" t="s">
        <v>2843</v>
      </c>
      <c r="C284" s="259" t="s">
        <v>2844</v>
      </c>
      <c r="D284" s="259" t="s">
        <v>8</v>
      </c>
      <c r="E284" s="259" t="s">
        <v>13</v>
      </c>
      <c r="F284" s="259" t="s">
        <v>1561</v>
      </c>
      <c r="G284" s="274">
        <v>44821</v>
      </c>
      <c r="H284" s="274"/>
      <c r="I284" s="274"/>
      <c r="N284" s="259" t="s">
        <v>122</v>
      </c>
      <c r="P284" s="259" t="s">
        <v>1554</v>
      </c>
      <c r="Q284" s="259" t="s">
        <v>2198</v>
      </c>
      <c r="R284" s="274">
        <v>44630.553680555553</v>
      </c>
      <c r="S284" s="321">
        <v>2022</v>
      </c>
      <c r="T284" s="259" t="s">
        <v>2001</v>
      </c>
      <c r="U284" s="259" t="s">
        <v>630</v>
      </c>
      <c r="V284" s="259" t="s">
        <v>631</v>
      </c>
      <c r="W284" s="259" t="s">
        <v>145</v>
      </c>
      <c r="X284" s="259" t="s">
        <v>309</v>
      </c>
      <c r="Y284" s="365">
        <v>44835</v>
      </c>
      <c r="Z284" s="259" t="s">
        <v>1875</v>
      </c>
      <c r="AA284" s="274"/>
      <c r="AB284" s="259" t="s">
        <v>139</v>
      </c>
      <c r="AC284" s="259" t="s">
        <v>1875</v>
      </c>
      <c r="AD284" s="259">
        <v>900</v>
      </c>
      <c r="AE284" s="259">
        <v>900</v>
      </c>
      <c r="AF284" s="274"/>
      <c r="AJ284" s="319" t="s">
        <v>2191</v>
      </c>
      <c r="AK284" s="274"/>
      <c r="AL284" s="319" t="s">
        <v>2190</v>
      </c>
      <c r="AM284" s="259" t="s">
        <v>1975</v>
      </c>
      <c r="AN284" s="259" t="b">
        <v>0</v>
      </c>
      <c r="AP284" s="274"/>
      <c r="AQ284" s="274"/>
      <c r="AR284" s="274"/>
      <c r="AT284" s="274"/>
      <c r="AU284" s="274"/>
      <c r="AZ284" s="274"/>
      <c r="BA284" s="259" t="s">
        <v>373</v>
      </c>
      <c r="BB284" s="259" t="s">
        <v>1610</v>
      </c>
      <c r="BC284" s="259" t="s">
        <v>2192</v>
      </c>
    </row>
    <row r="285" spans="1:55" ht="135">
      <c r="A285" s="259">
        <v>356</v>
      </c>
      <c r="B285" s="259" t="s">
        <v>2641</v>
      </c>
      <c r="C285" s="259" t="s">
        <v>2842</v>
      </c>
      <c r="D285" s="259" t="s">
        <v>8</v>
      </c>
      <c r="E285" s="259" t="s">
        <v>13</v>
      </c>
      <c r="F285" s="259" t="s">
        <v>1558</v>
      </c>
      <c r="G285" s="274">
        <v>44821</v>
      </c>
      <c r="H285" s="274"/>
      <c r="I285" s="274"/>
      <c r="N285" s="259" t="s">
        <v>122</v>
      </c>
      <c r="P285" s="259" t="s">
        <v>1554</v>
      </c>
      <c r="Q285" s="259" t="s">
        <v>2198</v>
      </c>
      <c r="R285" s="274">
        <v>44630.553159722222</v>
      </c>
      <c r="S285" s="321">
        <v>2022</v>
      </c>
      <c r="T285" s="259" t="s">
        <v>2001</v>
      </c>
      <c r="U285" s="259" t="s">
        <v>630</v>
      </c>
      <c r="V285" s="259" t="s">
        <v>631</v>
      </c>
      <c r="W285" s="259" t="s">
        <v>145</v>
      </c>
      <c r="X285" s="259" t="s">
        <v>309</v>
      </c>
      <c r="Y285" s="365">
        <v>44835</v>
      </c>
      <c r="Z285" s="259" t="s">
        <v>1875</v>
      </c>
      <c r="AA285" s="274"/>
      <c r="AB285" s="259" t="s">
        <v>139</v>
      </c>
      <c r="AC285" s="259" t="s">
        <v>1875</v>
      </c>
      <c r="AD285" s="259">
        <v>900</v>
      </c>
      <c r="AE285" s="259">
        <v>900</v>
      </c>
      <c r="AF285" s="274"/>
      <c r="AJ285" s="319" t="s">
        <v>2191</v>
      </c>
      <c r="AK285" s="274"/>
      <c r="AL285" s="319" t="s">
        <v>2190</v>
      </c>
      <c r="AM285" s="259" t="s">
        <v>1975</v>
      </c>
      <c r="AN285" s="259" t="b">
        <v>0</v>
      </c>
      <c r="AP285" s="274"/>
      <c r="AQ285" s="274"/>
      <c r="AR285" s="274"/>
      <c r="AT285" s="274"/>
      <c r="AU285" s="274"/>
      <c r="AZ285" s="274"/>
      <c r="BA285" s="259" t="s">
        <v>373</v>
      </c>
      <c r="BB285" s="259" t="s">
        <v>1610</v>
      </c>
      <c r="BC285" s="259" t="s">
        <v>2192</v>
      </c>
    </row>
    <row r="286" spans="1:55" ht="135">
      <c r="A286" s="259">
        <v>202</v>
      </c>
      <c r="B286" s="259" t="s">
        <v>2672</v>
      </c>
      <c r="C286" s="259" t="s">
        <v>2673</v>
      </c>
      <c r="D286" s="259" t="s">
        <v>8</v>
      </c>
      <c r="E286" s="259" t="s">
        <v>13</v>
      </c>
      <c r="F286" s="259" t="s">
        <v>1558</v>
      </c>
      <c r="G286" s="274">
        <v>44553</v>
      </c>
      <c r="H286" s="274"/>
      <c r="I286" s="274"/>
      <c r="N286" s="259" t="s">
        <v>126</v>
      </c>
      <c r="P286" s="259" t="s">
        <v>1554</v>
      </c>
      <c r="Q286" s="259" t="s">
        <v>2198</v>
      </c>
      <c r="R286" s="274">
        <v>44630.446400462963</v>
      </c>
      <c r="S286" s="321">
        <v>2021</v>
      </c>
      <c r="T286" s="259" t="s">
        <v>2001</v>
      </c>
      <c r="U286" s="259" t="s">
        <v>630</v>
      </c>
      <c r="V286" s="259" t="s">
        <v>631</v>
      </c>
      <c r="W286" s="259" t="s">
        <v>145</v>
      </c>
      <c r="X286" s="259" t="s">
        <v>309</v>
      </c>
      <c r="Y286" s="365">
        <v>44835</v>
      </c>
      <c r="Z286" s="259" t="s">
        <v>1875</v>
      </c>
      <c r="AA286" s="274"/>
      <c r="AB286" s="259" t="s">
        <v>139</v>
      </c>
      <c r="AC286" s="259" t="s">
        <v>1875</v>
      </c>
      <c r="AD286" s="259">
        <v>900</v>
      </c>
      <c r="AE286" s="259">
        <v>900</v>
      </c>
      <c r="AF286" s="274"/>
      <c r="AJ286" s="319" t="s">
        <v>2191</v>
      </c>
      <c r="AK286" s="274"/>
      <c r="AL286" s="319" t="s">
        <v>2190</v>
      </c>
      <c r="AM286" s="259" t="s">
        <v>1975</v>
      </c>
      <c r="AN286" s="259" t="b">
        <v>0</v>
      </c>
      <c r="AP286" s="274"/>
      <c r="AQ286" s="274"/>
      <c r="AR286" s="274"/>
      <c r="AT286" s="274"/>
      <c r="AU286" s="274"/>
      <c r="AZ286" s="274"/>
      <c r="BA286" s="259" t="s">
        <v>373</v>
      </c>
      <c r="BB286" s="259" t="s">
        <v>1610</v>
      </c>
      <c r="BC286" s="259" t="s">
        <v>2192</v>
      </c>
    </row>
    <row r="287" spans="1:55" ht="135">
      <c r="A287" s="259">
        <v>252</v>
      </c>
      <c r="B287" s="259" t="s">
        <v>2690</v>
      </c>
      <c r="C287" s="259" t="s">
        <v>2691</v>
      </c>
      <c r="D287" s="259" t="s">
        <v>8</v>
      </c>
      <c r="E287" s="259" t="s">
        <v>13</v>
      </c>
      <c r="F287" s="259" t="s">
        <v>1558</v>
      </c>
      <c r="G287" s="274">
        <v>44666</v>
      </c>
      <c r="H287" s="274"/>
      <c r="I287" s="274"/>
      <c r="N287" s="259" t="s">
        <v>126</v>
      </c>
      <c r="P287" s="259" t="s">
        <v>1554</v>
      </c>
      <c r="Q287" s="259" t="s">
        <v>2198</v>
      </c>
      <c r="R287" s="274">
        <v>44630.452013888891</v>
      </c>
      <c r="S287" s="321">
        <v>2022</v>
      </c>
      <c r="T287" s="259" t="s">
        <v>2001</v>
      </c>
      <c r="U287" s="259" t="s">
        <v>630</v>
      </c>
      <c r="V287" s="259" t="s">
        <v>631</v>
      </c>
      <c r="W287" s="259" t="s">
        <v>145</v>
      </c>
      <c r="X287" s="259" t="s">
        <v>309</v>
      </c>
      <c r="Y287" s="365">
        <v>44835</v>
      </c>
      <c r="Z287" s="259" t="s">
        <v>1875</v>
      </c>
      <c r="AA287" s="274"/>
      <c r="AB287" s="259" t="s">
        <v>139</v>
      </c>
      <c r="AC287" s="259" t="s">
        <v>1875</v>
      </c>
      <c r="AD287" s="259">
        <v>900</v>
      </c>
      <c r="AE287" s="259">
        <v>900</v>
      </c>
      <c r="AF287" s="274"/>
      <c r="AJ287" s="319" t="s">
        <v>2191</v>
      </c>
      <c r="AK287" s="274"/>
      <c r="AL287" s="319" t="s">
        <v>2190</v>
      </c>
      <c r="AM287" s="259" t="s">
        <v>1975</v>
      </c>
      <c r="AN287" s="259" t="b">
        <v>0</v>
      </c>
      <c r="AP287" s="274"/>
      <c r="AQ287" s="274"/>
      <c r="AR287" s="274"/>
      <c r="AT287" s="274"/>
      <c r="AU287" s="274"/>
      <c r="AZ287" s="274"/>
      <c r="BA287" s="259" t="s">
        <v>373</v>
      </c>
      <c r="BB287" s="259" t="s">
        <v>1610</v>
      </c>
      <c r="BC287" s="259" t="s">
        <v>2192</v>
      </c>
    </row>
    <row r="288" spans="1:55" ht="135">
      <c r="A288" s="259">
        <v>318</v>
      </c>
      <c r="B288" s="259" t="s">
        <v>2711</v>
      </c>
      <c r="C288" s="259" t="s">
        <v>2712</v>
      </c>
      <c r="D288" s="259" t="s">
        <v>8</v>
      </c>
      <c r="E288" s="259" t="s">
        <v>13</v>
      </c>
      <c r="F288" s="259" t="s">
        <v>1563</v>
      </c>
      <c r="G288" s="274">
        <v>44776</v>
      </c>
      <c r="H288" s="274"/>
      <c r="I288" s="274"/>
      <c r="N288" s="259" t="s">
        <v>126</v>
      </c>
      <c r="P288" s="259" t="s">
        <v>1554</v>
      </c>
      <c r="Q288" s="259" t="s">
        <v>2198</v>
      </c>
      <c r="R288" s="274">
        <v>44630.464745370373</v>
      </c>
      <c r="S288" s="321">
        <v>2022</v>
      </c>
      <c r="T288" s="259" t="s">
        <v>2001</v>
      </c>
      <c r="U288" s="259" t="s">
        <v>630</v>
      </c>
      <c r="V288" s="259" t="s">
        <v>631</v>
      </c>
      <c r="W288" s="259" t="s">
        <v>145</v>
      </c>
      <c r="X288" s="259" t="s">
        <v>309</v>
      </c>
      <c r="Y288" s="365">
        <v>44835</v>
      </c>
      <c r="Z288" s="259" t="s">
        <v>1875</v>
      </c>
      <c r="AA288" s="274"/>
      <c r="AB288" s="259" t="s">
        <v>139</v>
      </c>
      <c r="AC288" s="259" t="s">
        <v>1875</v>
      </c>
      <c r="AD288" s="259">
        <v>900</v>
      </c>
      <c r="AE288" s="259">
        <v>900</v>
      </c>
      <c r="AF288" s="274"/>
      <c r="AJ288" s="319" t="s">
        <v>2191</v>
      </c>
      <c r="AK288" s="274"/>
      <c r="AL288" s="319" t="s">
        <v>2190</v>
      </c>
      <c r="AM288" s="259" t="s">
        <v>1975</v>
      </c>
      <c r="AN288" s="259" t="b">
        <v>0</v>
      </c>
      <c r="AP288" s="274"/>
      <c r="AQ288" s="274"/>
      <c r="AR288" s="274"/>
      <c r="AT288" s="274"/>
      <c r="AU288" s="274"/>
      <c r="AZ288" s="274"/>
      <c r="BA288" s="259" t="s">
        <v>373</v>
      </c>
      <c r="BB288" s="259" t="s">
        <v>1610</v>
      </c>
      <c r="BC288" s="259" t="s">
        <v>2192</v>
      </c>
    </row>
    <row r="289" spans="1:55" ht="135">
      <c r="A289" s="259">
        <v>205</v>
      </c>
      <c r="B289" s="259" t="s">
        <v>2709</v>
      </c>
      <c r="C289" s="259" t="s">
        <v>2671</v>
      </c>
      <c r="D289" s="259" t="s">
        <v>8</v>
      </c>
      <c r="E289" s="259" t="s">
        <v>13</v>
      </c>
      <c r="F289" s="259" t="s">
        <v>1563</v>
      </c>
      <c r="G289" s="274">
        <v>44553</v>
      </c>
      <c r="H289" s="274"/>
      <c r="I289" s="274"/>
      <c r="N289" s="259" t="s">
        <v>126</v>
      </c>
      <c r="P289" s="259" t="s">
        <v>1554</v>
      </c>
      <c r="Q289" s="259" t="s">
        <v>2198</v>
      </c>
      <c r="R289" s="274">
        <v>44630.46402777778</v>
      </c>
      <c r="S289" s="321">
        <v>2021</v>
      </c>
      <c r="T289" s="259" t="s">
        <v>2001</v>
      </c>
      <c r="U289" s="259" t="s">
        <v>630</v>
      </c>
      <c r="V289" s="259" t="s">
        <v>631</v>
      </c>
      <c r="W289" s="259" t="s">
        <v>145</v>
      </c>
      <c r="X289" s="259" t="s">
        <v>309</v>
      </c>
      <c r="Y289" s="365">
        <v>44835</v>
      </c>
      <c r="Z289" s="259" t="s">
        <v>1875</v>
      </c>
      <c r="AA289" s="274"/>
      <c r="AB289" s="259" t="s">
        <v>139</v>
      </c>
      <c r="AC289" s="259" t="s">
        <v>1875</v>
      </c>
      <c r="AD289" s="259">
        <v>900</v>
      </c>
      <c r="AE289" s="259">
        <v>900</v>
      </c>
      <c r="AF289" s="274"/>
      <c r="AJ289" s="319" t="s">
        <v>2191</v>
      </c>
      <c r="AK289" s="274"/>
      <c r="AL289" s="319" t="s">
        <v>2190</v>
      </c>
      <c r="AM289" s="259" t="s">
        <v>1975</v>
      </c>
      <c r="AN289" s="259" t="b">
        <v>0</v>
      </c>
      <c r="AP289" s="274"/>
      <c r="AQ289" s="274"/>
      <c r="AR289" s="274"/>
      <c r="AT289" s="274"/>
      <c r="AU289" s="274"/>
      <c r="AZ289" s="274"/>
      <c r="BA289" s="259" t="s">
        <v>373</v>
      </c>
      <c r="BB289" s="259" t="s">
        <v>1610</v>
      </c>
      <c r="BC289" s="259" t="s">
        <v>2192</v>
      </c>
    </row>
    <row r="290" spans="1:55" ht="135">
      <c r="A290" s="259">
        <v>340</v>
      </c>
      <c r="B290" s="259" t="s">
        <v>2713</v>
      </c>
      <c r="C290" s="259" t="s">
        <v>2642</v>
      </c>
      <c r="D290" s="259" t="s">
        <v>8</v>
      </c>
      <c r="E290" s="259" t="s">
        <v>13</v>
      </c>
      <c r="F290" s="259" t="s">
        <v>1563</v>
      </c>
      <c r="G290" s="274">
        <v>44802</v>
      </c>
      <c r="H290" s="274"/>
      <c r="I290" s="274"/>
      <c r="N290" s="259" t="s">
        <v>122</v>
      </c>
      <c r="P290" s="259" t="s">
        <v>1554</v>
      </c>
      <c r="Q290" s="259" t="s">
        <v>2198</v>
      </c>
      <c r="R290" s="274">
        <v>44630.465081018519</v>
      </c>
      <c r="S290" s="321">
        <v>2022</v>
      </c>
      <c r="T290" s="259" t="s">
        <v>2001</v>
      </c>
      <c r="U290" s="259" t="s">
        <v>630</v>
      </c>
      <c r="V290" s="259" t="s">
        <v>631</v>
      </c>
      <c r="W290" s="259" t="s">
        <v>145</v>
      </c>
      <c r="X290" s="259" t="s">
        <v>309</v>
      </c>
      <c r="Y290" s="365">
        <v>44835</v>
      </c>
      <c r="Z290" s="259" t="s">
        <v>1875</v>
      </c>
      <c r="AA290" s="274"/>
      <c r="AB290" s="259" t="s">
        <v>139</v>
      </c>
      <c r="AC290" s="259" t="s">
        <v>1875</v>
      </c>
      <c r="AD290" s="259">
        <v>900</v>
      </c>
      <c r="AE290" s="259">
        <v>900</v>
      </c>
      <c r="AF290" s="274"/>
      <c r="AJ290" s="319" t="s">
        <v>2191</v>
      </c>
      <c r="AK290" s="274"/>
      <c r="AL290" s="319" t="s">
        <v>2190</v>
      </c>
      <c r="AM290" s="259" t="s">
        <v>1975</v>
      </c>
      <c r="AN290" s="259" t="b">
        <v>0</v>
      </c>
      <c r="AP290" s="274"/>
      <c r="AQ290" s="274"/>
      <c r="AR290" s="274"/>
      <c r="AT290" s="274"/>
      <c r="AU290" s="274"/>
      <c r="AZ290" s="274"/>
      <c r="BA290" s="259" t="s">
        <v>373</v>
      </c>
      <c r="BB290" s="259" t="s">
        <v>1610</v>
      </c>
      <c r="BC290" s="259" t="s">
        <v>2192</v>
      </c>
    </row>
    <row r="291" spans="1:55" ht="135">
      <c r="A291" s="259">
        <v>129</v>
      </c>
      <c r="B291" s="259" t="s">
        <v>2697</v>
      </c>
      <c r="C291" s="259" t="s">
        <v>2698</v>
      </c>
      <c r="D291" s="259" t="s">
        <v>8</v>
      </c>
      <c r="E291" s="259" t="s">
        <v>13</v>
      </c>
      <c r="F291" s="259" t="s">
        <v>1563</v>
      </c>
      <c r="G291" s="274">
        <v>44343</v>
      </c>
      <c r="H291" s="274"/>
      <c r="I291" s="274"/>
      <c r="N291" s="259" t="s">
        <v>126</v>
      </c>
      <c r="P291" s="259" t="s">
        <v>1554</v>
      </c>
      <c r="Q291" s="259" t="s">
        <v>2198</v>
      </c>
      <c r="R291" s="274">
        <v>44630.461678240739</v>
      </c>
      <c r="S291" s="321">
        <v>2021</v>
      </c>
      <c r="T291" s="259" t="s">
        <v>2001</v>
      </c>
      <c r="U291" s="259" t="s">
        <v>630</v>
      </c>
      <c r="V291" s="259" t="s">
        <v>631</v>
      </c>
      <c r="W291" s="259" t="s">
        <v>145</v>
      </c>
      <c r="X291" s="259" t="s">
        <v>309</v>
      </c>
      <c r="Y291" s="365">
        <v>44835</v>
      </c>
      <c r="Z291" s="259" t="s">
        <v>1875</v>
      </c>
      <c r="AA291" s="274"/>
      <c r="AB291" s="259" t="s">
        <v>139</v>
      </c>
      <c r="AC291" s="259" t="s">
        <v>1875</v>
      </c>
      <c r="AD291" s="259">
        <v>900</v>
      </c>
      <c r="AE291" s="259">
        <v>900</v>
      </c>
      <c r="AF291" s="274"/>
      <c r="AJ291" s="319" t="s">
        <v>2191</v>
      </c>
      <c r="AK291" s="274"/>
      <c r="AL291" s="319" t="s">
        <v>2190</v>
      </c>
      <c r="AM291" s="259" t="s">
        <v>1975</v>
      </c>
      <c r="AN291" s="259" t="b">
        <v>0</v>
      </c>
      <c r="AP291" s="274"/>
      <c r="AQ291" s="274"/>
      <c r="AR291" s="274"/>
      <c r="AT291" s="274"/>
      <c r="AU291" s="274"/>
      <c r="AZ291" s="274"/>
      <c r="BA291" s="259" t="s">
        <v>373</v>
      </c>
      <c r="BB291" s="259" t="s">
        <v>1610</v>
      </c>
      <c r="BC291" s="259" t="s">
        <v>2192</v>
      </c>
    </row>
    <row r="292" spans="1:55" ht="135">
      <c r="A292" s="259">
        <v>172</v>
      </c>
      <c r="B292" s="259" t="s">
        <v>2704</v>
      </c>
      <c r="C292" s="259" t="s">
        <v>2705</v>
      </c>
      <c r="D292" s="259" t="s">
        <v>8</v>
      </c>
      <c r="E292" s="259" t="s">
        <v>13</v>
      </c>
      <c r="F292" s="259" t="s">
        <v>1563</v>
      </c>
      <c r="G292" s="274">
        <v>44445</v>
      </c>
      <c r="H292" s="274"/>
      <c r="I292" s="274"/>
      <c r="N292" s="259" t="s">
        <v>126</v>
      </c>
      <c r="P292" s="259" t="s">
        <v>1554</v>
      </c>
      <c r="Q292" s="259" t="s">
        <v>2198</v>
      </c>
      <c r="R292" s="274">
        <v>44630.46303240741</v>
      </c>
      <c r="S292" s="321">
        <v>2021</v>
      </c>
      <c r="T292" s="259" t="s">
        <v>2001</v>
      </c>
      <c r="U292" s="259" t="s">
        <v>630</v>
      </c>
      <c r="V292" s="259" t="s">
        <v>631</v>
      </c>
      <c r="W292" s="259" t="s">
        <v>145</v>
      </c>
      <c r="X292" s="259" t="s">
        <v>309</v>
      </c>
      <c r="Y292" s="365">
        <v>44835</v>
      </c>
      <c r="Z292" s="259" t="s">
        <v>1875</v>
      </c>
      <c r="AA292" s="274"/>
      <c r="AB292" s="259" t="s">
        <v>139</v>
      </c>
      <c r="AC292" s="259" t="s">
        <v>1875</v>
      </c>
      <c r="AD292" s="259">
        <v>900</v>
      </c>
      <c r="AE292" s="259">
        <v>900</v>
      </c>
      <c r="AF292" s="274"/>
      <c r="AJ292" s="319" t="s">
        <v>2191</v>
      </c>
      <c r="AK292" s="274"/>
      <c r="AL292" s="319" t="s">
        <v>2190</v>
      </c>
      <c r="AM292" s="259" t="s">
        <v>1975</v>
      </c>
      <c r="AN292" s="259" t="b">
        <v>0</v>
      </c>
      <c r="AP292" s="274"/>
      <c r="AQ292" s="274"/>
      <c r="AR292" s="274"/>
      <c r="AT292" s="274"/>
      <c r="AU292" s="274"/>
      <c r="AZ292" s="274"/>
      <c r="BA292" s="259" t="s">
        <v>373</v>
      </c>
      <c r="BB292" s="259" t="s">
        <v>1610</v>
      </c>
      <c r="BC292" s="259" t="s">
        <v>2192</v>
      </c>
    </row>
    <row r="293" spans="1:55" ht="135">
      <c r="A293" s="259">
        <v>146</v>
      </c>
      <c r="B293" s="259" t="s">
        <v>2703</v>
      </c>
      <c r="C293" s="259" t="s">
        <v>2650</v>
      </c>
      <c r="D293" s="259" t="s">
        <v>8</v>
      </c>
      <c r="E293" s="259" t="s">
        <v>13</v>
      </c>
      <c r="F293" s="259" t="s">
        <v>1563</v>
      </c>
      <c r="G293" s="274">
        <v>44373</v>
      </c>
      <c r="H293" s="274"/>
      <c r="I293" s="274"/>
      <c r="N293" s="259" t="s">
        <v>126</v>
      </c>
      <c r="P293" s="259" t="s">
        <v>1554</v>
      </c>
      <c r="Q293" s="259" t="s">
        <v>2198</v>
      </c>
      <c r="R293" s="274">
        <v>44630.462708333333</v>
      </c>
      <c r="S293" s="321">
        <v>2021</v>
      </c>
      <c r="T293" s="259" t="s">
        <v>2001</v>
      </c>
      <c r="U293" s="259" t="s">
        <v>630</v>
      </c>
      <c r="V293" s="259" t="s">
        <v>631</v>
      </c>
      <c r="W293" s="259" t="s">
        <v>145</v>
      </c>
      <c r="X293" s="259" t="s">
        <v>309</v>
      </c>
      <c r="Y293" s="365">
        <v>44835</v>
      </c>
      <c r="Z293" s="259" t="s">
        <v>1875</v>
      </c>
      <c r="AA293" s="274"/>
      <c r="AB293" s="259" t="s">
        <v>139</v>
      </c>
      <c r="AC293" s="259" t="s">
        <v>1875</v>
      </c>
      <c r="AD293" s="259">
        <v>900</v>
      </c>
      <c r="AE293" s="259">
        <v>900</v>
      </c>
      <c r="AF293" s="274"/>
      <c r="AJ293" s="319" t="s">
        <v>2191</v>
      </c>
      <c r="AK293" s="274"/>
      <c r="AL293" s="319" t="s">
        <v>2190</v>
      </c>
      <c r="AM293" s="259" t="s">
        <v>1975</v>
      </c>
      <c r="AN293" s="259" t="b">
        <v>0</v>
      </c>
      <c r="AP293" s="274"/>
      <c r="AQ293" s="274"/>
      <c r="AR293" s="274"/>
      <c r="AT293" s="274"/>
      <c r="AU293" s="274"/>
      <c r="AZ293" s="274"/>
      <c r="BA293" s="259" t="s">
        <v>373</v>
      </c>
      <c r="BB293" s="259" t="s">
        <v>1610</v>
      </c>
      <c r="BC293" s="259" t="s">
        <v>2192</v>
      </c>
    </row>
    <row r="294" spans="1:55" ht="135">
      <c r="A294" s="259">
        <v>142</v>
      </c>
      <c r="B294" s="259" t="s">
        <v>2701</v>
      </c>
      <c r="C294" s="259" t="s">
        <v>2702</v>
      </c>
      <c r="D294" s="259" t="s">
        <v>8</v>
      </c>
      <c r="E294" s="259" t="s">
        <v>13</v>
      </c>
      <c r="F294" s="259" t="s">
        <v>1563</v>
      </c>
      <c r="G294" s="274">
        <v>44370</v>
      </c>
      <c r="H294" s="274"/>
      <c r="I294" s="274"/>
      <c r="N294" s="259" t="s">
        <v>126</v>
      </c>
      <c r="P294" s="259" t="s">
        <v>1554</v>
      </c>
      <c r="Q294" s="259" t="s">
        <v>2198</v>
      </c>
      <c r="R294" s="274">
        <v>44630.462395833332</v>
      </c>
      <c r="S294" s="321">
        <v>2021</v>
      </c>
      <c r="T294" s="259" t="s">
        <v>2001</v>
      </c>
      <c r="U294" s="259" t="s">
        <v>630</v>
      </c>
      <c r="V294" s="259" t="s">
        <v>631</v>
      </c>
      <c r="W294" s="259" t="s">
        <v>145</v>
      </c>
      <c r="X294" s="259" t="s">
        <v>309</v>
      </c>
      <c r="Y294" s="365">
        <v>44835</v>
      </c>
      <c r="Z294" s="259" t="s">
        <v>1875</v>
      </c>
      <c r="AA294" s="274"/>
      <c r="AB294" s="259" t="s">
        <v>139</v>
      </c>
      <c r="AC294" s="259" t="s">
        <v>1875</v>
      </c>
      <c r="AD294" s="259">
        <v>900</v>
      </c>
      <c r="AE294" s="259">
        <v>900</v>
      </c>
      <c r="AF294" s="274"/>
      <c r="AJ294" s="319" t="s">
        <v>2191</v>
      </c>
      <c r="AK294" s="274"/>
      <c r="AL294" s="319" t="s">
        <v>2190</v>
      </c>
      <c r="AM294" s="259" t="s">
        <v>1975</v>
      </c>
      <c r="AN294" s="259" t="b">
        <v>0</v>
      </c>
      <c r="AP294" s="274"/>
      <c r="AQ294" s="274"/>
      <c r="AR294" s="274"/>
      <c r="AT294" s="274"/>
      <c r="AU294" s="274"/>
      <c r="AZ294" s="274"/>
      <c r="BA294" s="259" t="s">
        <v>373</v>
      </c>
      <c r="BB294" s="259" t="s">
        <v>1610</v>
      </c>
      <c r="BC294" s="259" t="s">
        <v>2192</v>
      </c>
    </row>
    <row r="295" spans="1:55" ht="135">
      <c r="A295" s="259">
        <v>141</v>
      </c>
      <c r="B295" s="259" t="s">
        <v>2699</v>
      </c>
      <c r="C295" s="259" t="s">
        <v>2700</v>
      </c>
      <c r="D295" s="259" t="s">
        <v>8</v>
      </c>
      <c r="E295" s="259" t="s">
        <v>13</v>
      </c>
      <c r="F295" s="259" t="s">
        <v>1563</v>
      </c>
      <c r="G295" s="274">
        <v>44370</v>
      </c>
      <c r="H295" s="274"/>
      <c r="I295" s="274"/>
      <c r="N295" s="259" t="s">
        <v>126</v>
      </c>
      <c r="P295" s="259" t="s">
        <v>1554</v>
      </c>
      <c r="Q295" s="259" t="s">
        <v>2198</v>
      </c>
      <c r="R295" s="274">
        <v>44630.462048611109</v>
      </c>
      <c r="S295" s="321">
        <v>2021</v>
      </c>
      <c r="T295" s="259" t="s">
        <v>2001</v>
      </c>
      <c r="U295" s="259" t="s">
        <v>630</v>
      </c>
      <c r="V295" s="259" t="s">
        <v>631</v>
      </c>
      <c r="W295" s="259" t="s">
        <v>145</v>
      </c>
      <c r="X295" s="259" t="s">
        <v>309</v>
      </c>
      <c r="Y295" s="365">
        <v>44835</v>
      </c>
      <c r="Z295" s="259" t="s">
        <v>1875</v>
      </c>
      <c r="AA295" s="274"/>
      <c r="AB295" s="259" t="s">
        <v>139</v>
      </c>
      <c r="AC295" s="259" t="s">
        <v>1875</v>
      </c>
      <c r="AD295" s="259">
        <v>900</v>
      </c>
      <c r="AE295" s="259">
        <v>900</v>
      </c>
      <c r="AF295" s="274"/>
      <c r="AJ295" s="319" t="s">
        <v>2191</v>
      </c>
      <c r="AK295" s="274"/>
      <c r="AL295" s="319" t="s">
        <v>2190</v>
      </c>
      <c r="AM295" s="259" t="s">
        <v>1975</v>
      </c>
      <c r="AN295" s="259" t="b">
        <v>0</v>
      </c>
      <c r="AP295" s="274"/>
      <c r="AQ295" s="274"/>
      <c r="AR295" s="274"/>
      <c r="AT295" s="274"/>
      <c r="AU295" s="274"/>
      <c r="AZ295" s="274"/>
      <c r="BA295" s="259" t="s">
        <v>373</v>
      </c>
      <c r="BB295" s="259" t="s">
        <v>1610</v>
      </c>
      <c r="BC295" s="259" t="s">
        <v>2192</v>
      </c>
    </row>
    <row r="296" spans="1:55" ht="135">
      <c r="A296" s="259">
        <v>204</v>
      </c>
      <c r="B296" s="259" t="s">
        <v>2707</v>
      </c>
      <c r="C296" s="259" t="s">
        <v>2708</v>
      </c>
      <c r="D296" s="259" t="s">
        <v>8</v>
      </c>
      <c r="E296" s="259" t="s">
        <v>13</v>
      </c>
      <c r="F296" s="259" t="s">
        <v>1563</v>
      </c>
      <c r="G296" s="274">
        <v>44553</v>
      </c>
      <c r="H296" s="274"/>
      <c r="I296" s="274"/>
      <c r="N296" s="259" t="s">
        <v>126</v>
      </c>
      <c r="P296" s="259" t="s">
        <v>1554</v>
      </c>
      <c r="Q296" s="259" t="s">
        <v>2198</v>
      </c>
      <c r="R296" s="274">
        <v>44630.463692129626</v>
      </c>
      <c r="S296" s="321">
        <v>2021</v>
      </c>
      <c r="T296" s="259" t="s">
        <v>2001</v>
      </c>
      <c r="U296" s="259" t="s">
        <v>630</v>
      </c>
      <c r="V296" s="259" t="s">
        <v>631</v>
      </c>
      <c r="W296" s="259" t="s">
        <v>145</v>
      </c>
      <c r="X296" s="259" t="s">
        <v>309</v>
      </c>
      <c r="Y296" s="365">
        <v>44835</v>
      </c>
      <c r="Z296" s="259" t="s">
        <v>1875</v>
      </c>
      <c r="AA296" s="274"/>
      <c r="AB296" s="259" t="s">
        <v>139</v>
      </c>
      <c r="AC296" s="259" t="s">
        <v>1875</v>
      </c>
      <c r="AD296" s="259">
        <v>900</v>
      </c>
      <c r="AE296" s="259">
        <v>900</v>
      </c>
      <c r="AF296" s="274"/>
      <c r="AJ296" s="319" t="s">
        <v>2191</v>
      </c>
      <c r="AK296" s="274"/>
      <c r="AL296" s="319" t="s">
        <v>2190</v>
      </c>
      <c r="AM296" s="259" t="s">
        <v>1975</v>
      </c>
      <c r="AN296" s="259" t="b">
        <v>0</v>
      </c>
      <c r="AP296" s="274"/>
      <c r="AQ296" s="274"/>
      <c r="AR296" s="274"/>
      <c r="AT296" s="274"/>
      <c r="AU296" s="274"/>
      <c r="AZ296" s="274"/>
      <c r="BA296" s="259" t="s">
        <v>373</v>
      </c>
      <c r="BB296" s="259" t="s">
        <v>1610</v>
      </c>
      <c r="BC296" s="259" t="s">
        <v>2192</v>
      </c>
    </row>
    <row r="297" spans="1:55" ht="135">
      <c r="A297" s="259">
        <v>212</v>
      </c>
      <c r="B297" s="259" t="s">
        <v>2710</v>
      </c>
      <c r="C297" s="259" t="s">
        <v>2674</v>
      </c>
      <c r="D297" s="259" t="s">
        <v>8</v>
      </c>
      <c r="E297" s="259" t="s">
        <v>13</v>
      </c>
      <c r="F297" s="259" t="s">
        <v>1563</v>
      </c>
      <c r="G297" s="274">
        <v>44580</v>
      </c>
      <c r="H297" s="274"/>
      <c r="I297" s="274"/>
      <c r="N297" s="259" t="s">
        <v>126</v>
      </c>
      <c r="P297" s="259" t="s">
        <v>1554</v>
      </c>
      <c r="Q297" s="259" t="s">
        <v>2198</v>
      </c>
      <c r="R297" s="274">
        <v>44630.464386574073</v>
      </c>
      <c r="S297" s="321">
        <v>2022</v>
      </c>
      <c r="T297" s="259" t="s">
        <v>2001</v>
      </c>
      <c r="U297" s="259" t="s">
        <v>630</v>
      </c>
      <c r="V297" s="259" t="s">
        <v>631</v>
      </c>
      <c r="W297" s="259" t="s">
        <v>145</v>
      </c>
      <c r="X297" s="259" t="s">
        <v>309</v>
      </c>
      <c r="Y297" s="365">
        <v>44835</v>
      </c>
      <c r="Z297" s="259" t="s">
        <v>1875</v>
      </c>
      <c r="AA297" s="274"/>
      <c r="AB297" s="259" t="s">
        <v>139</v>
      </c>
      <c r="AC297" s="259" t="s">
        <v>1875</v>
      </c>
      <c r="AD297" s="259">
        <v>900</v>
      </c>
      <c r="AE297" s="259">
        <v>900</v>
      </c>
      <c r="AF297" s="274"/>
      <c r="AJ297" s="319" t="s">
        <v>2191</v>
      </c>
      <c r="AK297" s="274"/>
      <c r="AL297" s="319" t="s">
        <v>2190</v>
      </c>
      <c r="AM297" s="259" t="s">
        <v>1975</v>
      </c>
      <c r="AN297" s="259" t="b">
        <v>0</v>
      </c>
      <c r="AP297" s="274"/>
      <c r="AQ297" s="274"/>
      <c r="AR297" s="274"/>
      <c r="AT297" s="274"/>
      <c r="AU297" s="274"/>
      <c r="AZ297" s="274"/>
      <c r="BA297" s="259" t="s">
        <v>373</v>
      </c>
      <c r="BB297" s="259" t="s">
        <v>1610</v>
      </c>
      <c r="BC297" s="259" t="s">
        <v>2192</v>
      </c>
    </row>
    <row r="298" spans="1:55" ht="135">
      <c r="A298" s="259">
        <v>179</v>
      </c>
      <c r="B298" s="259" t="s">
        <v>2706</v>
      </c>
      <c r="C298" s="259" t="s">
        <v>2665</v>
      </c>
      <c r="D298" s="259" t="s">
        <v>8</v>
      </c>
      <c r="E298" s="259" t="s">
        <v>13</v>
      </c>
      <c r="F298" s="259" t="s">
        <v>1563</v>
      </c>
      <c r="G298" s="274">
        <v>44461</v>
      </c>
      <c r="H298" s="274"/>
      <c r="I298" s="274"/>
      <c r="N298" s="259" t="s">
        <v>126</v>
      </c>
      <c r="P298" s="259" t="s">
        <v>1554</v>
      </c>
      <c r="Q298" s="259" t="s">
        <v>2198</v>
      </c>
      <c r="R298" s="274">
        <v>44630.463391203702</v>
      </c>
      <c r="S298" s="321">
        <v>2021</v>
      </c>
      <c r="T298" s="259" t="s">
        <v>2001</v>
      </c>
      <c r="U298" s="259" t="s">
        <v>630</v>
      </c>
      <c r="V298" s="259" t="s">
        <v>631</v>
      </c>
      <c r="W298" s="259" t="s">
        <v>145</v>
      </c>
      <c r="X298" s="259" t="s">
        <v>309</v>
      </c>
      <c r="Y298" s="365">
        <v>44835</v>
      </c>
      <c r="Z298" s="259" t="s">
        <v>1875</v>
      </c>
      <c r="AA298" s="274"/>
      <c r="AB298" s="259" t="s">
        <v>139</v>
      </c>
      <c r="AC298" s="259" t="s">
        <v>1875</v>
      </c>
      <c r="AD298" s="259">
        <v>900</v>
      </c>
      <c r="AE298" s="259">
        <v>900</v>
      </c>
      <c r="AF298" s="274"/>
      <c r="AJ298" s="319" t="s">
        <v>2191</v>
      </c>
      <c r="AK298" s="274"/>
      <c r="AL298" s="319" t="s">
        <v>2190</v>
      </c>
      <c r="AM298" s="259" t="s">
        <v>1975</v>
      </c>
      <c r="AN298" s="259" t="b">
        <v>0</v>
      </c>
      <c r="AP298" s="274"/>
      <c r="AQ298" s="274"/>
      <c r="AR298" s="274"/>
      <c r="AT298" s="274"/>
      <c r="AU298" s="274"/>
      <c r="AZ298" s="274"/>
      <c r="BA298" s="259" t="s">
        <v>373</v>
      </c>
      <c r="BB298" s="259" t="s">
        <v>1610</v>
      </c>
      <c r="BC298" s="259" t="s">
        <v>2192</v>
      </c>
    </row>
    <row r="299" spans="1:55" ht="135">
      <c r="A299" s="259">
        <v>213</v>
      </c>
      <c r="B299" s="259" t="s">
        <v>2693</v>
      </c>
      <c r="C299" s="259" t="s">
        <v>2694</v>
      </c>
      <c r="D299" s="259" t="s">
        <v>8</v>
      </c>
      <c r="E299" s="259" t="s">
        <v>13</v>
      </c>
      <c r="F299" s="259" t="s">
        <v>1564</v>
      </c>
      <c r="G299" s="274">
        <v>44580</v>
      </c>
      <c r="H299" s="274"/>
      <c r="I299" s="274"/>
      <c r="N299" s="259" t="s">
        <v>122</v>
      </c>
      <c r="P299" s="259" t="s">
        <v>1554</v>
      </c>
      <c r="Q299" s="259" t="s">
        <v>2198</v>
      </c>
      <c r="R299" s="274">
        <v>44630.453113425923</v>
      </c>
      <c r="S299" s="321">
        <v>2022</v>
      </c>
      <c r="T299" s="259" t="s">
        <v>2001</v>
      </c>
      <c r="U299" s="259" t="s">
        <v>630</v>
      </c>
      <c r="V299" s="259" t="s">
        <v>631</v>
      </c>
      <c r="W299" s="259" t="s">
        <v>145</v>
      </c>
      <c r="X299" s="259" t="s">
        <v>309</v>
      </c>
      <c r="Y299" s="365">
        <v>44835</v>
      </c>
      <c r="Z299" s="259" t="s">
        <v>1875</v>
      </c>
      <c r="AA299" s="274"/>
      <c r="AB299" s="259" t="s">
        <v>139</v>
      </c>
      <c r="AC299" s="259" t="s">
        <v>1875</v>
      </c>
      <c r="AD299" s="259">
        <v>900</v>
      </c>
      <c r="AE299" s="259">
        <v>900</v>
      </c>
      <c r="AF299" s="274"/>
      <c r="AJ299" s="319" t="s">
        <v>2191</v>
      </c>
      <c r="AK299" s="274"/>
      <c r="AL299" s="319" t="s">
        <v>2190</v>
      </c>
      <c r="AM299" s="259" t="s">
        <v>1975</v>
      </c>
      <c r="AN299" s="259" t="b">
        <v>0</v>
      </c>
      <c r="AP299" s="274"/>
      <c r="AQ299" s="274"/>
      <c r="AR299" s="274"/>
      <c r="AT299" s="274"/>
      <c r="AU299" s="274"/>
      <c r="AZ299" s="274"/>
      <c r="BA299" s="259" t="s">
        <v>373</v>
      </c>
      <c r="BB299" s="259" t="s">
        <v>1610</v>
      </c>
      <c r="BC299" s="259" t="s">
        <v>2192</v>
      </c>
    </row>
    <row r="300" spans="1:55" ht="135">
      <c r="A300" s="259">
        <v>49</v>
      </c>
      <c r="B300" s="259" t="s">
        <v>2720</v>
      </c>
      <c r="C300" s="259" t="s">
        <v>2722</v>
      </c>
      <c r="D300" s="259" t="s">
        <v>8</v>
      </c>
      <c r="E300" s="259" t="s">
        <v>13</v>
      </c>
      <c r="F300" s="259" t="s">
        <v>1566</v>
      </c>
      <c r="G300" s="274">
        <v>44022</v>
      </c>
      <c r="H300" s="274"/>
      <c r="I300" s="274"/>
      <c r="N300" s="259" t="s">
        <v>98</v>
      </c>
      <c r="P300" s="259" t="s">
        <v>1554</v>
      </c>
      <c r="Q300" s="259" t="s">
        <v>2198</v>
      </c>
      <c r="R300" s="274">
        <v>44630.467592592591</v>
      </c>
      <c r="S300" s="321">
        <v>2020</v>
      </c>
      <c r="T300" s="259" t="s">
        <v>2001</v>
      </c>
      <c r="U300" s="259" t="s">
        <v>630</v>
      </c>
      <c r="V300" s="259" t="s">
        <v>631</v>
      </c>
      <c r="W300" s="259" t="s">
        <v>145</v>
      </c>
      <c r="X300" s="259" t="s">
        <v>309</v>
      </c>
      <c r="Y300" s="365">
        <v>44835</v>
      </c>
      <c r="Z300" s="259" t="s">
        <v>1875</v>
      </c>
      <c r="AA300" s="274"/>
      <c r="AB300" s="259" t="s">
        <v>139</v>
      </c>
      <c r="AC300" s="259" t="s">
        <v>1875</v>
      </c>
      <c r="AD300" s="259">
        <v>900</v>
      </c>
      <c r="AE300" s="259">
        <v>900</v>
      </c>
      <c r="AF300" s="274"/>
      <c r="AJ300" s="319" t="s">
        <v>2191</v>
      </c>
      <c r="AK300" s="274"/>
      <c r="AL300" s="319" t="s">
        <v>2190</v>
      </c>
      <c r="AM300" s="259" t="s">
        <v>1975</v>
      </c>
      <c r="AN300" s="259" t="b">
        <v>0</v>
      </c>
      <c r="AP300" s="274"/>
      <c r="AQ300" s="274"/>
      <c r="AR300" s="274"/>
      <c r="AT300" s="274"/>
      <c r="AU300" s="274"/>
      <c r="AZ300" s="274"/>
      <c r="BA300" s="259" t="s">
        <v>373</v>
      </c>
      <c r="BB300" s="259" t="s">
        <v>1610</v>
      </c>
      <c r="BC300" s="259" t="s">
        <v>2192</v>
      </c>
    </row>
    <row r="301" spans="1:55" ht="135">
      <c r="A301" s="259">
        <v>19</v>
      </c>
      <c r="B301" s="259" t="s">
        <v>2718</v>
      </c>
      <c r="C301" s="259" t="s">
        <v>2719</v>
      </c>
      <c r="D301" s="259" t="s">
        <v>8</v>
      </c>
      <c r="E301" s="259" t="s">
        <v>13</v>
      </c>
      <c r="F301" s="259" t="s">
        <v>1566</v>
      </c>
      <c r="G301" s="274">
        <v>43754</v>
      </c>
      <c r="H301" s="274"/>
      <c r="I301" s="274"/>
      <c r="N301" s="259" t="s">
        <v>98</v>
      </c>
      <c r="P301" s="259" t="s">
        <v>1554</v>
      </c>
      <c r="Q301" s="259" t="s">
        <v>2198</v>
      </c>
      <c r="R301" s="274">
        <v>44630.466516203705</v>
      </c>
      <c r="S301" s="321">
        <v>2019</v>
      </c>
      <c r="T301" s="259" t="s">
        <v>2001</v>
      </c>
      <c r="U301" s="259" t="s">
        <v>630</v>
      </c>
      <c r="V301" s="259" t="s">
        <v>631</v>
      </c>
      <c r="W301" s="259" t="s">
        <v>145</v>
      </c>
      <c r="X301" s="259" t="s">
        <v>309</v>
      </c>
      <c r="Y301" s="365">
        <v>44835</v>
      </c>
      <c r="Z301" s="259" t="s">
        <v>1875</v>
      </c>
      <c r="AA301" s="274"/>
      <c r="AB301" s="259" t="s">
        <v>139</v>
      </c>
      <c r="AC301" s="259" t="s">
        <v>1875</v>
      </c>
      <c r="AD301" s="259">
        <v>900</v>
      </c>
      <c r="AE301" s="259">
        <v>900</v>
      </c>
      <c r="AF301" s="274"/>
      <c r="AJ301" s="319" t="s">
        <v>2191</v>
      </c>
      <c r="AK301" s="274"/>
      <c r="AL301" s="319" t="s">
        <v>2190</v>
      </c>
      <c r="AM301" s="259" t="s">
        <v>1975</v>
      </c>
      <c r="AN301" s="259" t="b">
        <v>0</v>
      </c>
      <c r="AP301" s="274"/>
      <c r="AQ301" s="274"/>
      <c r="AR301" s="274"/>
      <c r="AT301" s="274"/>
      <c r="AU301" s="274"/>
      <c r="AZ301" s="274"/>
      <c r="BA301" s="259" t="s">
        <v>373</v>
      </c>
      <c r="BB301" s="259" t="s">
        <v>1610</v>
      </c>
      <c r="BC301" s="259" t="s">
        <v>2192</v>
      </c>
    </row>
    <row r="302" spans="1:55" ht="135">
      <c r="A302" s="259">
        <v>12</v>
      </c>
      <c r="B302" s="259" t="s">
        <v>2714</v>
      </c>
      <c r="C302" s="259" t="s">
        <v>2715</v>
      </c>
      <c r="D302" s="259" t="s">
        <v>8</v>
      </c>
      <c r="E302" s="259" t="s">
        <v>13</v>
      </c>
      <c r="F302" s="259" t="s">
        <v>1566</v>
      </c>
      <c r="G302" s="274">
        <v>43517</v>
      </c>
      <c r="H302" s="274"/>
      <c r="I302" s="274"/>
      <c r="N302" s="259" t="s">
        <v>126</v>
      </c>
      <c r="P302" s="259" t="s">
        <v>1554</v>
      </c>
      <c r="Q302" s="259" t="s">
        <v>2198</v>
      </c>
      <c r="R302" s="274">
        <v>44630.465624999997</v>
      </c>
      <c r="S302" s="321">
        <v>2019</v>
      </c>
      <c r="T302" s="259" t="s">
        <v>2001</v>
      </c>
      <c r="U302" s="259" t="s">
        <v>630</v>
      </c>
      <c r="V302" s="259" t="s">
        <v>631</v>
      </c>
      <c r="W302" s="259" t="s">
        <v>145</v>
      </c>
      <c r="X302" s="259" t="s">
        <v>309</v>
      </c>
      <c r="Y302" s="365">
        <v>44835</v>
      </c>
      <c r="Z302" s="259" t="s">
        <v>1875</v>
      </c>
      <c r="AA302" s="274"/>
      <c r="AB302" s="259" t="s">
        <v>139</v>
      </c>
      <c r="AC302" s="259" t="s">
        <v>1875</v>
      </c>
      <c r="AD302" s="259">
        <v>900</v>
      </c>
      <c r="AE302" s="259">
        <v>900</v>
      </c>
      <c r="AF302" s="274"/>
      <c r="AJ302" s="319" t="s">
        <v>2191</v>
      </c>
      <c r="AK302" s="274"/>
      <c r="AL302" s="319" t="s">
        <v>2190</v>
      </c>
      <c r="AM302" s="259" t="s">
        <v>1975</v>
      </c>
      <c r="AN302" s="259" t="b">
        <v>0</v>
      </c>
      <c r="AP302" s="274"/>
      <c r="AQ302" s="274"/>
      <c r="AR302" s="274"/>
      <c r="AT302" s="274"/>
      <c r="AU302" s="274"/>
      <c r="AZ302" s="274"/>
      <c r="BA302" s="259" t="s">
        <v>373</v>
      </c>
      <c r="BB302" s="259" t="s">
        <v>1610</v>
      </c>
      <c r="BC302" s="259" t="s">
        <v>2192</v>
      </c>
    </row>
    <row r="303" spans="1:55" ht="135">
      <c r="A303" s="259">
        <v>13</v>
      </c>
      <c r="B303" s="259" t="s">
        <v>2716</v>
      </c>
      <c r="C303" s="259" t="s">
        <v>2717</v>
      </c>
      <c r="D303" s="259" t="s">
        <v>8</v>
      </c>
      <c r="E303" s="259" t="s">
        <v>13</v>
      </c>
      <c r="F303" s="259" t="s">
        <v>1566</v>
      </c>
      <c r="G303" s="274">
        <v>43517</v>
      </c>
      <c r="H303" s="274"/>
      <c r="I303" s="274"/>
      <c r="N303" s="259" t="s">
        <v>98</v>
      </c>
      <c r="P303" s="259" t="s">
        <v>1554</v>
      </c>
      <c r="Q303" s="259" t="s">
        <v>2198</v>
      </c>
      <c r="R303" s="274">
        <v>44630.46603009259</v>
      </c>
      <c r="S303" s="321">
        <v>2019</v>
      </c>
      <c r="T303" s="259" t="s">
        <v>2001</v>
      </c>
      <c r="U303" s="259" t="s">
        <v>630</v>
      </c>
      <c r="V303" s="259" t="s">
        <v>631</v>
      </c>
      <c r="W303" s="259" t="s">
        <v>145</v>
      </c>
      <c r="X303" s="259" t="s">
        <v>309</v>
      </c>
      <c r="Y303" s="365">
        <v>44835</v>
      </c>
      <c r="Z303" s="259" t="s">
        <v>1875</v>
      </c>
      <c r="AA303" s="274"/>
      <c r="AB303" s="259" t="s">
        <v>139</v>
      </c>
      <c r="AC303" s="259" t="s">
        <v>1875</v>
      </c>
      <c r="AD303" s="259">
        <v>900</v>
      </c>
      <c r="AE303" s="259">
        <v>900</v>
      </c>
      <c r="AF303" s="274"/>
      <c r="AJ303" s="319" t="s">
        <v>2191</v>
      </c>
      <c r="AK303" s="274"/>
      <c r="AL303" s="319" t="s">
        <v>2190</v>
      </c>
      <c r="AM303" s="259" t="s">
        <v>1975</v>
      </c>
      <c r="AN303" s="259" t="b">
        <v>0</v>
      </c>
      <c r="AP303" s="274"/>
      <c r="AQ303" s="274"/>
      <c r="AR303" s="274"/>
      <c r="AT303" s="274"/>
      <c r="AU303" s="274"/>
      <c r="AZ303" s="274"/>
      <c r="BA303" s="259" t="s">
        <v>373</v>
      </c>
      <c r="BB303" s="259" t="s">
        <v>1610</v>
      </c>
      <c r="BC303" s="259" t="s">
        <v>2192</v>
      </c>
    </row>
    <row r="304" spans="1:55" ht="135">
      <c r="A304" s="259">
        <v>221</v>
      </c>
      <c r="B304" s="259" t="s">
        <v>2720</v>
      </c>
      <c r="C304" s="259" t="s">
        <v>2721</v>
      </c>
      <c r="D304" s="259" t="s">
        <v>8</v>
      </c>
      <c r="E304" s="259" t="s">
        <v>13</v>
      </c>
      <c r="F304" s="259" t="s">
        <v>1566</v>
      </c>
      <c r="G304" s="274">
        <v>44595</v>
      </c>
      <c r="H304" s="274"/>
      <c r="I304" s="274"/>
      <c r="N304" s="259" t="s">
        <v>98</v>
      </c>
      <c r="P304" s="259" t="s">
        <v>1554</v>
      </c>
      <c r="Q304" s="259" t="s">
        <v>2198</v>
      </c>
      <c r="R304" s="274">
        <v>44630.467141203706</v>
      </c>
      <c r="S304" s="321">
        <v>2022</v>
      </c>
      <c r="T304" s="259" t="s">
        <v>2001</v>
      </c>
      <c r="U304" s="259" t="s">
        <v>630</v>
      </c>
      <c r="V304" s="259" t="s">
        <v>631</v>
      </c>
      <c r="W304" s="259" t="s">
        <v>145</v>
      </c>
      <c r="X304" s="259" t="s">
        <v>309</v>
      </c>
      <c r="Y304" s="365">
        <v>44835</v>
      </c>
      <c r="Z304" s="259" t="s">
        <v>1875</v>
      </c>
      <c r="AA304" s="274"/>
      <c r="AB304" s="259" t="s">
        <v>139</v>
      </c>
      <c r="AC304" s="259" t="s">
        <v>1875</v>
      </c>
      <c r="AD304" s="259">
        <v>900</v>
      </c>
      <c r="AE304" s="259">
        <v>900</v>
      </c>
      <c r="AF304" s="274"/>
      <c r="AJ304" s="319" t="s">
        <v>2191</v>
      </c>
      <c r="AK304" s="274"/>
      <c r="AL304" s="319" t="s">
        <v>2190</v>
      </c>
      <c r="AM304" s="259" t="s">
        <v>1975</v>
      </c>
      <c r="AN304" s="259" t="b">
        <v>0</v>
      </c>
      <c r="AP304" s="274"/>
      <c r="AQ304" s="274"/>
      <c r="AR304" s="274"/>
      <c r="AT304" s="274"/>
      <c r="AU304" s="274"/>
      <c r="AZ304" s="274"/>
      <c r="BA304" s="259" t="s">
        <v>373</v>
      </c>
      <c r="BB304" s="259" t="s">
        <v>1610</v>
      </c>
      <c r="BC304" s="259" t="s">
        <v>2192</v>
      </c>
    </row>
    <row r="305" spans="1:55" ht="135">
      <c r="A305" s="259">
        <v>219</v>
      </c>
      <c r="B305" s="259" t="s">
        <v>2693</v>
      </c>
      <c r="C305" s="259" t="s">
        <v>2724</v>
      </c>
      <c r="D305" s="259" t="s">
        <v>8</v>
      </c>
      <c r="E305" s="259" t="s">
        <v>13</v>
      </c>
      <c r="F305" s="259" t="s">
        <v>1567</v>
      </c>
      <c r="G305" s="274">
        <v>44587</v>
      </c>
      <c r="H305" s="274"/>
      <c r="I305" s="274"/>
      <c r="N305" s="259" t="s">
        <v>126</v>
      </c>
      <c r="P305" s="259" t="s">
        <v>1554</v>
      </c>
      <c r="Q305" s="259" t="s">
        <v>2198</v>
      </c>
      <c r="R305" s="274">
        <v>44630.489571759259</v>
      </c>
      <c r="S305" s="321">
        <v>2022</v>
      </c>
      <c r="T305" s="259" t="s">
        <v>2001</v>
      </c>
      <c r="U305" s="259" t="s">
        <v>630</v>
      </c>
      <c r="V305" s="259" t="s">
        <v>631</v>
      </c>
      <c r="W305" s="259" t="s">
        <v>145</v>
      </c>
      <c r="X305" s="259" t="s">
        <v>309</v>
      </c>
      <c r="Y305" s="365">
        <v>44835</v>
      </c>
      <c r="Z305" s="259" t="s">
        <v>1875</v>
      </c>
      <c r="AA305" s="274"/>
      <c r="AB305" s="259" t="s">
        <v>139</v>
      </c>
      <c r="AC305" s="259" t="s">
        <v>1875</v>
      </c>
      <c r="AD305" s="259">
        <v>900</v>
      </c>
      <c r="AE305" s="259">
        <v>900</v>
      </c>
      <c r="AF305" s="274"/>
      <c r="AJ305" s="319" t="s">
        <v>2191</v>
      </c>
      <c r="AK305" s="274"/>
      <c r="AL305" s="319" t="s">
        <v>2190</v>
      </c>
      <c r="AM305" s="259" t="s">
        <v>1975</v>
      </c>
      <c r="AN305" s="259" t="b">
        <v>0</v>
      </c>
      <c r="AP305" s="274"/>
      <c r="AQ305" s="274"/>
      <c r="AR305" s="274"/>
      <c r="AT305" s="274"/>
      <c r="AU305" s="274"/>
      <c r="AZ305" s="274"/>
      <c r="BA305" s="259" t="s">
        <v>373</v>
      </c>
      <c r="BB305" s="259" t="s">
        <v>1610</v>
      </c>
      <c r="BC305" s="259" t="s">
        <v>2192</v>
      </c>
    </row>
    <row r="306" spans="1:55" ht="135">
      <c r="A306" s="259">
        <v>207</v>
      </c>
      <c r="B306" s="259" t="s">
        <v>2687</v>
      </c>
      <c r="C306" s="259" t="s">
        <v>2762</v>
      </c>
      <c r="D306" s="259" t="s">
        <v>8</v>
      </c>
      <c r="E306" s="259" t="s">
        <v>13</v>
      </c>
      <c r="F306" s="259" t="s">
        <v>1567</v>
      </c>
      <c r="G306" s="274">
        <v>44559</v>
      </c>
      <c r="H306" s="274"/>
      <c r="I306" s="274"/>
      <c r="N306" s="259" t="s">
        <v>126</v>
      </c>
      <c r="P306" s="259" t="s">
        <v>1554</v>
      </c>
      <c r="Q306" s="259" t="s">
        <v>2198</v>
      </c>
      <c r="R306" s="274">
        <v>44630.488078703704</v>
      </c>
      <c r="S306" s="321">
        <v>2021</v>
      </c>
      <c r="T306" s="259" t="s">
        <v>2001</v>
      </c>
      <c r="U306" s="259" t="s">
        <v>630</v>
      </c>
      <c r="V306" s="259" t="s">
        <v>631</v>
      </c>
      <c r="W306" s="259" t="s">
        <v>145</v>
      </c>
      <c r="X306" s="259" t="s">
        <v>309</v>
      </c>
      <c r="Y306" s="365">
        <v>44835</v>
      </c>
      <c r="Z306" s="259" t="s">
        <v>1875</v>
      </c>
      <c r="AA306" s="274"/>
      <c r="AB306" s="259" t="s">
        <v>139</v>
      </c>
      <c r="AC306" s="259" t="s">
        <v>1875</v>
      </c>
      <c r="AD306" s="259">
        <v>900</v>
      </c>
      <c r="AE306" s="259">
        <v>900</v>
      </c>
      <c r="AF306" s="274"/>
      <c r="AJ306" s="319" t="s">
        <v>2191</v>
      </c>
      <c r="AK306" s="274"/>
      <c r="AL306" s="319" t="s">
        <v>2190</v>
      </c>
      <c r="AM306" s="259" t="s">
        <v>1975</v>
      </c>
      <c r="AN306" s="259" t="b">
        <v>0</v>
      </c>
      <c r="AP306" s="274"/>
      <c r="AQ306" s="274"/>
      <c r="AR306" s="274"/>
      <c r="AT306" s="274"/>
      <c r="AU306" s="274"/>
      <c r="AZ306" s="274"/>
      <c r="BA306" s="259" t="s">
        <v>373</v>
      </c>
      <c r="BB306" s="259" t="s">
        <v>1610</v>
      </c>
      <c r="BC306" s="259" t="s">
        <v>2192</v>
      </c>
    </row>
    <row r="307" spans="1:55" ht="135">
      <c r="A307" s="259">
        <v>167</v>
      </c>
      <c r="B307" s="259" t="s">
        <v>2752</v>
      </c>
      <c r="C307" s="259" t="s">
        <v>2753</v>
      </c>
      <c r="D307" s="259" t="s">
        <v>8</v>
      </c>
      <c r="E307" s="259" t="s">
        <v>13</v>
      </c>
      <c r="F307" s="259" t="s">
        <v>1567</v>
      </c>
      <c r="G307" s="274">
        <v>44445</v>
      </c>
      <c r="H307" s="274"/>
      <c r="I307" s="274"/>
      <c r="N307" s="259" t="s">
        <v>126</v>
      </c>
      <c r="P307" s="259" t="s">
        <v>1554</v>
      </c>
      <c r="Q307" s="259" t="s">
        <v>2198</v>
      </c>
      <c r="R307" s="274">
        <v>44630.485601851855</v>
      </c>
      <c r="S307" s="321">
        <v>2021</v>
      </c>
      <c r="T307" s="259" t="s">
        <v>2001</v>
      </c>
      <c r="U307" s="259" t="s">
        <v>630</v>
      </c>
      <c r="V307" s="259" t="s">
        <v>631</v>
      </c>
      <c r="W307" s="259" t="s">
        <v>145</v>
      </c>
      <c r="X307" s="259" t="s">
        <v>309</v>
      </c>
      <c r="Y307" s="365">
        <v>44835</v>
      </c>
      <c r="Z307" s="259" t="s">
        <v>1875</v>
      </c>
      <c r="AA307" s="274"/>
      <c r="AB307" s="259" t="s">
        <v>139</v>
      </c>
      <c r="AC307" s="259" t="s">
        <v>1875</v>
      </c>
      <c r="AD307" s="259">
        <v>900</v>
      </c>
      <c r="AE307" s="259">
        <v>900</v>
      </c>
      <c r="AF307" s="274"/>
      <c r="AJ307" s="319" t="s">
        <v>2191</v>
      </c>
      <c r="AK307" s="274"/>
      <c r="AL307" s="319" t="s">
        <v>2190</v>
      </c>
      <c r="AM307" s="259" t="s">
        <v>1975</v>
      </c>
      <c r="AN307" s="259" t="b">
        <v>0</v>
      </c>
      <c r="AP307" s="274"/>
      <c r="AQ307" s="274"/>
      <c r="AR307" s="274"/>
      <c r="AT307" s="274"/>
      <c r="AU307" s="274"/>
      <c r="AZ307" s="274"/>
      <c r="BA307" s="259" t="s">
        <v>373</v>
      </c>
      <c r="BB307" s="259" t="s">
        <v>1610</v>
      </c>
      <c r="BC307" s="259" t="s">
        <v>2192</v>
      </c>
    </row>
    <row r="308" spans="1:55" ht="135">
      <c r="A308" s="259">
        <v>168</v>
      </c>
      <c r="B308" s="259" t="s">
        <v>2677</v>
      </c>
      <c r="C308" s="259" t="s">
        <v>2754</v>
      </c>
      <c r="D308" s="259" t="s">
        <v>8</v>
      </c>
      <c r="E308" s="259" t="s">
        <v>13</v>
      </c>
      <c r="F308" s="259" t="s">
        <v>1567</v>
      </c>
      <c r="G308" s="274">
        <v>44445</v>
      </c>
      <c r="H308" s="274"/>
      <c r="I308" s="274"/>
      <c r="N308" s="259" t="s">
        <v>126</v>
      </c>
      <c r="P308" s="259" t="s">
        <v>1554</v>
      </c>
      <c r="Q308" s="259" t="s">
        <v>2198</v>
      </c>
      <c r="R308" s="274">
        <v>44630.485925925925</v>
      </c>
      <c r="S308" s="321">
        <v>2021</v>
      </c>
      <c r="T308" s="259" t="s">
        <v>2001</v>
      </c>
      <c r="U308" s="259" t="s">
        <v>630</v>
      </c>
      <c r="V308" s="259" t="s">
        <v>631</v>
      </c>
      <c r="W308" s="259" t="s">
        <v>145</v>
      </c>
      <c r="X308" s="259" t="s">
        <v>309</v>
      </c>
      <c r="Y308" s="365">
        <v>44835</v>
      </c>
      <c r="Z308" s="259" t="s">
        <v>1875</v>
      </c>
      <c r="AA308" s="274"/>
      <c r="AB308" s="259" t="s">
        <v>139</v>
      </c>
      <c r="AC308" s="259" t="s">
        <v>1875</v>
      </c>
      <c r="AD308" s="259">
        <v>900</v>
      </c>
      <c r="AE308" s="259">
        <v>900</v>
      </c>
      <c r="AF308" s="274"/>
      <c r="AJ308" s="319" t="s">
        <v>2191</v>
      </c>
      <c r="AK308" s="274"/>
      <c r="AL308" s="319" t="s">
        <v>2190</v>
      </c>
      <c r="AM308" s="259" t="s">
        <v>1975</v>
      </c>
      <c r="AN308" s="259" t="b">
        <v>0</v>
      </c>
      <c r="AP308" s="274"/>
      <c r="AQ308" s="274"/>
      <c r="AR308" s="274"/>
      <c r="AT308" s="274"/>
      <c r="AU308" s="274"/>
      <c r="AZ308" s="274"/>
      <c r="BA308" s="259" t="s">
        <v>373</v>
      </c>
      <c r="BB308" s="259" t="s">
        <v>1610</v>
      </c>
      <c r="BC308" s="259" t="s">
        <v>2192</v>
      </c>
    </row>
    <row r="309" spans="1:55" ht="135">
      <c r="A309" s="259">
        <v>319</v>
      </c>
      <c r="B309" s="259" t="s">
        <v>2778</v>
      </c>
      <c r="C309" s="259" t="s">
        <v>2779</v>
      </c>
      <c r="D309" s="259" t="s">
        <v>8</v>
      </c>
      <c r="E309" s="259" t="s">
        <v>13</v>
      </c>
      <c r="F309" s="259" t="s">
        <v>1567</v>
      </c>
      <c r="G309" s="274">
        <v>44776</v>
      </c>
      <c r="H309" s="274"/>
      <c r="I309" s="274"/>
      <c r="N309" s="259" t="s">
        <v>126</v>
      </c>
      <c r="P309" s="259" t="s">
        <v>1554</v>
      </c>
      <c r="Q309" s="259" t="s">
        <v>2198</v>
      </c>
      <c r="R309" s="274">
        <v>44630.494953703703</v>
      </c>
      <c r="S309" s="321">
        <v>2022</v>
      </c>
      <c r="T309" s="259" t="s">
        <v>2001</v>
      </c>
      <c r="U309" s="259" t="s">
        <v>630</v>
      </c>
      <c r="V309" s="259" t="s">
        <v>631</v>
      </c>
      <c r="W309" s="259" t="s">
        <v>145</v>
      </c>
      <c r="X309" s="259" t="s">
        <v>309</v>
      </c>
      <c r="Y309" s="365">
        <v>44835</v>
      </c>
      <c r="Z309" s="259" t="s">
        <v>1875</v>
      </c>
      <c r="AA309" s="274"/>
      <c r="AB309" s="259" t="s">
        <v>139</v>
      </c>
      <c r="AC309" s="259" t="s">
        <v>1875</v>
      </c>
      <c r="AD309" s="259">
        <v>900</v>
      </c>
      <c r="AE309" s="259">
        <v>900</v>
      </c>
      <c r="AF309" s="274"/>
      <c r="AJ309" s="319" t="s">
        <v>2191</v>
      </c>
      <c r="AK309" s="274"/>
      <c r="AL309" s="319" t="s">
        <v>2190</v>
      </c>
      <c r="AM309" s="259" t="s">
        <v>1975</v>
      </c>
      <c r="AN309" s="259" t="b">
        <v>0</v>
      </c>
      <c r="AP309" s="274"/>
      <c r="AQ309" s="274"/>
      <c r="AR309" s="274"/>
      <c r="AT309" s="274"/>
      <c r="AU309" s="274"/>
      <c r="AZ309" s="274"/>
      <c r="BA309" s="259" t="s">
        <v>373</v>
      </c>
      <c r="BB309" s="259" t="s">
        <v>1610</v>
      </c>
      <c r="BC309" s="259" t="s">
        <v>2192</v>
      </c>
    </row>
    <row r="310" spans="1:55" ht="135">
      <c r="A310" s="259">
        <v>218</v>
      </c>
      <c r="B310" s="259" t="s">
        <v>2723</v>
      </c>
      <c r="C310" s="259" t="s">
        <v>2765</v>
      </c>
      <c r="D310" s="259" t="s">
        <v>8</v>
      </c>
      <c r="E310" s="259" t="s">
        <v>13</v>
      </c>
      <c r="F310" s="259" t="s">
        <v>1567</v>
      </c>
      <c r="G310" s="274">
        <v>44587</v>
      </c>
      <c r="H310" s="274"/>
      <c r="I310" s="274"/>
      <c r="N310" s="259" t="s">
        <v>126</v>
      </c>
      <c r="P310" s="259" t="s">
        <v>1554</v>
      </c>
      <c r="Q310" s="259" t="s">
        <v>2198</v>
      </c>
      <c r="R310" s="274">
        <v>44630.489212962966</v>
      </c>
      <c r="S310" s="321">
        <v>2022</v>
      </c>
      <c r="T310" s="259" t="s">
        <v>2001</v>
      </c>
      <c r="U310" s="259" t="s">
        <v>630</v>
      </c>
      <c r="V310" s="259" t="s">
        <v>631</v>
      </c>
      <c r="W310" s="259" t="s">
        <v>145</v>
      </c>
      <c r="X310" s="259" t="s">
        <v>309</v>
      </c>
      <c r="Y310" s="365">
        <v>44835</v>
      </c>
      <c r="Z310" s="259" t="s">
        <v>1875</v>
      </c>
      <c r="AA310" s="274"/>
      <c r="AB310" s="259" t="s">
        <v>139</v>
      </c>
      <c r="AC310" s="259" t="s">
        <v>1875</v>
      </c>
      <c r="AD310" s="259">
        <v>900</v>
      </c>
      <c r="AE310" s="259">
        <v>900</v>
      </c>
      <c r="AF310" s="274"/>
      <c r="AJ310" s="319" t="s">
        <v>2191</v>
      </c>
      <c r="AK310" s="274"/>
      <c r="AL310" s="319" t="s">
        <v>2190</v>
      </c>
      <c r="AM310" s="259" t="s">
        <v>1975</v>
      </c>
      <c r="AN310" s="259" t="b">
        <v>0</v>
      </c>
      <c r="AP310" s="274"/>
      <c r="AQ310" s="274"/>
      <c r="AR310" s="274"/>
      <c r="AT310" s="274"/>
      <c r="AU310" s="274"/>
      <c r="AZ310" s="274"/>
      <c r="BA310" s="259" t="s">
        <v>373</v>
      </c>
      <c r="BB310" s="259" t="s">
        <v>1610</v>
      </c>
      <c r="BC310" s="259" t="s">
        <v>2192</v>
      </c>
    </row>
    <row r="311" spans="1:55" ht="135">
      <c r="A311" s="259">
        <v>327</v>
      </c>
      <c r="B311" s="259" t="s">
        <v>2747</v>
      </c>
      <c r="C311" s="259" t="s">
        <v>2780</v>
      </c>
      <c r="D311" s="259" t="s">
        <v>8</v>
      </c>
      <c r="E311" s="259" t="s">
        <v>13</v>
      </c>
      <c r="F311" s="259" t="s">
        <v>1567</v>
      </c>
      <c r="G311" s="274">
        <v>44789</v>
      </c>
      <c r="H311" s="274"/>
      <c r="I311" s="274"/>
      <c r="N311" s="259" t="s">
        <v>124</v>
      </c>
      <c r="P311" s="259" t="s">
        <v>1554</v>
      </c>
      <c r="Q311" s="259" t="s">
        <v>2198</v>
      </c>
      <c r="R311" s="274">
        <v>44630.495312500003</v>
      </c>
      <c r="S311" s="321">
        <v>2022</v>
      </c>
      <c r="T311" s="259" t="s">
        <v>2001</v>
      </c>
      <c r="U311" s="259" t="s">
        <v>630</v>
      </c>
      <c r="V311" s="259" t="s">
        <v>631</v>
      </c>
      <c r="W311" s="259" t="s">
        <v>145</v>
      </c>
      <c r="X311" s="259" t="s">
        <v>309</v>
      </c>
      <c r="Y311" s="365">
        <v>44835</v>
      </c>
      <c r="Z311" s="259" t="s">
        <v>1875</v>
      </c>
      <c r="AA311" s="274"/>
      <c r="AB311" s="259" t="s">
        <v>139</v>
      </c>
      <c r="AC311" s="259" t="s">
        <v>1875</v>
      </c>
      <c r="AD311" s="259">
        <v>900</v>
      </c>
      <c r="AE311" s="259">
        <v>900</v>
      </c>
      <c r="AF311" s="274"/>
      <c r="AJ311" s="319" t="s">
        <v>2191</v>
      </c>
      <c r="AK311" s="274"/>
      <c r="AL311" s="319" t="s">
        <v>2190</v>
      </c>
      <c r="AM311" s="259" t="s">
        <v>1975</v>
      </c>
      <c r="AN311" s="259" t="b">
        <v>0</v>
      </c>
      <c r="AP311" s="274"/>
      <c r="AQ311" s="274"/>
      <c r="AR311" s="274"/>
      <c r="AT311" s="274"/>
      <c r="AU311" s="274"/>
      <c r="AZ311" s="274"/>
      <c r="BA311" s="259" t="s">
        <v>373</v>
      </c>
      <c r="BB311" s="259" t="s">
        <v>1610</v>
      </c>
      <c r="BC311" s="259" t="s">
        <v>2192</v>
      </c>
    </row>
    <row r="312" spans="1:55" ht="135">
      <c r="A312" s="259">
        <v>171</v>
      </c>
      <c r="B312" s="259" t="s">
        <v>2756</v>
      </c>
      <c r="C312" s="259" t="s">
        <v>2757</v>
      </c>
      <c r="D312" s="259" t="s">
        <v>8</v>
      </c>
      <c r="E312" s="259" t="s">
        <v>13</v>
      </c>
      <c r="F312" s="259" t="s">
        <v>1567</v>
      </c>
      <c r="G312" s="274">
        <v>44445</v>
      </c>
      <c r="H312" s="274"/>
      <c r="I312" s="274"/>
      <c r="N312" s="259" t="s">
        <v>126</v>
      </c>
      <c r="P312" s="259" t="s">
        <v>1554</v>
      </c>
      <c r="Q312" s="259" t="s">
        <v>2198</v>
      </c>
      <c r="R312" s="274">
        <v>44630.486597222225</v>
      </c>
      <c r="S312" s="321">
        <v>2021</v>
      </c>
      <c r="T312" s="259" t="s">
        <v>2001</v>
      </c>
      <c r="U312" s="259" t="s">
        <v>630</v>
      </c>
      <c r="V312" s="259" t="s">
        <v>631</v>
      </c>
      <c r="W312" s="259" t="s">
        <v>145</v>
      </c>
      <c r="X312" s="259" t="s">
        <v>309</v>
      </c>
      <c r="Y312" s="365">
        <v>44835</v>
      </c>
      <c r="Z312" s="259" t="s">
        <v>1875</v>
      </c>
      <c r="AA312" s="274"/>
      <c r="AB312" s="259" t="s">
        <v>139</v>
      </c>
      <c r="AC312" s="259" t="s">
        <v>1875</v>
      </c>
      <c r="AD312" s="259">
        <v>900</v>
      </c>
      <c r="AE312" s="259">
        <v>900</v>
      </c>
      <c r="AF312" s="274"/>
      <c r="AJ312" s="319" t="s">
        <v>2191</v>
      </c>
      <c r="AK312" s="274"/>
      <c r="AL312" s="319" t="s">
        <v>2190</v>
      </c>
      <c r="AM312" s="259" t="s">
        <v>1975</v>
      </c>
      <c r="AN312" s="259" t="b">
        <v>0</v>
      </c>
      <c r="AP312" s="274"/>
      <c r="AQ312" s="274"/>
      <c r="AR312" s="274"/>
      <c r="AT312" s="274"/>
      <c r="AU312" s="274"/>
      <c r="AZ312" s="274"/>
      <c r="BA312" s="259" t="s">
        <v>373</v>
      </c>
      <c r="BB312" s="259" t="s">
        <v>1610</v>
      </c>
      <c r="BC312" s="259" t="s">
        <v>2192</v>
      </c>
    </row>
    <row r="313" spans="1:55" ht="135">
      <c r="A313" s="259">
        <v>217</v>
      </c>
      <c r="B313" s="259" t="s">
        <v>2763</v>
      </c>
      <c r="C313" s="259" t="s">
        <v>2764</v>
      </c>
      <c r="D313" s="259" t="s">
        <v>8</v>
      </c>
      <c r="E313" s="259" t="s">
        <v>13</v>
      </c>
      <c r="F313" s="259" t="s">
        <v>1567</v>
      </c>
      <c r="G313" s="274">
        <v>44586</v>
      </c>
      <c r="H313" s="274"/>
      <c r="I313" s="274"/>
      <c r="N313" s="259" t="s">
        <v>126</v>
      </c>
      <c r="P313" s="259" t="s">
        <v>1554</v>
      </c>
      <c r="Q313" s="259" t="s">
        <v>2198</v>
      </c>
      <c r="R313" s="274">
        <v>44630.488842592589</v>
      </c>
      <c r="S313" s="321">
        <v>2022</v>
      </c>
      <c r="T313" s="259" t="s">
        <v>2001</v>
      </c>
      <c r="U313" s="259" t="s">
        <v>630</v>
      </c>
      <c r="V313" s="259" t="s">
        <v>631</v>
      </c>
      <c r="W313" s="259" t="s">
        <v>145</v>
      </c>
      <c r="X313" s="259" t="s">
        <v>309</v>
      </c>
      <c r="Y313" s="365">
        <v>44835</v>
      </c>
      <c r="Z313" s="259" t="s">
        <v>1875</v>
      </c>
      <c r="AA313" s="274"/>
      <c r="AB313" s="259" t="s">
        <v>139</v>
      </c>
      <c r="AC313" s="259" t="s">
        <v>1875</v>
      </c>
      <c r="AD313" s="259">
        <v>900</v>
      </c>
      <c r="AE313" s="259">
        <v>900</v>
      </c>
      <c r="AF313" s="274"/>
      <c r="AJ313" s="319" t="s">
        <v>2191</v>
      </c>
      <c r="AK313" s="274"/>
      <c r="AL313" s="319" t="s">
        <v>2190</v>
      </c>
      <c r="AM313" s="259" t="s">
        <v>1975</v>
      </c>
      <c r="AN313" s="259" t="b">
        <v>0</v>
      </c>
      <c r="AP313" s="274"/>
      <c r="AQ313" s="274"/>
      <c r="AR313" s="274"/>
      <c r="AT313" s="274"/>
      <c r="AU313" s="274"/>
      <c r="AZ313" s="274"/>
      <c r="BA313" s="259" t="s">
        <v>373</v>
      </c>
      <c r="BB313" s="259" t="s">
        <v>1610</v>
      </c>
      <c r="BC313" s="259" t="s">
        <v>2192</v>
      </c>
    </row>
    <row r="314" spans="1:55" ht="135">
      <c r="A314" s="259">
        <v>355</v>
      </c>
      <c r="B314" s="259" t="s">
        <v>2847</v>
      </c>
      <c r="C314" s="259" t="s">
        <v>2848</v>
      </c>
      <c r="D314" s="259" t="s">
        <v>8</v>
      </c>
      <c r="E314" s="259" t="s">
        <v>13</v>
      </c>
      <c r="F314" s="259" t="s">
        <v>1567</v>
      </c>
      <c r="G314" s="274">
        <v>44821</v>
      </c>
      <c r="H314" s="274"/>
      <c r="I314" s="274"/>
      <c r="N314" s="259" t="s">
        <v>122</v>
      </c>
      <c r="P314" s="259" t="s">
        <v>1554</v>
      </c>
      <c r="Q314" s="259" t="s">
        <v>2198</v>
      </c>
      <c r="R314" s="274">
        <v>44630.559571759259</v>
      </c>
      <c r="S314" s="321">
        <v>2022</v>
      </c>
      <c r="T314" s="259" t="s">
        <v>2001</v>
      </c>
      <c r="U314" s="259" t="s">
        <v>630</v>
      </c>
      <c r="V314" s="259" t="s">
        <v>631</v>
      </c>
      <c r="W314" s="259" t="s">
        <v>145</v>
      </c>
      <c r="X314" s="259" t="s">
        <v>309</v>
      </c>
      <c r="Y314" s="365">
        <v>44835</v>
      </c>
      <c r="Z314" s="259" t="s">
        <v>1875</v>
      </c>
      <c r="AA314" s="274"/>
      <c r="AB314" s="259" t="s">
        <v>139</v>
      </c>
      <c r="AC314" s="259" t="s">
        <v>1875</v>
      </c>
      <c r="AD314" s="259">
        <v>900</v>
      </c>
      <c r="AE314" s="259">
        <v>900</v>
      </c>
      <c r="AF314" s="274"/>
      <c r="AJ314" s="319" t="s">
        <v>2191</v>
      </c>
      <c r="AK314" s="274"/>
      <c r="AL314" s="319" t="s">
        <v>2190</v>
      </c>
      <c r="AM314" s="259" t="s">
        <v>1975</v>
      </c>
      <c r="AN314" s="259" t="b">
        <v>0</v>
      </c>
      <c r="AP314" s="274"/>
      <c r="AQ314" s="274"/>
      <c r="AR314" s="274"/>
      <c r="AT314" s="274"/>
      <c r="AU314" s="274"/>
      <c r="AZ314" s="274"/>
      <c r="BA314" s="259" t="s">
        <v>373</v>
      </c>
      <c r="BB314" s="259" t="s">
        <v>1610</v>
      </c>
      <c r="BC314" s="259" t="s">
        <v>2192</v>
      </c>
    </row>
    <row r="315" spans="1:55" ht="135">
      <c r="A315" s="259">
        <v>354</v>
      </c>
      <c r="B315" s="259" t="s">
        <v>2749</v>
      </c>
      <c r="C315" s="259" t="s">
        <v>2846</v>
      </c>
      <c r="D315" s="259" t="s">
        <v>8</v>
      </c>
      <c r="E315" s="259" t="s">
        <v>13</v>
      </c>
      <c r="F315" s="259" t="s">
        <v>1567</v>
      </c>
      <c r="G315" s="274">
        <v>44821</v>
      </c>
      <c r="H315" s="274"/>
      <c r="I315" s="274"/>
      <c r="N315" s="259" t="s">
        <v>122</v>
      </c>
      <c r="P315" s="259" t="s">
        <v>1554</v>
      </c>
      <c r="Q315" s="259" t="s">
        <v>2198</v>
      </c>
      <c r="R315" s="274">
        <v>44630.559259259258</v>
      </c>
      <c r="S315" s="321">
        <v>2022</v>
      </c>
      <c r="T315" s="259" t="s">
        <v>2001</v>
      </c>
      <c r="U315" s="259" t="s">
        <v>630</v>
      </c>
      <c r="V315" s="259" t="s">
        <v>631</v>
      </c>
      <c r="W315" s="259" t="s">
        <v>145</v>
      </c>
      <c r="X315" s="259" t="s">
        <v>309</v>
      </c>
      <c r="Y315" s="365">
        <v>44835</v>
      </c>
      <c r="Z315" s="259" t="s">
        <v>1875</v>
      </c>
      <c r="AA315" s="274"/>
      <c r="AB315" s="259" t="s">
        <v>139</v>
      </c>
      <c r="AC315" s="259" t="s">
        <v>1875</v>
      </c>
      <c r="AD315" s="259">
        <v>900</v>
      </c>
      <c r="AE315" s="259">
        <v>900</v>
      </c>
      <c r="AF315" s="274"/>
      <c r="AJ315" s="319" t="s">
        <v>2191</v>
      </c>
      <c r="AK315" s="274"/>
      <c r="AL315" s="319" t="s">
        <v>2190</v>
      </c>
      <c r="AM315" s="259" t="s">
        <v>1975</v>
      </c>
      <c r="AN315" s="259" t="b">
        <v>0</v>
      </c>
      <c r="AP315" s="274"/>
      <c r="AQ315" s="274"/>
      <c r="AR315" s="274"/>
      <c r="AT315" s="274"/>
      <c r="AU315" s="274"/>
      <c r="AZ315" s="274"/>
      <c r="BA315" s="259" t="s">
        <v>373</v>
      </c>
      <c r="BB315" s="259" t="s">
        <v>1610</v>
      </c>
      <c r="BC315" s="259" t="s">
        <v>2192</v>
      </c>
    </row>
    <row r="316" spans="1:55" ht="135">
      <c r="A316" s="259">
        <v>353</v>
      </c>
      <c r="B316" s="259" t="s">
        <v>2747</v>
      </c>
      <c r="C316" s="259" t="s">
        <v>2845</v>
      </c>
      <c r="D316" s="259" t="s">
        <v>8</v>
      </c>
      <c r="E316" s="259" t="s">
        <v>13</v>
      </c>
      <c r="F316" s="259" t="s">
        <v>1567</v>
      </c>
      <c r="G316" s="274">
        <v>44821</v>
      </c>
      <c r="H316" s="274"/>
      <c r="I316" s="274"/>
      <c r="N316" s="259" t="s">
        <v>122</v>
      </c>
      <c r="P316" s="259" t="s">
        <v>1554</v>
      </c>
      <c r="Q316" s="259" t="s">
        <v>2198</v>
      </c>
      <c r="R316" s="274">
        <v>44630.558969907404</v>
      </c>
      <c r="S316" s="321">
        <v>2022</v>
      </c>
      <c r="T316" s="259" t="s">
        <v>2001</v>
      </c>
      <c r="U316" s="259" t="s">
        <v>630</v>
      </c>
      <c r="V316" s="259" t="s">
        <v>631</v>
      </c>
      <c r="W316" s="259" t="s">
        <v>145</v>
      </c>
      <c r="X316" s="259" t="s">
        <v>309</v>
      </c>
      <c r="Y316" s="365">
        <v>44835</v>
      </c>
      <c r="Z316" s="259" t="s">
        <v>1875</v>
      </c>
      <c r="AA316" s="274"/>
      <c r="AB316" s="259" t="s">
        <v>139</v>
      </c>
      <c r="AC316" s="259" t="s">
        <v>1875</v>
      </c>
      <c r="AD316" s="259">
        <v>900</v>
      </c>
      <c r="AE316" s="259">
        <v>900</v>
      </c>
      <c r="AF316" s="274"/>
      <c r="AJ316" s="319" t="s">
        <v>2191</v>
      </c>
      <c r="AK316" s="274"/>
      <c r="AL316" s="319" t="s">
        <v>2190</v>
      </c>
      <c r="AM316" s="259" t="s">
        <v>1975</v>
      </c>
      <c r="AN316" s="259" t="b">
        <v>0</v>
      </c>
      <c r="AP316" s="274"/>
      <c r="AQ316" s="274"/>
      <c r="AR316" s="274"/>
      <c r="AT316" s="274"/>
      <c r="AU316" s="274"/>
      <c r="AZ316" s="274"/>
      <c r="BA316" s="259" t="s">
        <v>373</v>
      </c>
      <c r="BB316" s="259" t="s">
        <v>1610</v>
      </c>
      <c r="BC316" s="259" t="s">
        <v>2192</v>
      </c>
    </row>
    <row r="317" spans="1:55" ht="135">
      <c r="A317" s="259">
        <v>183</v>
      </c>
      <c r="B317" s="259" t="s">
        <v>2636</v>
      </c>
      <c r="C317" s="259" t="s">
        <v>2758</v>
      </c>
      <c r="D317" s="259" t="s">
        <v>8</v>
      </c>
      <c r="E317" s="259" t="s">
        <v>13</v>
      </c>
      <c r="F317" s="259" t="s">
        <v>1567</v>
      </c>
      <c r="G317" s="274">
        <v>44480</v>
      </c>
      <c r="H317" s="274"/>
      <c r="I317" s="274"/>
      <c r="N317" s="259" t="s">
        <v>126</v>
      </c>
      <c r="P317" s="259" t="s">
        <v>1554</v>
      </c>
      <c r="Q317" s="259" t="s">
        <v>2198</v>
      </c>
      <c r="R317" s="274">
        <v>44630.486956018518</v>
      </c>
      <c r="S317" s="321">
        <v>2021</v>
      </c>
      <c r="T317" s="259" t="s">
        <v>2001</v>
      </c>
      <c r="U317" s="259" t="s">
        <v>630</v>
      </c>
      <c r="V317" s="259" t="s">
        <v>631</v>
      </c>
      <c r="W317" s="259" t="s">
        <v>145</v>
      </c>
      <c r="X317" s="259" t="s">
        <v>309</v>
      </c>
      <c r="Y317" s="365">
        <v>44835</v>
      </c>
      <c r="Z317" s="259" t="s">
        <v>1875</v>
      </c>
      <c r="AA317" s="274"/>
      <c r="AB317" s="259" t="s">
        <v>139</v>
      </c>
      <c r="AC317" s="259" t="s">
        <v>1875</v>
      </c>
      <c r="AD317" s="259">
        <v>900</v>
      </c>
      <c r="AE317" s="259">
        <v>900</v>
      </c>
      <c r="AF317" s="274"/>
      <c r="AJ317" s="319" t="s">
        <v>2191</v>
      </c>
      <c r="AK317" s="274"/>
      <c r="AL317" s="319" t="s">
        <v>2190</v>
      </c>
      <c r="AM317" s="259" t="s">
        <v>1975</v>
      </c>
      <c r="AN317" s="259" t="b">
        <v>0</v>
      </c>
      <c r="AP317" s="274"/>
      <c r="AQ317" s="274"/>
      <c r="AR317" s="274"/>
      <c r="AT317" s="274"/>
      <c r="AU317" s="274"/>
      <c r="AZ317" s="274"/>
      <c r="BA317" s="259" t="s">
        <v>373</v>
      </c>
      <c r="BB317" s="259" t="s">
        <v>1610</v>
      </c>
      <c r="BC317" s="259" t="s">
        <v>2192</v>
      </c>
    </row>
    <row r="318" spans="1:55" ht="135">
      <c r="A318" s="259">
        <v>182</v>
      </c>
      <c r="B318" s="259" t="s">
        <v>2680</v>
      </c>
      <c r="C318" s="259" t="s">
        <v>2761</v>
      </c>
      <c r="D318" s="259" t="s">
        <v>8</v>
      </c>
      <c r="E318" s="259" t="s">
        <v>13</v>
      </c>
      <c r="F318" s="259" t="s">
        <v>1567</v>
      </c>
      <c r="G318" s="274">
        <v>44477</v>
      </c>
      <c r="H318" s="274"/>
      <c r="I318" s="274"/>
      <c r="N318" s="259" t="s">
        <v>126</v>
      </c>
      <c r="P318" s="259" t="s">
        <v>1554</v>
      </c>
      <c r="Q318" s="259" t="s">
        <v>2198</v>
      </c>
      <c r="R318" s="274">
        <v>44630.487650462965</v>
      </c>
      <c r="S318" s="321">
        <v>2021</v>
      </c>
      <c r="T318" s="259" t="s">
        <v>2001</v>
      </c>
      <c r="U318" s="259" t="s">
        <v>630</v>
      </c>
      <c r="V318" s="259" t="s">
        <v>631</v>
      </c>
      <c r="W318" s="259" t="s">
        <v>145</v>
      </c>
      <c r="X318" s="259" t="s">
        <v>309</v>
      </c>
      <c r="Y318" s="365">
        <v>44835</v>
      </c>
      <c r="Z318" s="259" t="s">
        <v>1875</v>
      </c>
      <c r="AA318" s="274"/>
      <c r="AB318" s="259" t="s">
        <v>139</v>
      </c>
      <c r="AC318" s="259" t="s">
        <v>1875</v>
      </c>
      <c r="AD318" s="259">
        <v>900</v>
      </c>
      <c r="AE318" s="259">
        <v>900</v>
      </c>
      <c r="AF318" s="274"/>
      <c r="AJ318" s="319" t="s">
        <v>2191</v>
      </c>
      <c r="AK318" s="274"/>
      <c r="AL318" s="319" t="s">
        <v>2190</v>
      </c>
      <c r="AM318" s="259" t="s">
        <v>1975</v>
      </c>
      <c r="AN318" s="259" t="b">
        <v>0</v>
      </c>
      <c r="AP318" s="274"/>
      <c r="AQ318" s="274"/>
      <c r="AR318" s="274"/>
      <c r="AT318" s="274"/>
      <c r="AU318" s="274"/>
      <c r="AZ318" s="274"/>
      <c r="BA318" s="259" t="s">
        <v>373</v>
      </c>
      <c r="BB318" s="259" t="s">
        <v>1610</v>
      </c>
      <c r="BC318" s="259" t="s">
        <v>2192</v>
      </c>
    </row>
    <row r="319" spans="1:55" ht="135">
      <c r="A319" s="259">
        <v>170</v>
      </c>
      <c r="B319" s="259" t="s">
        <v>2690</v>
      </c>
      <c r="C319" s="259" t="s">
        <v>2755</v>
      </c>
      <c r="D319" s="259" t="s">
        <v>8</v>
      </c>
      <c r="E319" s="259" t="s">
        <v>13</v>
      </c>
      <c r="F319" s="259" t="s">
        <v>1567</v>
      </c>
      <c r="G319" s="274">
        <v>44445</v>
      </c>
      <c r="H319" s="274"/>
      <c r="I319" s="274"/>
      <c r="N319" s="259" t="s">
        <v>126</v>
      </c>
      <c r="P319" s="259" t="s">
        <v>1554</v>
      </c>
      <c r="Q319" s="259" t="s">
        <v>2198</v>
      </c>
      <c r="R319" s="274">
        <v>44630.486273148148</v>
      </c>
      <c r="S319" s="321">
        <v>2021</v>
      </c>
      <c r="T319" s="259" t="s">
        <v>2001</v>
      </c>
      <c r="U319" s="259" t="s">
        <v>630</v>
      </c>
      <c r="V319" s="259" t="s">
        <v>631</v>
      </c>
      <c r="W319" s="259" t="s">
        <v>145</v>
      </c>
      <c r="X319" s="259" t="s">
        <v>309</v>
      </c>
      <c r="Y319" s="365">
        <v>44835</v>
      </c>
      <c r="Z319" s="259" t="s">
        <v>1875</v>
      </c>
      <c r="AA319" s="274"/>
      <c r="AB319" s="259" t="s">
        <v>139</v>
      </c>
      <c r="AC319" s="259" t="s">
        <v>1875</v>
      </c>
      <c r="AD319" s="259">
        <v>900</v>
      </c>
      <c r="AE319" s="259">
        <v>900</v>
      </c>
      <c r="AF319" s="274"/>
      <c r="AJ319" s="319" t="s">
        <v>2191</v>
      </c>
      <c r="AK319" s="274"/>
      <c r="AL319" s="319" t="s">
        <v>2190</v>
      </c>
      <c r="AM319" s="259" t="s">
        <v>1975</v>
      </c>
      <c r="AN319" s="259" t="b">
        <v>0</v>
      </c>
      <c r="AP319" s="274"/>
      <c r="AQ319" s="274"/>
      <c r="AR319" s="274"/>
      <c r="AT319" s="274"/>
      <c r="AU319" s="274"/>
      <c r="AZ319" s="274"/>
      <c r="BA319" s="259" t="s">
        <v>373</v>
      </c>
      <c r="BB319" s="259" t="s">
        <v>1610</v>
      </c>
      <c r="BC319" s="259" t="s">
        <v>2192</v>
      </c>
    </row>
    <row r="320" spans="1:55" ht="135">
      <c r="A320" s="259">
        <v>229</v>
      </c>
      <c r="B320" s="259" t="s">
        <v>2645</v>
      </c>
      <c r="C320" s="259" t="s">
        <v>2769</v>
      </c>
      <c r="D320" s="259" t="s">
        <v>8</v>
      </c>
      <c r="E320" s="259" t="s">
        <v>13</v>
      </c>
      <c r="F320" s="259" t="s">
        <v>1567</v>
      </c>
      <c r="G320" s="274">
        <v>44609</v>
      </c>
      <c r="H320" s="274"/>
      <c r="I320" s="274"/>
      <c r="N320" s="259" t="s">
        <v>126</v>
      </c>
      <c r="P320" s="259" t="s">
        <v>1554</v>
      </c>
      <c r="Q320" s="259" t="s">
        <v>2198</v>
      </c>
      <c r="R320" s="274">
        <v>44630.490949074076</v>
      </c>
      <c r="S320" s="321">
        <v>2022</v>
      </c>
      <c r="T320" s="259" t="s">
        <v>2001</v>
      </c>
      <c r="U320" s="259" t="s">
        <v>630</v>
      </c>
      <c r="V320" s="259" t="s">
        <v>631</v>
      </c>
      <c r="W320" s="259" t="s">
        <v>145</v>
      </c>
      <c r="X320" s="259" t="s">
        <v>309</v>
      </c>
      <c r="Y320" s="365">
        <v>44835</v>
      </c>
      <c r="Z320" s="259" t="s">
        <v>1875</v>
      </c>
      <c r="AA320" s="274"/>
      <c r="AB320" s="259" t="s">
        <v>139</v>
      </c>
      <c r="AC320" s="259" t="s">
        <v>1875</v>
      </c>
      <c r="AD320" s="259">
        <v>900</v>
      </c>
      <c r="AE320" s="259">
        <v>900</v>
      </c>
      <c r="AF320" s="274"/>
      <c r="AJ320" s="319" t="s">
        <v>2191</v>
      </c>
      <c r="AK320" s="274"/>
      <c r="AL320" s="319" t="s">
        <v>2190</v>
      </c>
      <c r="AM320" s="259" t="s">
        <v>1975</v>
      </c>
      <c r="AN320" s="259" t="b">
        <v>0</v>
      </c>
      <c r="AP320" s="274"/>
      <c r="AQ320" s="274"/>
      <c r="AR320" s="274"/>
      <c r="AT320" s="274"/>
      <c r="AU320" s="274"/>
      <c r="AZ320" s="274"/>
      <c r="BA320" s="259" t="s">
        <v>373</v>
      </c>
      <c r="BB320" s="259" t="s">
        <v>1610</v>
      </c>
      <c r="BC320" s="259" t="s">
        <v>2192</v>
      </c>
    </row>
    <row r="321" spans="1:55" ht="135">
      <c r="A321" s="259">
        <v>131</v>
      </c>
      <c r="B321" s="259" t="s">
        <v>2728</v>
      </c>
      <c r="C321" s="259" t="s">
        <v>2729</v>
      </c>
      <c r="D321" s="259" t="s">
        <v>8</v>
      </c>
      <c r="E321" s="259" t="s">
        <v>13</v>
      </c>
      <c r="F321" s="259" t="s">
        <v>1567</v>
      </c>
      <c r="G321" s="274">
        <v>44350</v>
      </c>
      <c r="H321" s="274"/>
      <c r="I321" s="274"/>
      <c r="N321" s="259" t="s">
        <v>126</v>
      </c>
      <c r="P321" s="259" t="s">
        <v>1554</v>
      </c>
      <c r="Q321" s="259" t="s">
        <v>2198</v>
      </c>
      <c r="R321" s="274">
        <v>44630.478726851848</v>
      </c>
      <c r="S321" s="321">
        <v>2021</v>
      </c>
      <c r="T321" s="259" t="s">
        <v>2001</v>
      </c>
      <c r="U321" s="259" t="s">
        <v>630</v>
      </c>
      <c r="V321" s="259" t="s">
        <v>631</v>
      </c>
      <c r="W321" s="259" t="s">
        <v>145</v>
      </c>
      <c r="X321" s="259" t="s">
        <v>309</v>
      </c>
      <c r="Y321" s="365">
        <v>44835</v>
      </c>
      <c r="Z321" s="259" t="s">
        <v>1875</v>
      </c>
      <c r="AA321" s="274"/>
      <c r="AB321" s="259" t="s">
        <v>139</v>
      </c>
      <c r="AC321" s="259" t="s">
        <v>1875</v>
      </c>
      <c r="AD321" s="259">
        <v>900</v>
      </c>
      <c r="AE321" s="259">
        <v>900</v>
      </c>
      <c r="AF321" s="274"/>
      <c r="AJ321" s="319" t="s">
        <v>2191</v>
      </c>
      <c r="AK321" s="274"/>
      <c r="AL321" s="319" t="s">
        <v>2190</v>
      </c>
      <c r="AM321" s="259" t="s">
        <v>1975</v>
      </c>
      <c r="AN321" s="259" t="b">
        <v>0</v>
      </c>
      <c r="AP321" s="274"/>
      <c r="AQ321" s="274"/>
      <c r="AR321" s="274"/>
      <c r="AT321" s="274"/>
      <c r="AU321" s="274"/>
      <c r="AZ321" s="274"/>
      <c r="BA321" s="259" t="s">
        <v>373</v>
      </c>
      <c r="BB321" s="259" t="s">
        <v>1610</v>
      </c>
      <c r="BC321" s="259" t="s">
        <v>2192</v>
      </c>
    </row>
    <row r="322" spans="1:55" ht="135">
      <c r="A322" s="259">
        <v>145</v>
      </c>
      <c r="B322" s="259" t="s">
        <v>2684</v>
      </c>
      <c r="C322" s="259" t="s">
        <v>2736</v>
      </c>
      <c r="D322" s="259" t="s">
        <v>8</v>
      </c>
      <c r="E322" s="259" t="s">
        <v>13</v>
      </c>
      <c r="F322" s="259" t="s">
        <v>1567</v>
      </c>
      <c r="G322" s="274">
        <v>44373</v>
      </c>
      <c r="H322" s="274"/>
      <c r="I322" s="274"/>
      <c r="N322" s="259" t="s">
        <v>126</v>
      </c>
      <c r="P322" s="259" t="s">
        <v>1554</v>
      </c>
      <c r="Q322" s="259" t="s">
        <v>2198</v>
      </c>
      <c r="R322" s="274">
        <v>44630.480798611112</v>
      </c>
      <c r="S322" s="321">
        <v>2021</v>
      </c>
      <c r="T322" s="259" t="s">
        <v>2001</v>
      </c>
      <c r="U322" s="259" t="s">
        <v>630</v>
      </c>
      <c r="V322" s="259" t="s">
        <v>631</v>
      </c>
      <c r="W322" s="259" t="s">
        <v>145</v>
      </c>
      <c r="X322" s="259" t="s">
        <v>309</v>
      </c>
      <c r="Y322" s="365">
        <v>44835</v>
      </c>
      <c r="Z322" s="259" t="s">
        <v>1875</v>
      </c>
      <c r="AA322" s="274"/>
      <c r="AB322" s="259" t="s">
        <v>139</v>
      </c>
      <c r="AC322" s="259" t="s">
        <v>1875</v>
      </c>
      <c r="AD322" s="259">
        <v>900</v>
      </c>
      <c r="AE322" s="259">
        <v>900</v>
      </c>
      <c r="AF322" s="274"/>
      <c r="AJ322" s="319" t="s">
        <v>2191</v>
      </c>
      <c r="AK322" s="274"/>
      <c r="AL322" s="319" t="s">
        <v>2190</v>
      </c>
      <c r="AM322" s="259" t="s">
        <v>1975</v>
      </c>
      <c r="AN322" s="259" t="b">
        <v>0</v>
      </c>
      <c r="AP322" s="274"/>
      <c r="AQ322" s="274"/>
      <c r="AR322" s="274"/>
      <c r="AT322" s="274"/>
      <c r="AU322" s="274"/>
      <c r="AZ322" s="274"/>
      <c r="BA322" s="259" t="s">
        <v>373</v>
      </c>
      <c r="BB322" s="259" t="s">
        <v>1610</v>
      </c>
      <c r="BC322" s="259" t="s">
        <v>2192</v>
      </c>
    </row>
    <row r="323" spans="1:55" ht="135">
      <c r="A323" s="259">
        <v>267</v>
      </c>
      <c r="B323" s="259" t="s">
        <v>2723</v>
      </c>
      <c r="C323" s="259" t="s">
        <v>2724</v>
      </c>
      <c r="D323" s="259" t="s">
        <v>8</v>
      </c>
      <c r="E323" s="259" t="s">
        <v>13</v>
      </c>
      <c r="F323" s="259" t="s">
        <v>1567</v>
      </c>
      <c r="G323" s="274">
        <v>44703</v>
      </c>
      <c r="H323" s="274"/>
      <c r="I323" s="274"/>
      <c r="N323" s="259" t="s">
        <v>126</v>
      </c>
      <c r="P323" s="259" t="s">
        <v>1554</v>
      </c>
      <c r="Q323" s="259" t="s">
        <v>2198</v>
      </c>
      <c r="R323" s="274">
        <v>44630.469155092593</v>
      </c>
      <c r="S323" s="321">
        <v>2022</v>
      </c>
      <c r="T323" s="259" t="s">
        <v>2001</v>
      </c>
      <c r="U323" s="259" t="s">
        <v>630</v>
      </c>
      <c r="V323" s="259" t="s">
        <v>631</v>
      </c>
      <c r="W323" s="259" t="s">
        <v>145</v>
      </c>
      <c r="X323" s="259" t="s">
        <v>309</v>
      </c>
      <c r="Y323" s="365">
        <v>44835</v>
      </c>
      <c r="Z323" s="259" t="s">
        <v>1875</v>
      </c>
      <c r="AA323" s="274"/>
      <c r="AB323" s="259" t="s">
        <v>139</v>
      </c>
      <c r="AC323" s="259" t="s">
        <v>1875</v>
      </c>
      <c r="AD323" s="259">
        <v>900</v>
      </c>
      <c r="AE323" s="259">
        <v>900</v>
      </c>
      <c r="AF323" s="274"/>
      <c r="AJ323" s="319" t="s">
        <v>2191</v>
      </c>
      <c r="AK323" s="274"/>
      <c r="AL323" s="319" t="s">
        <v>2190</v>
      </c>
      <c r="AM323" s="259" t="s">
        <v>1975</v>
      </c>
      <c r="AN323" s="259" t="b">
        <v>0</v>
      </c>
      <c r="AP323" s="274"/>
      <c r="AQ323" s="274"/>
      <c r="AR323" s="274"/>
      <c r="AT323" s="274"/>
      <c r="AU323" s="274"/>
      <c r="AZ323" s="274"/>
      <c r="BA323" s="259" t="s">
        <v>373</v>
      </c>
      <c r="BB323" s="259" t="s">
        <v>1610</v>
      </c>
      <c r="BC323" s="259" t="s">
        <v>2192</v>
      </c>
    </row>
    <row r="324" spans="1:55" ht="135">
      <c r="A324" s="259">
        <v>132</v>
      </c>
      <c r="B324" s="259" t="s">
        <v>2645</v>
      </c>
      <c r="C324" s="259" t="s">
        <v>2730</v>
      </c>
      <c r="D324" s="259" t="s">
        <v>8</v>
      </c>
      <c r="E324" s="259" t="s">
        <v>13</v>
      </c>
      <c r="F324" s="259" t="s">
        <v>1567</v>
      </c>
      <c r="G324" s="274">
        <v>44350</v>
      </c>
      <c r="H324" s="274"/>
      <c r="I324" s="274"/>
      <c r="N324" s="259" t="s">
        <v>126</v>
      </c>
      <c r="P324" s="259" t="s">
        <v>1554</v>
      </c>
      <c r="Q324" s="259" t="s">
        <v>2198</v>
      </c>
      <c r="R324" s="274">
        <v>44630.479108796295</v>
      </c>
      <c r="S324" s="321">
        <v>2021</v>
      </c>
      <c r="T324" s="259" t="s">
        <v>2001</v>
      </c>
      <c r="U324" s="259" t="s">
        <v>630</v>
      </c>
      <c r="V324" s="259" t="s">
        <v>631</v>
      </c>
      <c r="W324" s="259" t="s">
        <v>145</v>
      </c>
      <c r="X324" s="259" t="s">
        <v>309</v>
      </c>
      <c r="Y324" s="365">
        <v>44835</v>
      </c>
      <c r="Z324" s="259" t="s">
        <v>1875</v>
      </c>
      <c r="AA324" s="274"/>
      <c r="AB324" s="259" t="s">
        <v>139</v>
      </c>
      <c r="AC324" s="259" t="s">
        <v>1875</v>
      </c>
      <c r="AD324" s="259">
        <v>900</v>
      </c>
      <c r="AE324" s="259">
        <v>900</v>
      </c>
      <c r="AF324" s="274"/>
      <c r="AJ324" s="319" t="s">
        <v>2191</v>
      </c>
      <c r="AK324" s="274"/>
      <c r="AL324" s="319" t="s">
        <v>2190</v>
      </c>
      <c r="AM324" s="259" t="s">
        <v>1975</v>
      </c>
      <c r="AN324" s="259" t="b">
        <v>0</v>
      </c>
      <c r="AP324" s="274"/>
      <c r="AQ324" s="274"/>
      <c r="AR324" s="274"/>
      <c r="AT324" s="274"/>
      <c r="AU324" s="274"/>
      <c r="AZ324" s="274"/>
      <c r="BA324" s="259" t="s">
        <v>373</v>
      </c>
      <c r="BB324" s="259" t="s">
        <v>1610</v>
      </c>
      <c r="BC324" s="259" t="s">
        <v>2192</v>
      </c>
    </row>
    <row r="325" spans="1:55" ht="135">
      <c r="A325" s="259">
        <v>231</v>
      </c>
      <c r="B325" s="259" t="s">
        <v>2732</v>
      </c>
      <c r="C325" s="259" t="s">
        <v>2771</v>
      </c>
      <c r="D325" s="259" t="s">
        <v>8</v>
      </c>
      <c r="E325" s="259" t="s">
        <v>13</v>
      </c>
      <c r="F325" s="259" t="s">
        <v>1567</v>
      </c>
      <c r="G325" s="274">
        <v>44621</v>
      </c>
      <c r="H325" s="274"/>
      <c r="I325" s="274"/>
      <c r="N325" s="259" t="s">
        <v>126</v>
      </c>
      <c r="P325" s="259" t="s">
        <v>1554</v>
      </c>
      <c r="Q325" s="259" t="s">
        <v>2198</v>
      </c>
      <c r="R325" s="274">
        <v>44630.491666666669</v>
      </c>
      <c r="S325" s="321">
        <v>2022</v>
      </c>
      <c r="T325" s="259" t="s">
        <v>2001</v>
      </c>
      <c r="U325" s="259" t="s">
        <v>630</v>
      </c>
      <c r="V325" s="259" t="s">
        <v>631</v>
      </c>
      <c r="W325" s="259" t="s">
        <v>145</v>
      </c>
      <c r="X325" s="259" t="s">
        <v>309</v>
      </c>
      <c r="Y325" s="365">
        <v>44835</v>
      </c>
      <c r="Z325" s="259" t="s">
        <v>1875</v>
      </c>
      <c r="AA325" s="274"/>
      <c r="AB325" s="259" t="s">
        <v>139</v>
      </c>
      <c r="AC325" s="259" t="s">
        <v>1875</v>
      </c>
      <c r="AD325" s="259">
        <v>900</v>
      </c>
      <c r="AE325" s="259">
        <v>900</v>
      </c>
      <c r="AF325" s="274"/>
      <c r="AJ325" s="319" t="s">
        <v>2191</v>
      </c>
      <c r="AK325" s="274"/>
      <c r="AL325" s="319" t="s">
        <v>2190</v>
      </c>
      <c r="AM325" s="259" t="s">
        <v>1975</v>
      </c>
      <c r="AN325" s="259" t="b">
        <v>0</v>
      </c>
      <c r="AP325" s="274"/>
      <c r="AQ325" s="274"/>
      <c r="AR325" s="274"/>
      <c r="AT325" s="274"/>
      <c r="AU325" s="274"/>
      <c r="AZ325" s="274"/>
      <c r="BA325" s="259" t="s">
        <v>373</v>
      </c>
      <c r="BB325" s="259" t="s">
        <v>1610</v>
      </c>
      <c r="BC325" s="259" t="s">
        <v>2192</v>
      </c>
    </row>
    <row r="326" spans="1:55" ht="135">
      <c r="A326" s="259">
        <v>228</v>
      </c>
      <c r="B326" s="259" t="s">
        <v>2728</v>
      </c>
      <c r="C326" s="259" t="s">
        <v>2768</v>
      </c>
      <c r="D326" s="259" t="s">
        <v>8</v>
      </c>
      <c r="E326" s="259" t="s">
        <v>13</v>
      </c>
      <c r="F326" s="259" t="s">
        <v>1567</v>
      </c>
      <c r="G326" s="274">
        <v>44609</v>
      </c>
      <c r="H326" s="274"/>
      <c r="I326" s="274"/>
      <c r="N326" s="259" t="s">
        <v>126</v>
      </c>
      <c r="P326" s="259" t="s">
        <v>1554</v>
      </c>
      <c r="Q326" s="259" t="s">
        <v>2198</v>
      </c>
      <c r="R326" s="274">
        <v>44630.490601851852</v>
      </c>
      <c r="S326" s="321">
        <v>2022</v>
      </c>
      <c r="T326" s="259" t="s">
        <v>2001</v>
      </c>
      <c r="U326" s="259" t="s">
        <v>630</v>
      </c>
      <c r="V326" s="259" t="s">
        <v>631</v>
      </c>
      <c r="W326" s="259" t="s">
        <v>145</v>
      </c>
      <c r="X326" s="259" t="s">
        <v>309</v>
      </c>
      <c r="Y326" s="365">
        <v>44835</v>
      </c>
      <c r="Z326" s="259" t="s">
        <v>1875</v>
      </c>
      <c r="AA326" s="274"/>
      <c r="AB326" s="259" t="s">
        <v>139</v>
      </c>
      <c r="AC326" s="259" t="s">
        <v>1875</v>
      </c>
      <c r="AD326" s="259">
        <v>900</v>
      </c>
      <c r="AE326" s="259">
        <v>900</v>
      </c>
      <c r="AF326" s="274"/>
      <c r="AJ326" s="319" t="s">
        <v>2191</v>
      </c>
      <c r="AK326" s="274"/>
      <c r="AL326" s="319" t="s">
        <v>2190</v>
      </c>
      <c r="AM326" s="259" t="s">
        <v>1975</v>
      </c>
      <c r="AN326" s="259" t="b">
        <v>0</v>
      </c>
      <c r="AP326" s="274"/>
      <c r="AQ326" s="274"/>
      <c r="AR326" s="274"/>
      <c r="AT326" s="274"/>
      <c r="AU326" s="274"/>
      <c r="AZ326" s="274"/>
      <c r="BA326" s="259" t="s">
        <v>373</v>
      </c>
      <c r="BB326" s="259" t="s">
        <v>1610</v>
      </c>
      <c r="BC326" s="259" t="s">
        <v>2192</v>
      </c>
    </row>
    <row r="327" spans="1:55" ht="135">
      <c r="A327" s="259">
        <v>143</v>
      </c>
      <c r="B327" s="259" t="s">
        <v>2734</v>
      </c>
      <c r="C327" s="259" t="s">
        <v>2735</v>
      </c>
      <c r="D327" s="259" t="s">
        <v>8</v>
      </c>
      <c r="E327" s="259" t="s">
        <v>13</v>
      </c>
      <c r="F327" s="259" t="s">
        <v>1567</v>
      </c>
      <c r="G327" s="274">
        <v>44371</v>
      </c>
      <c r="H327" s="274"/>
      <c r="I327" s="274"/>
      <c r="N327" s="259" t="s">
        <v>126</v>
      </c>
      <c r="P327" s="259" t="s">
        <v>1554</v>
      </c>
      <c r="Q327" s="259" t="s">
        <v>2198</v>
      </c>
      <c r="R327" s="274">
        <v>44630.480416666665</v>
      </c>
      <c r="S327" s="321">
        <v>2021</v>
      </c>
      <c r="T327" s="259" t="s">
        <v>2001</v>
      </c>
      <c r="U327" s="259" t="s">
        <v>630</v>
      </c>
      <c r="V327" s="259" t="s">
        <v>631</v>
      </c>
      <c r="W327" s="259" t="s">
        <v>145</v>
      </c>
      <c r="X327" s="259" t="s">
        <v>309</v>
      </c>
      <c r="Y327" s="365">
        <v>44835</v>
      </c>
      <c r="Z327" s="259" t="s">
        <v>1875</v>
      </c>
      <c r="AA327" s="274"/>
      <c r="AB327" s="259" t="s">
        <v>139</v>
      </c>
      <c r="AC327" s="259" t="s">
        <v>1875</v>
      </c>
      <c r="AD327" s="259">
        <v>900</v>
      </c>
      <c r="AE327" s="259">
        <v>900</v>
      </c>
      <c r="AF327" s="274"/>
      <c r="AJ327" s="319" t="s">
        <v>2191</v>
      </c>
      <c r="AK327" s="274"/>
      <c r="AL327" s="319" t="s">
        <v>2190</v>
      </c>
      <c r="AM327" s="259" t="s">
        <v>1975</v>
      </c>
      <c r="AN327" s="259" t="b">
        <v>0</v>
      </c>
      <c r="AP327" s="274"/>
      <c r="AQ327" s="274"/>
      <c r="AR327" s="274"/>
      <c r="AT327" s="274"/>
      <c r="AU327" s="274"/>
      <c r="AZ327" s="274"/>
      <c r="BA327" s="259" t="s">
        <v>373</v>
      </c>
      <c r="BB327" s="259" t="s">
        <v>1610</v>
      </c>
      <c r="BC327" s="259" t="s">
        <v>2192</v>
      </c>
    </row>
    <row r="328" spans="1:55" ht="135">
      <c r="A328" s="259">
        <v>127</v>
      </c>
      <c r="B328" s="259" t="s">
        <v>2651</v>
      </c>
      <c r="C328" s="259" t="s">
        <v>2726</v>
      </c>
      <c r="D328" s="259" t="s">
        <v>8</v>
      </c>
      <c r="E328" s="259" t="s">
        <v>13</v>
      </c>
      <c r="F328" s="259" t="s">
        <v>1567</v>
      </c>
      <c r="G328" s="274">
        <v>44341</v>
      </c>
      <c r="H328" s="274"/>
      <c r="I328" s="274"/>
      <c r="N328" s="259" t="s">
        <v>126</v>
      </c>
      <c r="P328" s="259" t="s">
        <v>1554</v>
      </c>
      <c r="Q328" s="259" t="s">
        <v>2198</v>
      </c>
      <c r="R328" s="274">
        <v>44630.469861111109</v>
      </c>
      <c r="S328" s="321">
        <v>2021</v>
      </c>
      <c r="T328" s="259" t="s">
        <v>2001</v>
      </c>
      <c r="U328" s="259" t="s">
        <v>630</v>
      </c>
      <c r="V328" s="259" t="s">
        <v>631</v>
      </c>
      <c r="W328" s="259" t="s">
        <v>145</v>
      </c>
      <c r="X328" s="259" t="s">
        <v>309</v>
      </c>
      <c r="Y328" s="365">
        <v>44835</v>
      </c>
      <c r="Z328" s="259" t="s">
        <v>1875</v>
      </c>
      <c r="AA328" s="274"/>
      <c r="AB328" s="259" t="s">
        <v>139</v>
      </c>
      <c r="AC328" s="259" t="s">
        <v>1875</v>
      </c>
      <c r="AD328" s="259">
        <v>900</v>
      </c>
      <c r="AE328" s="259">
        <v>900</v>
      </c>
      <c r="AF328" s="274"/>
      <c r="AJ328" s="319" t="s">
        <v>2191</v>
      </c>
      <c r="AK328" s="274"/>
      <c r="AL328" s="319" t="s">
        <v>2190</v>
      </c>
      <c r="AM328" s="259" t="s">
        <v>1975</v>
      </c>
      <c r="AN328" s="259" t="b">
        <v>0</v>
      </c>
      <c r="AP328" s="274"/>
      <c r="AQ328" s="274"/>
      <c r="AR328" s="274"/>
      <c r="AT328" s="274"/>
      <c r="AU328" s="274"/>
      <c r="AZ328" s="274"/>
      <c r="BA328" s="259" t="s">
        <v>373</v>
      </c>
      <c r="BB328" s="259" t="s">
        <v>1610</v>
      </c>
      <c r="BC328" s="259" t="s">
        <v>2192</v>
      </c>
    </row>
    <row r="329" spans="1:55" ht="135">
      <c r="A329" s="259">
        <v>226</v>
      </c>
      <c r="B329" s="259" t="s">
        <v>2651</v>
      </c>
      <c r="C329" s="259" t="s">
        <v>2766</v>
      </c>
      <c r="D329" s="259" t="s">
        <v>8</v>
      </c>
      <c r="E329" s="259" t="s">
        <v>13</v>
      </c>
      <c r="F329" s="259" t="s">
        <v>1567</v>
      </c>
      <c r="G329" s="274">
        <v>44608</v>
      </c>
      <c r="H329" s="274"/>
      <c r="I329" s="274"/>
      <c r="N329" s="259" t="s">
        <v>126</v>
      </c>
      <c r="P329" s="259" t="s">
        <v>1554</v>
      </c>
      <c r="Q329" s="259" t="s">
        <v>2198</v>
      </c>
      <c r="R329" s="274">
        <v>44630.489907407406</v>
      </c>
      <c r="S329" s="321">
        <v>2022</v>
      </c>
      <c r="T329" s="259" t="s">
        <v>2001</v>
      </c>
      <c r="U329" s="259" t="s">
        <v>630</v>
      </c>
      <c r="V329" s="259" t="s">
        <v>631</v>
      </c>
      <c r="W329" s="259" t="s">
        <v>145</v>
      </c>
      <c r="X329" s="259" t="s">
        <v>309</v>
      </c>
      <c r="Y329" s="365">
        <v>44835</v>
      </c>
      <c r="Z329" s="259" t="s">
        <v>1875</v>
      </c>
      <c r="AA329" s="274"/>
      <c r="AB329" s="259" t="s">
        <v>139</v>
      </c>
      <c r="AC329" s="259" t="s">
        <v>1875</v>
      </c>
      <c r="AD329" s="259">
        <v>900</v>
      </c>
      <c r="AE329" s="259">
        <v>900</v>
      </c>
      <c r="AF329" s="274"/>
      <c r="AJ329" s="319" t="s">
        <v>2191</v>
      </c>
      <c r="AK329" s="274"/>
      <c r="AL329" s="319" t="s">
        <v>2190</v>
      </c>
      <c r="AM329" s="259" t="s">
        <v>1975</v>
      </c>
      <c r="AN329" s="259" t="b">
        <v>0</v>
      </c>
      <c r="AP329" s="274"/>
      <c r="AQ329" s="274"/>
      <c r="AR329" s="274"/>
      <c r="AT329" s="274"/>
      <c r="AU329" s="274"/>
      <c r="AZ329" s="274"/>
      <c r="BA329" s="259" t="s">
        <v>373</v>
      </c>
      <c r="BB329" s="259" t="s">
        <v>1610</v>
      </c>
      <c r="BC329" s="259" t="s">
        <v>2192</v>
      </c>
    </row>
    <row r="330" spans="1:55" ht="135">
      <c r="A330" s="259">
        <v>254</v>
      </c>
      <c r="B330" s="259" t="s">
        <v>2739</v>
      </c>
      <c r="C330" s="259" t="s">
        <v>2776</v>
      </c>
      <c r="D330" s="259" t="s">
        <v>8</v>
      </c>
      <c r="E330" s="259" t="s">
        <v>13</v>
      </c>
      <c r="F330" s="259" t="s">
        <v>1567</v>
      </c>
      <c r="G330" s="274">
        <v>44667</v>
      </c>
      <c r="H330" s="274"/>
      <c r="I330" s="274"/>
      <c r="N330" s="259" t="s">
        <v>126</v>
      </c>
      <c r="P330" s="259" t="s">
        <v>1554</v>
      </c>
      <c r="Q330" s="259" t="s">
        <v>2198</v>
      </c>
      <c r="R330" s="274">
        <v>44630.493807870371</v>
      </c>
      <c r="S330" s="321">
        <v>2022</v>
      </c>
      <c r="T330" s="259" t="s">
        <v>2001</v>
      </c>
      <c r="U330" s="259" t="s">
        <v>630</v>
      </c>
      <c r="V330" s="259" t="s">
        <v>631</v>
      </c>
      <c r="W330" s="259" t="s">
        <v>145</v>
      </c>
      <c r="X330" s="259" t="s">
        <v>309</v>
      </c>
      <c r="Y330" s="365">
        <v>44835</v>
      </c>
      <c r="Z330" s="259" t="s">
        <v>1875</v>
      </c>
      <c r="AA330" s="274"/>
      <c r="AB330" s="259" t="s">
        <v>139</v>
      </c>
      <c r="AC330" s="259" t="s">
        <v>1875</v>
      </c>
      <c r="AD330" s="259">
        <v>900</v>
      </c>
      <c r="AE330" s="259">
        <v>900</v>
      </c>
      <c r="AF330" s="274"/>
      <c r="AJ330" s="319" t="s">
        <v>2191</v>
      </c>
      <c r="AK330" s="274"/>
      <c r="AL330" s="319" t="s">
        <v>2190</v>
      </c>
      <c r="AM330" s="259" t="s">
        <v>1975</v>
      </c>
      <c r="AN330" s="259" t="b">
        <v>0</v>
      </c>
      <c r="AP330" s="274"/>
      <c r="AQ330" s="274"/>
      <c r="AR330" s="274"/>
      <c r="AT330" s="274"/>
      <c r="AU330" s="274"/>
      <c r="AZ330" s="274"/>
      <c r="BA330" s="259" t="s">
        <v>373</v>
      </c>
      <c r="BB330" s="259" t="s">
        <v>1610</v>
      </c>
      <c r="BC330" s="259" t="s">
        <v>2192</v>
      </c>
    </row>
    <row r="331" spans="1:55" ht="135">
      <c r="A331" s="259">
        <v>136</v>
      </c>
      <c r="B331" s="259" t="s">
        <v>2643</v>
      </c>
      <c r="C331" s="259" t="s">
        <v>2731</v>
      </c>
      <c r="D331" s="259" t="s">
        <v>8</v>
      </c>
      <c r="E331" s="259" t="s">
        <v>13</v>
      </c>
      <c r="F331" s="259" t="s">
        <v>1567</v>
      </c>
      <c r="G331" s="274">
        <v>44362</v>
      </c>
      <c r="H331" s="274"/>
      <c r="I331" s="274"/>
      <c r="N331" s="259" t="s">
        <v>126</v>
      </c>
      <c r="P331" s="259" t="s">
        <v>1554</v>
      </c>
      <c r="Q331" s="259" t="s">
        <v>2198</v>
      </c>
      <c r="R331" s="274">
        <v>44630.479583333334</v>
      </c>
      <c r="S331" s="321">
        <v>2021</v>
      </c>
      <c r="T331" s="259" t="s">
        <v>2001</v>
      </c>
      <c r="U331" s="259" t="s">
        <v>630</v>
      </c>
      <c r="V331" s="259" t="s">
        <v>631</v>
      </c>
      <c r="W331" s="259" t="s">
        <v>145</v>
      </c>
      <c r="X331" s="259" t="s">
        <v>309</v>
      </c>
      <c r="Y331" s="365">
        <v>44835</v>
      </c>
      <c r="Z331" s="259" t="s">
        <v>1875</v>
      </c>
      <c r="AA331" s="274"/>
      <c r="AB331" s="259" t="s">
        <v>139</v>
      </c>
      <c r="AC331" s="259" t="s">
        <v>1875</v>
      </c>
      <c r="AD331" s="259">
        <v>900</v>
      </c>
      <c r="AE331" s="259">
        <v>900</v>
      </c>
      <c r="AF331" s="274"/>
      <c r="AJ331" s="319" t="s">
        <v>2191</v>
      </c>
      <c r="AK331" s="274"/>
      <c r="AL331" s="319" t="s">
        <v>2190</v>
      </c>
      <c r="AM331" s="259" t="s">
        <v>1975</v>
      </c>
      <c r="AN331" s="259" t="b">
        <v>0</v>
      </c>
      <c r="AP331" s="274"/>
      <c r="AQ331" s="274"/>
      <c r="AR331" s="274"/>
      <c r="AT331" s="274"/>
      <c r="AU331" s="274"/>
      <c r="AZ331" s="274"/>
      <c r="BA331" s="259" t="s">
        <v>373</v>
      </c>
      <c r="BB331" s="259" t="s">
        <v>1610</v>
      </c>
      <c r="BC331" s="259" t="s">
        <v>2192</v>
      </c>
    </row>
    <row r="332" spans="1:55" ht="135">
      <c r="A332" s="259">
        <v>159</v>
      </c>
      <c r="B332" s="259" t="s">
        <v>2749</v>
      </c>
      <c r="C332" s="259" t="s">
        <v>2750</v>
      </c>
      <c r="D332" s="259" t="s">
        <v>8</v>
      </c>
      <c r="E332" s="259" t="s">
        <v>13</v>
      </c>
      <c r="F332" s="259" t="s">
        <v>1567</v>
      </c>
      <c r="G332" s="274">
        <v>44394</v>
      </c>
      <c r="H332" s="274"/>
      <c r="I332" s="274"/>
      <c r="N332" s="259" t="s">
        <v>126</v>
      </c>
      <c r="P332" s="259" t="s">
        <v>1554</v>
      </c>
      <c r="Q332" s="259" t="s">
        <v>2198</v>
      </c>
      <c r="R332" s="274">
        <v>44630.484756944446</v>
      </c>
      <c r="S332" s="321">
        <v>2021</v>
      </c>
      <c r="T332" s="259" t="s">
        <v>2001</v>
      </c>
      <c r="U332" s="259" t="s">
        <v>630</v>
      </c>
      <c r="V332" s="259" t="s">
        <v>631</v>
      </c>
      <c r="W332" s="259" t="s">
        <v>145</v>
      </c>
      <c r="X332" s="259" t="s">
        <v>309</v>
      </c>
      <c r="Y332" s="365">
        <v>44835</v>
      </c>
      <c r="Z332" s="259" t="s">
        <v>1875</v>
      </c>
      <c r="AA332" s="274"/>
      <c r="AB332" s="259" t="s">
        <v>139</v>
      </c>
      <c r="AC332" s="259" t="s">
        <v>1875</v>
      </c>
      <c r="AD332" s="259">
        <v>900</v>
      </c>
      <c r="AE332" s="259">
        <v>900</v>
      </c>
      <c r="AF332" s="274"/>
      <c r="AJ332" s="319" t="s">
        <v>2191</v>
      </c>
      <c r="AK332" s="274"/>
      <c r="AL332" s="319" t="s">
        <v>2190</v>
      </c>
      <c r="AM332" s="259" t="s">
        <v>1975</v>
      </c>
      <c r="AN332" s="259" t="b">
        <v>0</v>
      </c>
      <c r="AP332" s="274"/>
      <c r="AQ332" s="274"/>
      <c r="AR332" s="274"/>
      <c r="AT332" s="274"/>
      <c r="AU332" s="274"/>
      <c r="AZ332" s="274"/>
      <c r="BA332" s="259" t="s">
        <v>373</v>
      </c>
      <c r="BB332" s="259" t="s">
        <v>1610</v>
      </c>
      <c r="BC332" s="259" t="s">
        <v>2192</v>
      </c>
    </row>
    <row r="333" spans="1:55" ht="135">
      <c r="A333" s="259">
        <v>227</v>
      </c>
      <c r="B333" s="259" t="s">
        <v>2686</v>
      </c>
      <c r="C333" s="259" t="s">
        <v>2767</v>
      </c>
      <c r="D333" s="259" t="s">
        <v>8</v>
      </c>
      <c r="E333" s="259" t="s">
        <v>13</v>
      </c>
      <c r="F333" s="259" t="s">
        <v>1567</v>
      </c>
      <c r="G333" s="274">
        <v>44608</v>
      </c>
      <c r="H333" s="274"/>
      <c r="I333" s="274"/>
      <c r="N333" s="259" t="s">
        <v>126</v>
      </c>
      <c r="P333" s="259" t="s">
        <v>1554</v>
      </c>
      <c r="Q333" s="259" t="s">
        <v>2198</v>
      </c>
      <c r="R333" s="274">
        <v>44630.490266203706</v>
      </c>
      <c r="S333" s="321">
        <v>2022</v>
      </c>
      <c r="T333" s="259" t="s">
        <v>2001</v>
      </c>
      <c r="U333" s="259" t="s">
        <v>630</v>
      </c>
      <c r="V333" s="259" t="s">
        <v>631</v>
      </c>
      <c r="W333" s="259" t="s">
        <v>145</v>
      </c>
      <c r="X333" s="259" t="s">
        <v>309</v>
      </c>
      <c r="Y333" s="365">
        <v>44835</v>
      </c>
      <c r="Z333" s="259" t="s">
        <v>1875</v>
      </c>
      <c r="AA333" s="274"/>
      <c r="AB333" s="259" t="s">
        <v>139</v>
      </c>
      <c r="AC333" s="259" t="s">
        <v>1875</v>
      </c>
      <c r="AD333" s="259">
        <v>900</v>
      </c>
      <c r="AE333" s="259">
        <v>900</v>
      </c>
      <c r="AF333" s="274"/>
      <c r="AJ333" s="319" t="s">
        <v>2191</v>
      </c>
      <c r="AK333" s="274"/>
      <c r="AL333" s="319" t="s">
        <v>2190</v>
      </c>
      <c r="AM333" s="259" t="s">
        <v>1975</v>
      </c>
      <c r="AN333" s="259" t="b">
        <v>0</v>
      </c>
      <c r="AP333" s="274"/>
      <c r="AQ333" s="274"/>
      <c r="AR333" s="274"/>
      <c r="AT333" s="274"/>
      <c r="AU333" s="274"/>
      <c r="AZ333" s="274"/>
      <c r="BA333" s="259" t="s">
        <v>373</v>
      </c>
      <c r="BB333" s="259" t="s">
        <v>1610</v>
      </c>
      <c r="BC333" s="259" t="s">
        <v>2192</v>
      </c>
    </row>
    <row r="334" spans="1:55" ht="135">
      <c r="A334" s="259">
        <v>188</v>
      </c>
      <c r="B334" s="259" t="s">
        <v>2759</v>
      </c>
      <c r="C334" s="259" t="s">
        <v>2760</v>
      </c>
      <c r="D334" s="259" t="s">
        <v>8</v>
      </c>
      <c r="E334" s="259" t="s">
        <v>13</v>
      </c>
      <c r="F334" s="259" t="s">
        <v>1567</v>
      </c>
      <c r="G334" s="274">
        <v>44494</v>
      </c>
      <c r="H334" s="274"/>
      <c r="I334" s="274"/>
      <c r="N334" s="259" t="s">
        <v>126</v>
      </c>
      <c r="P334" s="259" t="s">
        <v>1554</v>
      </c>
      <c r="Q334" s="259" t="s">
        <v>2198</v>
      </c>
      <c r="R334" s="274">
        <v>44630.487326388888</v>
      </c>
      <c r="S334" s="321">
        <v>2021</v>
      </c>
      <c r="T334" s="259" t="s">
        <v>2001</v>
      </c>
      <c r="U334" s="259" t="s">
        <v>630</v>
      </c>
      <c r="V334" s="259" t="s">
        <v>631</v>
      </c>
      <c r="W334" s="259" t="s">
        <v>145</v>
      </c>
      <c r="X334" s="259" t="s">
        <v>309</v>
      </c>
      <c r="Y334" s="365">
        <v>44835</v>
      </c>
      <c r="Z334" s="259" t="s">
        <v>1875</v>
      </c>
      <c r="AA334" s="274"/>
      <c r="AB334" s="259" t="s">
        <v>139</v>
      </c>
      <c r="AC334" s="259" t="s">
        <v>1875</v>
      </c>
      <c r="AD334" s="259">
        <v>900</v>
      </c>
      <c r="AE334" s="259">
        <v>900</v>
      </c>
      <c r="AF334" s="274"/>
      <c r="AJ334" s="319" t="s">
        <v>2191</v>
      </c>
      <c r="AK334" s="274"/>
      <c r="AL334" s="319" t="s">
        <v>2190</v>
      </c>
      <c r="AM334" s="259" t="s">
        <v>1975</v>
      </c>
      <c r="AN334" s="259" t="b">
        <v>0</v>
      </c>
      <c r="AP334" s="274"/>
      <c r="AQ334" s="274"/>
      <c r="AR334" s="274"/>
      <c r="AT334" s="274"/>
      <c r="AU334" s="274"/>
      <c r="AZ334" s="274"/>
      <c r="BA334" s="259" t="s">
        <v>373</v>
      </c>
      <c r="BB334" s="259" t="s">
        <v>1610</v>
      </c>
      <c r="BC334" s="259" t="s">
        <v>2192</v>
      </c>
    </row>
    <row r="335" spans="1:55" ht="135">
      <c r="A335" s="259">
        <v>230</v>
      </c>
      <c r="B335" s="259" t="s">
        <v>2643</v>
      </c>
      <c r="C335" s="259" t="s">
        <v>2770</v>
      </c>
      <c r="D335" s="259" t="s">
        <v>8</v>
      </c>
      <c r="E335" s="259" t="s">
        <v>13</v>
      </c>
      <c r="F335" s="259" t="s">
        <v>1567</v>
      </c>
      <c r="G335" s="274">
        <v>44621</v>
      </c>
      <c r="H335" s="274"/>
      <c r="I335" s="274"/>
      <c r="N335" s="259" t="s">
        <v>126</v>
      </c>
      <c r="P335" s="259" t="s">
        <v>1554</v>
      </c>
      <c r="Q335" s="259" t="s">
        <v>2198</v>
      </c>
      <c r="R335" s="274">
        <v>44630.491319444445</v>
      </c>
      <c r="S335" s="321">
        <v>2022</v>
      </c>
      <c r="T335" s="259" t="s">
        <v>2001</v>
      </c>
      <c r="U335" s="259" t="s">
        <v>630</v>
      </c>
      <c r="V335" s="259" t="s">
        <v>631</v>
      </c>
      <c r="W335" s="259" t="s">
        <v>145</v>
      </c>
      <c r="X335" s="259" t="s">
        <v>309</v>
      </c>
      <c r="Y335" s="365">
        <v>44835</v>
      </c>
      <c r="Z335" s="259" t="s">
        <v>1875</v>
      </c>
      <c r="AA335" s="274"/>
      <c r="AB335" s="259" t="s">
        <v>139</v>
      </c>
      <c r="AC335" s="259" t="s">
        <v>1875</v>
      </c>
      <c r="AD335" s="259">
        <v>900</v>
      </c>
      <c r="AE335" s="259">
        <v>900</v>
      </c>
      <c r="AF335" s="274"/>
      <c r="AJ335" s="319" t="s">
        <v>2191</v>
      </c>
      <c r="AK335" s="274"/>
      <c r="AL335" s="319" t="s">
        <v>2190</v>
      </c>
      <c r="AM335" s="259" t="s">
        <v>1975</v>
      </c>
      <c r="AN335" s="259" t="b">
        <v>0</v>
      </c>
      <c r="AP335" s="274"/>
      <c r="AQ335" s="274"/>
      <c r="AR335" s="274"/>
      <c r="AT335" s="274"/>
      <c r="AU335" s="274"/>
      <c r="AZ335" s="274"/>
      <c r="BA335" s="259" t="s">
        <v>373</v>
      </c>
      <c r="BB335" s="259" t="s">
        <v>1610</v>
      </c>
      <c r="BC335" s="259" t="s">
        <v>2192</v>
      </c>
    </row>
    <row r="336" spans="1:55" ht="135">
      <c r="A336" s="259">
        <v>152</v>
      </c>
      <c r="B336" s="259" t="s">
        <v>2741</v>
      </c>
      <c r="C336" s="259" t="s">
        <v>2742</v>
      </c>
      <c r="D336" s="259" t="s">
        <v>8</v>
      </c>
      <c r="E336" s="259" t="s">
        <v>13</v>
      </c>
      <c r="F336" s="259" t="s">
        <v>1567</v>
      </c>
      <c r="G336" s="274">
        <v>44385</v>
      </c>
      <c r="H336" s="274"/>
      <c r="I336" s="274"/>
      <c r="N336" s="259" t="s">
        <v>126</v>
      </c>
      <c r="P336" s="259" t="s">
        <v>1554</v>
      </c>
      <c r="Q336" s="259" t="s">
        <v>2198</v>
      </c>
      <c r="R336" s="274">
        <v>44630.481805555559</v>
      </c>
      <c r="S336" s="321">
        <v>2021</v>
      </c>
      <c r="T336" s="259" t="s">
        <v>2001</v>
      </c>
      <c r="U336" s="259" t="s">
        <v>630</v>
      </c>
      <c r="V336" s="259" t="s">
        <v>631</v>
      </c>
      <c r="W336" s="259" t="s">
        <v>145</v>
      </c>
      <c r="X336" s="259" t="s">
        <v>309</v>
      </c>
      <c r="Y336" s="365">
        <v>44835</v>
      </c>
      <c r="Z336" s="259" t="s">
        <v>1875</v>
      </c>
      <c r="AA336" s="274"/>
      <c r="AB336" s="259" t="s">
        <v>139</v>
      </c>
      <c r="AC336" s="259" t="s">
        <v>1875</v>
      </c>
      <c r="AD336" s="259">
        <v>900</v>
      </c>
      <c r="AE336" s="259">
        <v>900</v>
      </c>
      <c r="AF336" s="274"/>
      <c r="AJ336" s="319" t="s">
        <v>2191</v>
      </c>
      <c r="AK336" s="274"/>
      <c r="AL336" s="319" t="s">
        <v>2190</v>
      </c>
      <c r="AM336" s="259" t="s">
        <v>1975</v>
      </c>
      <c r="AN336" s="259" t="b">
        <v>0</v>
      </c>
      <c r="AP336" s="274"/>
      <c r="AQ336" s="274"/>
      <c r="AR336" s="274"/>
      <c r="AT336" s="274"/>
      <c r="AU336" s="274"/>
      <c r="AZ336" s="274"/>
      <c r="BA336" s="259" t="s">
        <v>373</v>
      </c>
      <c r="BB336" s="259" t="s">
        <v>1610</v>
      </c>
      <c r="BC336" s="259" t="s">
        <v>2192</v>
      </c>
    </row>
    <row r="337" spans="1:55" ht="135">
      <c r="A337" s="259">
        <v>234</v>
      </c>
      <c r="B337" s="259" t="s">
        <v>2684</v>
      </c>
      <c r="C337" s="259" t="s">
        <v>2773</v>
      </c>
      <c r="D337" s="259" t="s">
        <v>8</v>
      </c>
      <c r="E337" s="259" t="s">
        <v>13</v>
      </c>
      <c r="F337" s="259" t="s">
        <v>1567</v>
      </c>
      <c r="G337" s="274">
        <v>44627</v>
      </c>
      <c r="H337" s="274"/>
      <c r="I337" s="274"/>
      <c r="N337" s="259" t="s">
        <v>126</v>
      </c>
      <c r="P337" s="259" t="s">
        <v>1554</v>
      </c>
      <c r="Q337" s="259" t="s">
        <v>2198</v>
      </c>
      <c r="R337" s="274">
        <v>44630.492430555554</v>
      </c>
      <c r="S337" s="321">
        <v>2022</v>
      </c>
      <c r="T337" s="259" t="s">
        <v>2001</v>
      </c>
      <c r="U337" s="259" t="s">
        <v>630</v>
      </c>
      <c r="V337" s="259" t="s">
        <v>631</v>
      </c>
      <c r="W337" s="259" t="s">
        <v>145</v>
      </c>
      <c r="X337" s="259" t="s">
        <v>309</v>
      </c>
      <c r="Y337" s="365">
        <v>44835</v>
      </c>
      <c r="Z337" s="259" t="s">
        <v>1875</v>
      </c>
      <c r="AA337" s="274"/>
      <c r="AB337" s="259" t="s">
        <v>139</v>
      </c>
      <c r="AC337" s="259" t="s">
        <v>1875</v>
      </c>
      <c r="AD337" s="259">
        <v>900</v>
      </c>
      <c r="AE337" s="259">
        <v>900</v>
      </c>
      <c r="AF337" s="274"/>
      <c r="AJ337" s="319" t="s">
        <v>2191</v>
      </c>
      <c r="AK337" s="274"/>
      <c r="AL337" s="319" t="s">
        <v>2190</v>
      </c>
      <c r="AM337" s="259" t="s">
        <v>1975</v>
      </c>
      <c r="AN337" s="259" t="b">
        <v>0</v>
      </c>
      <c r="AP337" s="274"/>
      <c r="AQ337" s="274"/>
      <c r="AR337" s="274"/>
      <c r="AT337" s="274"/>
      <c r="AU337" s="274"/>
      <c r="AZ337" s="274"/>
      <c r="BA337" s="259" t="s">
        <v>373</v>
      </c>
      <c r="BB337" s="259" t="s">
        <v>1610</v>
      </c>
      <c r="BC337" s="259" t="s">
        <v>2192</v>
      </c>
    </row>
    <row r="338" spans="1:55" ht="135">
      <c r="A338" s="259">
        <v>161</v>
      </c>
      <c r="B338" s="259" t="s">
        <v>2692</v>
      </c>
      <c r="C338" s="259" t="s">
        <v>2751</v>
      </c>
      <c r="D338" s="259" t="s">
        <v>8</v>
      </c>
      <c r="E338" s="259" t="s">
        <v>13</v>
      </c>
      <c r="F338" s="259" t="s">
        <v>1567</v>
      </c>
      <c r="G338" s="274">
        <v>44394</v>
      </c>
      <c r="H338" s="274"/>
      <c r="I338" s="274"/>
      <c r="N338" s="259" t="s">
        <v>126</v>
      </c>
      <c r="P338" s="259" t="s">
        <v>1554</v>
      </c>
      <c r="Q338" s="259" t="s">
        <v>2198</v>
      </c>
      <c r="R338" s="274">
        <v>44630.485243055555</v>
      </c>
      <c r="S338" s="321">
        <v>2021</v>
      </c>
      <c r="T338" s="259" t="s">
        <v>2001</v>
      </c>
      <c r="U338" s="259" t="s">
        <v>630</v>
      </c>
      <c r="V338" s="259" t="s">
        <v>631</v>
      </c>
      <c r="W338" s="259" t="s">
        <v>145</v>
      </c>
      <c r="X338" s="259" t="s">
        <v>309</v>
      </c>
      <c r="Y338" s="365">
        <v>44835</v>
      </c>
      <c r="Z338" s="259" t="s">
        <v>1875</v>
      </c>
      <c r="AA338" s="274"/>
      <c r="AB338" s="259" t="s">
        <v>139</v>
      </c>
      <c r="AC338" s="259" t="s">
        <v>1875</v>
      </c>
      <c r="AD338" s="259">
        <v>900</v>
      </c>
      <c r="AE338" s="259">
        <v>900</v>
      </c>
      <c r="AF338" s="274"/>
      <c r="AJ338" s="319" t="s">
        <v>2191</v>
      </c>
      <c r="AK338" s="274"/>
      <c r="AL338" s="319" t="s">
        <v>2190</v>
      </c>
      <c r="AM338" s="259" t="s">
        <v>1975</v>
      </c>
      <c r="AN338" s="259" t="b">
        <v>0</v>
      </c>
      <c r="AP338" s="274"/>
      <c r="AQ338" s="274"/>
      <c r="AR338" s="274"/>
      <c r="AT338" s="274"/>
      <c r="AU338" s="274"/>
      <c r="AZ338" s="274"/>
      <c r="BA338" s="259" t="s">
        <v>373</v>
      </c>
      <c r="BB338" s="259" t="s">
        <v>1610</v>
      </c>
      <c r="BC338" s="259" t="s">
        <v>2192</v>
      </c>
    </row>
    <row r="339" spans="1:55" ht="135">
      <c r="A339" s="259">
        <v>237</v>
      </c>
      <c r="B339" s="259" t="s">
        <v>2637</v>
      </c>
      <c r="C339" s="259" t="s">
        <v>2771</v>
      </c>
      <c r="D339" s="259" t="s">
        <v>8</v>
      </c>
      <c r="E339" s="259" t="s">
        <v>13</v>
      </c>
      <c r="F339" s="259" t="s">
        <v>1567</v>
      </c>
      <c r="G339" s="274">
        <v>44632</v>
      </c>
      <c r="H339" s="274"/>
      <c r="I339" s="274"/>
      <c r="N339" s="259" t="s">
        <v>126</v>
      </c>
      <c r="P339" s="259" t="s">
        <v>1554</v>
      </c>
      <c r="Q339" s="259" t="s">
        <v>2198</v>
      </c>
      <c r="R339" s="274">
        <v>44630.492835648147</v>
      </c>
      <c r="S339" s="321">
        <v>2022</v>
      </c>
      <c r="T339" s="259" t="s">
        <v>2001</v>
      </c>
      <c r="U339" s="259" t="s">
        <v>630</v>
      </c>
      <c r="V339" s="259" t="s">
        <v>631</v>
      </c>
      <c r="W339" s="259" t="s">
        <v>145</v>
      </c>
      <c r="X339" s="259" t="s">
        <v>309</v>
      </c>
      <c r="Y339" s="365">
        <v>44835</v>
      </c>
      <c r="Z339" s="259" t="s">
        <v>1875</v>
      </c>
      <c r="AA339" s="274"/>
      <c r="AB339" s="259" t="s">
        <v>139</v>
      </c>
      <c r="AC339" s="259" t="s">
        <v>1875</v>
      </c>
      <c r="AD339" s="259">
        <v>900</v>
      </c>
      <c r="AE339" s="259">
        <v>900</v>
      </c>
      <c r="AF339" s="274"/>
      <c r="AJ339" s="319" t="s">
        <v>2191</v>
      </c>
      <c r="AK339" s="274"/>
      <c r="AL339" s="319" t="s">
        <v>2190</v>
      </c>
      <c r="AM339" s="259" t="s">
        <v>1975</v>
      </c>
      <c r="AN339" s="259" t="b">
        <v>0</v>
      </c>
      <c r="AP339" s="274"/>
      <c r="AQ339" s="274"/>
      <c r="AR339" s="274"/>
      <c r="AT339" s="274"/>
      <c r="AU339" s="274"/>
      <c r="AZ339" s="274"/>
      <c r="BA339" s="259" t="s">
        <v>373</v>
      </c>
      <c r="BB339" s="259" t="s">
        <v>1610</v>
      </c>
      <c r="BC339" s="259" t="s">
        <v>2192</v>
      </c>
    </row>
    <row r="340" spans="1:55" ht="135">
      <c r="A340" s="259">
        <v>158</v>
      </c>
      <c r="B340" s="259" t="s">
        <v>2747</v>
      </c>
      <c r="C340" s="259" t="s">
        <v>2748</v>
      </c>
      <c r="D340" s="259" t="s">
        <v>8</v>
      </c>
      <c r="E340" s="259" t="s">
        <v>13</v>
      </c>
      <c r="F340" s="259" t="s">
        <v>1567</v>
      </c>
      <c r="G340" s="274">
        <v>44389</v>
      </c>
      <c r="H340" s="274"/>
      <c r="I340" s="274"/>
      <c r="N340" s="259" t="s">
        <v>126</v>
      </c>
      <c r="P340" s="259" t="s">
        <v>1554</v>
      </c>
      <c r="Q340" s="259" t="s">
        <v>2198</v>
      </c>
      <c r="R340" s="274">
        <v>44630.484363425923</v>
      </c>
      <c r="S340" s="321">
        <v>2021</v>
      </c>
      <c r="T340" s="259" t="s">
        <v>2001</v>
      </c>
      <c r="U340" s="259" t="s">
        <v>630</v>
      </c>
      <c r="V340" s="259" t="s">
        <v>631</v>
      </c>
      <c r="W340" s="259" t="s">
        <v>145</v>
      </c>
      <c r="X340" s="259" t="s">
        <v>309</v>
      </c>
      <c r="Y340" s="365">
        <v>44835</v>
      </c>
      <c r="Z340" s="259" t="s">
        <v>1875</v>
      </c>
      <c r="AA340" s="274"/>
      <c r="AB340" s="259" t="s">
        <v>139</v>
      </c>
      <c r="AC340" s="259" t="s">
        <v>1875</v>
      </c>
      <c r="AD340" s="259">
        <v>900</v>
      </c>
      <c r="AE340" s="259">
        <v>900</v>
      </c>
      <c r="AF340" s="274"/>
      <c r="AJ340" s="319" t="s">
        <v>2191</v>
      </c>
      <c r="AK340" s="274"/>
      <c r="AL340" s="319" t="s">
        <v>2190</v>
      </c>
      <c r="AM340" s="259" t="s">
        <v>1975</v>
      </c>
      <c r="AN340" s="259" t="b">
        <v>0</v>
      </c>
      <c r="AP340" s="274"/>
      <c r="AQ340" s="274"/>
      <c r="AR340" s="274"/>
      <c r="AT340" s="274"/>
      <c r="AU340" s="274"/>
      <c r="AZ340" s="274"/>
      <c r="BA340" s="259" t="s">
        <v>373</v>
      </c>
      <c r="BB340" s="259" t="s">
        <v>1610</v>
      </c>
      <c r="BC340" s="259" t="s">
        <v>2192</v>
      </c>
    </row>
    <row r="341" spans="1:55" ht="135">
      <c r="A341" s="259">
        <v>232</v>
      </c>
      <c r="B341" s="259" t="s">
        <v>2734</v>
      </c>
      <c r="C341" s="259" t="s">
        <v>2772</v>
      </c>
      <c r="D341" s="259" t="s">
        <v>8</v>
      </c>
      <c r="E341" s="259" t="s">
        <v>13</v>
      </c>
      <c r="F341" s="259" t="s">
        <v>1567</v>
      </c>
      <c r="G341" s="274">
        <v>44621</v>
      </c>
      <c r="H341" s="274"/>
      <c r="I341" s="274"/>
      <c r="N341" s="259" t="s">
        <v>126</v>
      </c>
      <c r="P341" s="259" t="s">
        <v>1554</v>
      </c>
      <c r="Q341" s="259" t="s">
        <v>2198</v>
      </c>
      <c r="R341" s="274">
        <v>44630.492071759261</v>
      </c>
      <c r="S341" s="321">
        <v>2022</v>
      </c>
      <c r="T341" s="259" t="s">
        <v>2001</v>
      </c>
      <c r="U341" s="259" t="s">
        <v>630</v>
      </c>
      <c r="V341" s="259" t="s">
        <v>631</v>
      </c>
      <c r="W341" s="259" t="s">
        <v>145</v>
      </c>
      <c r="X341" s="259" t="s">
        <v>309</v>
      </c>
      <c r="Y341" s="365">
        <v>44835</v>
      </c>
      <c r="Z341" s="259" t="s">
        <v>1875</v>
      </c>
      <c r="AA341" s="274"/>
      <c r="AB341" s="259" t="s">
        <v>139</v>
      </c>
      <c r="AC341" s="259" t="s">
        <v>1875</v>
      </c>
      <c r="AD341" s="259">
        <v>900</v>
      </c>
      <c r="AE341" s="259">
        <v>900</v>
      </c>
      <c r="AF341" s="274"/>
      <c r="AJ341" s="319" t="s">
        <v>2191</v>
      </c>
      <c r="AK341" s="274"/>
      <c r="AL341" s="319" t="s">
        <v>2190</v>
      </c>
      <c r="AM341" s="259" t="s">
        <v>1975</v>
      </c>
      <c r="AN341" s="259" t="b">
        <v>0</v>
      </c>
      <c r="AP341" s="274"/>
      <c r="AQ341" s="274"/>
      <c r="AR341" s="274"/>
      <c r="AT341" s="274"/>
      <c r="AU341" s="274"/>
      <c r="AZ341" s="274"/>
      <c r="BA341" s="259" t="s">
        <v>373</v>
      </c>
      <c r="BB341" s="259" t="s">
        <v>1610</v>
      </c>
      <c r="BC341" s="259" t="s">
        <v>2192</v>
      </c>
    </row>
    <row r="342" spans="1:55" ht="135">
      <c r="A342" s="259">
        <v>238</v>
      </c>
      <c r="B342" s="259" t="s">
        <v>2737</v>
      </c>
      <c r="C342" s="259" t="s">
        <v>2774</v>
      </c>
      <c r="D342" s="259" t="s">
        <v>8</v>
      </c>
      <c r="E342" s="259" t="s">
        <v>13</v>
      </c>
      <c r="F342" s="259" t="s">
        <v>1567</v>
      </c>
      <c r="G342" s="274">
        <v>44635</v>
      </c>
      <c r="H342" s="274"/>
      <c r="I342" s="274"/>
      <c r="N342" s="259" t="s">
        <v>126</v>
      </c>
      <c r="P342" s="259" t="s">
        <v>1554</v>
      </c>
      <c r="Q342" s="259" t="s">
        <v>2198</v>
      </c>
      <c r="R342" s="274">
        <v>44630.493136574078</v>
      </c>
      <c r="S342" s="321">
        <v>2022</v>
      </c>
      <c r="T342" s="259" t="s">
        <v>2001</v>
      </c>
      <c r="U342" s="259" t="s">
        <v>630</v>
      </c>
      <c r="V342" s="259" t="s">
        <v>631</v>
      </c>
      <c r="W342" s="259" t="s">
        <v>145</v>
      </c>
      <c r="X342" s="259" t="s">
        <v>309</v>
      </c>
      <c r="Y342" s="365">
        <v>44835</v>
      </c>
      <c r="Z342" s="259" t="s">
        <v>1875</v>
      </c>
      <c r="AA342" s="274"/>
      <c r="AB342" s="259" t="s">
        <v>139</v>
      </c>
      <c r="AC342" s="259" t="s">
        <v>1875</v>
      </c>
      <c r="AD342" s="259">
        <v>900</v>
      </c>
      <c r="AE342" s="259">
        <v>900</v>
      </c>
      <c r="AF342" s="274"/>
      <c r="AJ342" s="319" t="s">
        <v>2191</v>
      </c>
      <c r="AK342" s="274"/>
      <c r="AL342" s="319" t="s">
        <v>2190</v>
      </c>
      <c r="AM342" s="259" t="s">
        <v>1975</v>
      </c>
      <c r="AN342" s="259" t="b">
        <v>0</v>
      </c>
      <c r="AP342" s="274"/>
      <c r="AQ342" s="274"/>
      <c r="AR342" s="274"/>
      <c r="AT342" s="274"/>
      <c r="AU342" s="274"/>
      <c r="AZ342" s="274"/>
      <c r="BA342" s="259" t="s">
        <v>373</v>
      </c>
      <c r="BB342" s="259" t="s">
        <v>1610</v>
      </c>
      <c r="BC342" s="259" t="s">
        <v>2192</v>
      </c>
    </row>
    <row r="343" spans="1:55" ht="135">
      <c r="A343" s="259">
        <v>130</v>
      </c>
      <c r="B343" s="259" t="s">
        <v>2692</v>
      </c>
      <c r="C343" s="259" t="s">
        <v>2698</v>
      </c>
      <c r="D343" s="259" t="s">
        <v>8</v>
      </c>
      <c r="E343" s="259" t="s">
        <v>13</v>
      </c>
      <c r="F343" s="259" t="s">
        <v>1567</v>
      </c>
      <c r="G343" s="274">
        <v>44343</v>
      </c>
      <c r="H343" s="274"/>
      <c r="I343" s="274"/>
      <c r="N343" s="259" t="s">
        <v>126</v>
      </c>
      <c r="P343" s="259" t="s">
        <v>1554</v>
      </c>
      <c r="Q343" s="259" t="s">
        <v>2198</v>
      </c>
      <c r="R343" s="274">
        <v>44630.478368055556</v>
      </c>
      <c r="S343" s="321">
        <v>2021</v>
      </c>
      <c r="T343" s="259" t="s">
        <v>2001</v>
      </c>
      <c r="U343" s="259" t="s">
        <v>630</v>
      </c>
      <c r="V343" s="259" t="s">
        <v>631</v>
      </c>
      <c r="W343" s="259" t="s">
        <v>145</v>
      </c>
      <c r="X343" s="259" t="s">
        <v>309</v>
      </c>
      <c r="Y343" s="365">
        <v>44835</v>
      </c>
      <c r="Z343" s="259" t="s">
        <v>1875</v>
      </c>
      <c r="AA343" s="274"/>
      <c r="AB343" s="259" t="s">
        <v>139</v>
      </c>
      <c r="AC343" s="259" t="s">
        <v>1875</v>
      </c>
      <c r="AD343" s="259">
        <v>900</v>
      </c>
      <c r="AE343" s="259">
        <v>900</v>
      </c>
      <c r="AF343" s="274"/>
      <c r="AJ343" s="319" t="s">
        <v>2191</v>
      </c>
      <c r="AK343" s="274"/>
      <c r="AL343" s="319" t="s">
        <v>2190</v>
      </c>
      <c r="AM343" s="259" t="s">
        <v>1975</v>
      </c>
      <c r="AN343" s="259" t="b">
        <v>0</v>
      </c>
      <c r="AP343" s="274"/>
      <c r="AQ343" s="274"/>
      <c r="AR343" s="274"/>
      <c r="AT343" s="274"/>
      <c r="AU343" s="274"/>
      <c r="AZ343" s="274"/>
      <c r="BA343" s="259" t="s">
        <v>373</v>
      </c>
      <c r="BB343" s="259" t="s">
        <v>1610</v>
      </c>
      <c r="BC343" s="259" t="s">
        <v>2192</v>
      </c>
    </row>
    <row r="344" spans="1:55" ht="135">
      <c r="A344" s="259">
        <v>153</v>
      </c>
      <c r="B344" s="259" t="s">
        <v>2743</v>
      </c>
      <c r="C344" s="259" t="s">
        <v>2744</v>
      </c>
      <c r="D344" s="259" t="s">
        <v>8</v>
      </c>
      <c r="E344" s="259" t="s">
        <v>13</v>
      </c>
      <c r="F344" s="259" t="s">
        <v>1567</v>
      </c>
      <c r="G344" s="274">
        <v>44385</v>
      </c>
      <c r="H344" s="274"/>
      <c r="I344" s="274"/>
      <c r="N344" s="259" t="s">
        <v>126</v>
      </c>
      <c r="P344" s="259" t="s">
        <v>1554</v>
      </c>
      <c r="Q344" s="259" t="s">
        <v>2198</v>
      </c>
      <c r="R344" s="274">
        <v>44630.482187499998</v>
      </c>
      <c r="S344" s="321">
        <v>2021</v>
      </c>
      <c r="T344" s="259" t="s">
        <v>2001</v>
      </c>
      <c r="U344" s="259" t="s">
        <v>630</v>
      </c>
      <c r="V344" s="259" t="s">
        <v>631</v>
      </c>
      <c r="W344" s="259" t="s">
        <v>145</v>
      </c>
      <c r="X344" s="259" t="s">
        <v>309</v>
      </c>
      <c r="Y344" s="365">
        <v>44835</v>
      </c>
      <c r="Z344" s="259" t="s">
        <v>1875</v>
      </c>
      <c r="AA344" s="274"/>
      <c r="AB344" s="259" t="s">
        <v>139</v>
      </c>
      <c r="AC344" s="259" t="s">
        <v>1875</v>
      </c>
      <c r="AD344" s="259">
        <v>900</v>
      </c>
      <c r="AE344" s="259">
        <v>900</v>
      </c>
      <c r="AF344" s="274"/>
      <c r="AJ344" s="319" t="s">
        <v>2191</v>
      </c>
      <c r="AK344" s="274"/>
      <c r="AL344" s="319" t="s">
        <v>2190</v>
      </c>
      <c r="AM344" s="259" t="s">
        <v>1975</v>
      </c>
      <c r="AN344" s="259" t="b">
        <v>0</v>
      </c>
      <c r="AP344" s="274"/>
      <c r="AQ344" s="274"/>
      <c r="AR344" s="274"/>
      <c r="AT344" s="274"/>
      <c r="AU344" s="274"/>
      <c r="AZ344" s="274"/>
      <c r="BA344" s="259" t="s">
        <v>373</v>
      </c>
      <c r="BB344" s="259" t="s">
        <v>1610</v>
      </c>
      <c r="BC344" s="259" t="s">
        <v>2192</v>
      </c>
    </row>
    <row r="345" spans="1:55" ht="135">
      <c r="A345" s="259">
        <v>128</v>
      </c>
      <c r="B345" s="259" t="s">
        <v>2686</v>
      </c>
      <c r="C345" s="259" t="s">
        <v>2727</v>
      </c>
      <c r="D345" s="259" t="s">
        <v>8</v>
      </c>
      <c r="E345" s="259" t="s">
        <v>13</v>
      </c>
      <c r="F345" s="259" t="s">
        <v>1567</v>
      </c>
      <c r="G345" s="274">
        <v>44341</v>
      </c>
      <c r="H345" s="274"/>
      <c r="I345" s="274"/>
      <c r="N345" s="259" t="s">
        <v>126</v>
      </c>
      <c r="P345" s="259" t="s">
        <v>1554</v>
      </c>
      <c r="Q345" s="259" t="s">
        <v>2198</v>
      </c>
      <c r="R345" s="274">
        <v>44630.470243055555</v>
      </c>
      <c r="S345" s="321">
        <v>2021</v>
      </c>
      <c r="T345" s="259" t="s">
        <v>2001</v>
      </c>
      <c r="U345" s="259" t="s">
        <v>630</v>
      </c>
      <c r="V345" s="259" t="s">
        <v>631</v>
      </c>
      <c r="W345" s="259" t="s">
        <v>145</v>
      </c>
      <c r="X345" s="259" t="s">
        <v>309</v>
      </c>
      <c r="Y345" s="365">
        <v>44835</v>
      </c>
      <c r="Z345" s="259" t="s">
        <v>1875</v>
      </c>
      <c r="AA345" s="274"/>
      <c r="AB345" s="259" t="s">
        <v>139</v>
      </c>
      <c r="AC345" s="259" t="s">
        <v>1875</v>
      </c>
      <c r="AD345" s="259">
        <v>900</v>
      </c>
      <c r="AE345" s="259">
        <v>900</v>
      </c>
      <c r="AF345" s="274"/>
      <c r="AJ345" s="319" t="s">
        <v>2191</v>
      </c>
      <c r="AK345" s="274"/>
      <c r="AL345" s="319" t="s">
        <v>2190</v>
      </c>
      <c r="AM345" s="259" t="s">
        <v>1975</v>
      </c>
      <c r="AN345" s="259" t="b">
        <v>0</v>
      </c>
      <c r="AP345" s="274"/>
      <c r="AQ345" s="274"/>
      <c r="AR345" s="274"/>
      <c r="AT345" s="274"/>
      <c r="AU345" s="274"/>
      <c r="AZ345" s="274"/>
      <c r="BA345" s="259" t="s">
        <v>373</v>
      </c>
      <c r="BB345" s="259" t="s">
        <v>1610</v>
      </c>
      <c r="BC345" s="259" t="s">
        <v>2192</v>
      </c>
    </row>
    <row r="346" spans="1:55" ht="135">
      <c r="A346" s="259">
        <v>239</v>
      </c>
      <c r="B346" s="259" t="s">
        <v>2651</v>
      </c>
      <c r="C346" s="259" t="s">
        <v>2775</v>
      </c>
      <c r="D346" s="259" t="s">
        <v>8</v>
      </c>
      <c r="E346" s="259" t="s">
        <v>13</v>
      </c>
      <c r="F346" s="259" t="s">
        <v>1567</v>
      </c>
      <c r="G346" s="274">
        <v>44635</v>
      </c>
      <c r="H346" s="274"/>
      <c r="I346" s="274"/>
      <c r="N346" s="259" t="s">
        <v>126</v>
      </c>
      <c r="P346" s="259" t="s">
        <v>1554</v>
      </c>
      <c r="Q346" s="259" t="s">
        <v>2198</v>
      </c>
      <c r="R346" s="274">
        <v>44630.493449074071</v>
      </c>
      <c r="S346" s="321">
        <v>2022</v>
      </c>
      <c r="T346" s="259" t="s">
        <v>2001</v>
      </c>
      <c r="U346" s="259" t="s">
        <v>630</v>
      </c>
      <c r="V346" s="259" t="s">
        <v>631</v>
      </c>
      <c r="W346" s="259" t="s">
        <v>145</v>
      </c>
      <c r="X346" s="259" t="s">
        <v>309</v>
      </c>
      <c r="Y346" s="365">
        <v>44835</v>
      </c>
      <c r="Z346" s="259" t="s">
        <v>1875</v>
      </c>
      <c r="AA346" s="274"/>
      <c r="AB346" s="259" t="s">
        <v>139</v>
      </c>
      <c r="AC346" s="259" t="s">
        <v>1875</v>
      </c>
      <c r="AD346" s="259">
        <v>900</v>
      </c>
      <c r="AE346" s="259">
        <v>900</v>
      </c>
      <c r="AF346" s="274"/>
      <c r="AJ346" s="319" t="s">
        <v>2191</v>
      </c>
      <c r="AK346" s="274"/>
      <c r="AL346" s="319" t="s">
        <v>2190</v>
      </c>
      <c r="AM346" s="259" t="s">
        <v>1975</v>
      </c>
      <c r="AN346" s="259" t="b">
        <v>0</v>
      </c>
      <c r="AP346" s="274"/>
      <c r="AQ346" s="274"/>
      <c r="AR346" s="274"/>
      <c r="AT346" s="274"/>
      <c r="AU346" s="274"/>
      <c r="AZ346" s="274"/>
      <c r="BA346" s="259" t="s">
        <v>373</v>
      </c>
      <c r="BB346" s="259" t="s">
        <v>1610</v>
      </c>
      <c r="BC346" s="259" t="s">
        <v>2192</v>
      </c>
    </row>
    <row r="347" spans="1:55" ht="135">
      <c r="A347" s="259">
        <v>151</v>
      </c>
      <c r="B347" s="259" t="s">
        <v>2739</v>
      </c>
      <c r="C347" s="259" t="s">
        <v>2740</v>
      </c>
      <c r="D347" s="259" t="s">
        <v>8</v>
      </c>
      <c r="E347" s="259" t="s">
        <v>13</v>
      </c>
      <c r="F347" s="259" t="s">
        <v>1567</v>
      </c>
      <c r="G347" s="274">
        <v>44385</v>
      </c>
      <c r="H347" s="274"/>
      <c r="I347" s="274"/>
      <c r="N347" s="259" t="s">
        <v>126</v>
      </c>
      <c r="P347" s="259" t="s">
        <v>1554</v>
      </c>
      <c r="Q347" s="259" t="s">
        <v>2198</v>
      </c>
      <c r="R347" s="274">
        <v>44630.481469907405</v>
      </c>
      <c r="S347" s="321">
        <v>2021</v>
      </c>
      <c r="T347" s="259" t="s">
        <v>2001</v>
      </c>
      <c r="U347" s="259" t="s">
        <v>630</v>
      </c>
      <c r="V347" s="259" t="s">
        <v>631</v>
      </c>
      <c r="W347" s="259" t="s">
        <v>145</v>
      </c>
      <c r="X347" s="259" t="s">
        <v>309</v>
      </c>
      <c r="Y347" s="365">
        <v>44835</v>
      </c>
      <c r="Z347" s="259" t="s">
        <v>1875</v>
      </c>
      <c r="AA347" s="274"/>
      <c r="AB347" s="259" t="s">
        <v>139</v>
      </c>
      <c r="AC347" s="259" t="s">
        <v>1875</v>
      </c>
      <c r="AD347" s="259">
        <v>900</v>
      </c>
      <c r="AE347" s="259">
        <v>900</v>
      </c>
      <c r="AF347" s="274"/>
      <c r="AJ347" s="319" t="s">
        <v>2191</v>
      </c>
      <c r="AK347" s="274"/>
      <c r="AL347" s="319" t="s">
        <v>2190</v>
      </c>
      <c r="AM347" s="259" t="s">
        <v>1975</v>
      </c>
      <c r="AN347" s="259" t="b">
        <v>0</v>
      </c>
      <c r="AP347" s="274"/>
      <c r="AQ347" s="274"/>
      <c r="AR347" s="274"/>
      <c r="AT347" s="274"/>
      <c r="AU347" s="274"/>
      <c r="AZ347" s="274"/>
      <c r="BA347" s="259" t="s">
        <v>373</v>
      </c>
      <c r="BB347" s="259" t="s">
        <v>1610</v>
      </c>
      <c r="BC347" s="259" t="s">
        <v>2192</v>
      </c>
    </row>
    <row r="348" spans="1:55" ht="135">
      <c r="A348" s="259">
        <v>126</v>
      </c>
      <c r="B348" s="259" t="s">
        <v>2693</v>
      </c>
      <c r="C348" s="259" t="s">
        <v>2725</v>
      </c>
      <c r="D348" s="259" t="s">
        <v>8</v>
      </c>
      <c r="E348" s="259" t="s">
        <v>13</v>
      </c>
      <c r="F348" s="259" t="s">
        <v>1567</v>
      </c>
      <c r="G348" s="274">
        <v>44341</v>
      </c>
      <c r="H348" s="274"/>
      <c r="I348" s="274"/>
      <c r="N348" s="259" t="s">
        <v>126</v>
      </c>
      <c r="P348" s="259" t="s">
        <v>1554</v>
      </c>
      <c r="Q348" s="259" t="s">
        <v>2198</v>
      </c>
      <c r="R348" s="274">
        <v>44630.469525462962</v>
      </c>
      <c r="S348" s="321">
        <v>2021</v>
      </c>
      <c r="T348" s="259" t="s">
        <v>2001</v>
      </c>
      <c r="U348" s="259" t="s">
        <v>630</v>
      </c>
      <c r="V348" s="259" t="s">
        <v>631</v>
      </c>
      <c r="W348" s="259" t="s">
        <v>145</v>
      </c>
      <c r="X348" s="259" t="s">
        <v>309</v>
      </c>
      <c r="Y348" s="365">
        <v>44835</v>
      </c>
      <c r="Z348" s="259" t="s">
        <v>1875</v>
      </c>
      <c r="AA348" s="274"/>
      <c r="AB348" s="259" t="s">
        <v>139</v>
      </c>
      <c r="AC348" s="259" t="s">
        <v>1875</v>
      </c>
      <c r="AD348" s="259">
        <v>900</v>
      </c>
      <c r="AE348" s="259">
        <v>900</v>
      </c>
      <c r="AF348" s="274"/>
      <c r="AJ348" s="319" t="s">
        <v>2191</v>
      </c>
      <c r="AK348" s="274"/>
      <c r="AL348" s="319" t="s">
        <v>2190</v>
      </c>
      <c r="AM348" s="259" t="s">
        <v>1975</v>
      </c>
      <c r="AN348" s="259" t="b">
        <v>0</v>
      </c>
      <c r="AP348" s="274"/>
      <c r="AQ348" s="274"/>
      <c r="AR348" s="274"/>
      <c r="AT348" s="274"/>
      <c r="AU348" s="274"/>
      <c r="AZ348" s="274"/>
      <c r="BA348" s="259" t="s">
        <v>373</v>
      </c>
      <c r="BB348" s="259" t="s">
        <v>1610</v>
      </c>
      <c r="BC348" s="259" t="s">
        <v>2192</v>
      </c>
    </row>
    <row r="349" spans="1:55" ht="135">
      <c r="A349" s="259">
        <v>150</v>
      </c>
      <c r="B349" s="259" t="s">
        <v>2737</v>
      </c>
      <c r="C349" s="259" t="s">
        <v>2738</v>
      </c>
      <c r="D349" s="259" t="s">
        <v>8</v>
      </c>
      <c r="E349" s="259" t="s">
        <v>13</v>
      </c>
      <c r="F349" s="259" t="s">
        <v>1567</v>
      </c>
      <c r="G349" s="274">
        <v>44378</v>
      </c>
      <c r="H349" s="274"/>
      <c r="I349" s="274"/>
      <c r="N349" s="259" t="s">
        <v>126</v>
      </c>
      <c r="P349" s="259" t="s">
        <v>1554</v>
      </c>
      <c r="Q349" s="259" t="s">
        <v>2198</v>
      </c>
      <c r="R349" s="274">
        <v>44630.481122685182</v>
      </c>
      <c r="S349" s="321">
        <v>2021</v>
      </c>
      <c r="T349" s="259" t="s">
        <v>2001</v>
      </c>
      <c r="U349" s="259" t="s">
        <v>630</v>
      </c>
      <c r="V349" s="259" t="s">
        <v>631</v>
      </c>
      <c r="W349" s="259" t="s">
        <v>145</v>
      </c>
      <c r="X349" s="259" t="s">
        <v>309</v>
      </c>
      <c r="Y349" s="365">
        <v>44835</v>
      </c>
      <c r="Z349" s="259" t="s">
        <v>1875</v>
      </c>
      <c r="AA349" s="274"/>
      <c r="AB349" s="259" t="s">
        <v>139</v>
      </c>
      <c r="AC349" s="259" t="s">
        <v>1875</v>
      </c>
      <c r="AD349" s="259">
        <v>900</v>
      </c>
      <c r="AE349" s="259">
        <v>900</v>
      </c>
      <c r="AF349" s="274"/>
      <c r="AJ349" s="319" t="s">
        <v>2191</v>
      </c>
      <c r="AK349" s="274"/>
      <c r="AL349" s="319" t="s">
        <v>2190</v>
      </c>
      <c r="AM349" s="259" t="s">
        <v>1975</v>
      </c>
      <c r="AN349" s="259" t="b">
        <v>0</v>
      </c>
      <c r="AP349" s="274"/>
      <c r="AQ349" s="274"/>
      <c r="AR349" s="274"/>
      <c r="AT349" s="274"/>
      <c r="AU349" s="274"/>
      <c r="AZ349" s="274"/>
      <c r="BA349" s="259" t="s">
        <v>373</v>
      </c>
      <c r="BB349" s="259" t="s">
        <v>1610</v>
      </c>
      <c r="BC349" s="259" t="s">
        <v>2192</v>
      </c>
    </row>
    <row r="350" spans="1:55" ht="135">
      <c r="A350" s="259">
        <v>273</v>
      </c>
      <c r="B350" s="259" t="s">
        <v>2745</v>
      </c>
      <c r="C350" s="259" t="s">
        <v>2777</v>
      </c>
      <c r="D350" s="259" t="s">
        <v>8</v>
      </c>
      <c r="E350" s="259" t="s">
        <v>13</v>
      </c>
      <c r="F350" s="259" t="s">
        <v>1567</v>
      </c>
      <c r="G350" s="274">
        <v>44712</v>
      </c>
      <c r="H350" s="274"/>
      <c r="I350" s="274"/>
      <c r="N350" s="259" t="s">
        <v>126</v>
      </c>
      <c r="P350" s="259" t="s">
        <v>1554</v>
      </c>
      <c r="Q350" s="259" t="s">
        <v>2198</v>
      </c>
      <c r="R350" s="274">
        <v>44630.494583333333</v>
      </c>
      <c r="S350" s="321">
        <v>2022</v>
      </c>
      <c r="T350" s="259" t="s">
        <v>2001</v>
      </c>
      <c r="U350" s="259" t="s">
        <v>630</v>
      </c>
      <c r="V350" s="259" t="s">
        <v>631</v>
      </c>
      <c r="W350" s="259" t="s">
        <v>145</v>
      </c>
      <c r="X350" s="259" t="s">
        <v>309</v>
      </c>
      <c r="Y350" s="365">
        <v>44835</v>
      </c>
      <c r="Z350" s="259" t="s">
        <v>1875</v>
      </c>
      <c r="AA350" s="274"/>
      <c r="AB350" s="259" t="s">
        <v>139</v>
      </c>
      <c r="AC350" s="259" t="s">
        <v>1875</v>
      </c>
      <c r="AD350" s="259">
        <v>900</v>
      </c>
      <c r="AE350" s="259">
        <v>900</v>
      </c>
      <c r="AF350" s="274"/>
      <c r="AJ350" s="319" t="s">
        <v>2191</v>
      </c>
      <c r="AK350" s="274"/>
      <c r="AL350" s="319" t="s">
        <v>2190</v>
      </c>
      <c r="AM350" s="259" t="s">
        <v>1975</v>
      </c>
      <c r="AN350" s="259" t="b">
        <v>0</v>
      </c>
      <c r="AP350" s="274"/>
      <c r="AQ350" s="274"/>
      <c r="AR350" s="274"/>
      <c r="AT350" s="274"/>
      <c r="AU350" s="274"/>
      <c r="AZ350" s="274"/>
      <c r="BA350" s="259" t="s">
        <v>373</v>
      </c>
      <c r="BB350" s="259" t="s">
        <v>1610</v>
      </c>
      <c r="BC350" s="259" t="s">
        <v>2192</v>
      </c>
    </row>
    <row r="351" spans="1:55" ht="135">
      <c r="A351" s="259">
        <v>139</v>
      </c>
      <c r="B351" s="259" t="s">
        <v>2732</v>
      </c>
      <c r="C351" s="259" t="s">
        <v>2733</v>
      </c>
      <c r="D351" s="259" t="s">
        <v>8</v>
      </c>
      <c r="E351" s="259" t="s">
        <v>13</v>
      </c>
      <c r="F351" s="259" t="s">
        <v>1567</v>
      </c>
      <c r="G351" s="274">
        <v>44370</v>
      </c>
      <c r="H351" s="274"/>
      <c r="I351" s="274"/>
      <c r="N351" s="259" t="s">
        <v>126</v>
      </c>
      <c r="P351" s="259" t="s">
        <v>1554</v>
      </c>
      <c r="Q351" s="259" t="s">
        <v>2198</v>
      </c>
      <c r="R351" s="274">
        <v>44630.47997685185</v>
      </c>
      <c r="S351" s="321">
        <v>2021</v>
      </c>
      <c r="T351" s="259" t="s">
        <v>2001</v>
      </c>
      <c r="U351" s="259" t="s">
        <v>630</v>
      </c>
      <c r="V351" s="259" t="s">
        <v>631</v>
      </c>
      <c r="W351" s="259" t="s">
        <v>145</v>
      </c>
      <c r="X351" s="259" t="s">
        <v>309</v>
      </c>
      <c r="Y351" s="365">
        <v>44835</v>
      </c>
      <c r="Z351" s="259" t="s">
        <v>1875</v>
      </c>
      <c r="AA351" s="274"/>
      <c r="AB351" s="259" t="s">
        <v>139</v>
      </c>
      <c r="AC351" s="259" t="s">
        <v>1875</v>
      </c>
      <c r="AD351" s="259">
        <v>900</v>
      </c>
      <c r="AE351" s="259">
        <v>900</v>
      </c>
      <c r="AF351" s="274"/>
      <c r="AJ351" s="319" t="s">
        <v>2191</v>
      </c>
      <c r="AK351" s="274"/>
      <c r="AL351" s="319" t="s">
        <v>2190</v>
      </c>
      <c r="AM351" s="259" t="s">
        <v>1975</v>
      </c>
      <c r="AN351" s="259" t="b">
        <v>0</v>
      </c>
      <c r="AP351" s="274"/>
      <c r="AQ351" s="274"/>
      <c r="AR351" s="274"/>
      <c r="AT351" s="274"/>
      <c r="AU351" s="274"/>
      <c r="AZ351" s="274"/>
      <c r="BA351" s="259" t="s">
        <v>373</v>
      </c>
      <c r="BB351" s="259" t="s">
        <v>1610</v>
      </c>
      <c r="BC351" s="259" t="s">
        <v>2192</v>
      </c>
    </row>
    <row r="352" spans="1:55" ht="135">
      <c r="A352" s="259">
        <v>154</v>
      </c>
      <c r="B352" s="259" t="s">
        <v>2745</v>
      </c>
      <c r="C352" s="259" t="s">
        <v>2746</v>
      </c>
      <c r="D352" s="259" t="s">
        <v>8</v>
      </c>
      <c r="E352" s="259" t="s">
        <v>13</v>
      </c>
      <c r="F352" s="259" t="s">
        <v>1567</v>
      </c>
      <c r="G352" s="274">
        <v>44385</v>
      </c>
      <c r="H352" s="274"/>
      <c r="I352" s="274"/>
      <c r="N352" s="259" t="s">
        <v>126</v>
      </c>
      <c r="P352" s="259" t="s">
        <v>1554</v>
      </c>
      <c r="Q352" s="259" t="s">
        <v>2198</v>
      </c>
      <c r="R352" s="274">
        <v>44630.482534722221</v>
      </c>
      <c r="S352" s="321">
        <v>2021</v>
      </c>
      <c r="T352" s="259" t="s">
        <v>2001</v>
      </c>
      <c r="U352" s="259" t="s">
        <v>630</v>
      </c>
      <c r="V352" s="259" t="s">
        <v>631</v>
      </c>
      <c r="W352" s="259" t="s">
        <v>145</v>
      </c>
      <c r="X352" s="259" t="s">
        <v>309</v>
      </c>
      <c r="Y352" s="365">
        <v>44835</v>
      </c>
      <c r="Z352" s="259" t="s">
        <v>1875</v>
      </c>
      <c r="AA352" s="274"/>
      <c r="AB352" s="259" t="s">
        <v>139</v>
      </c>
      <c r="AC352" s="259" t="s">
        <v>1875</v>
      </c>
      <c r="AD352" s="259">
        <v>900</v>
      </c>
      <c r="AE352" s="259">
        <v>900</v>
      </c>
      <c r="AF352" s="274"/>
      <c r="AJ352" s="319" t="s">
        <v>2191</v>
      </c>
      <c r="AK352" s="274"/>
      <c r="AL352" s="319" t="s">
        <v>2190</v>
      </c>
      <c r="AM352" s="259" t="s">
        <v>1975</v>
      </c>
      <c r="AN352" s="259" t="b">
        <v>0</v>
      </c>
      <c r="AP352" s="274"/>
      <c r="AQ352" s="274"/>
      <c r="AR352" s="274"/>
      <c r="AT352" s="274"/>
      <c r="AU352" s="274"/>
      <c r="AZ352" s="274"/>
      <c r="BA352" s="259" t="s">
        <v>373</v>
      </c>
      <c r="BB352" s="259" t="s">
        <v>1610</v>
      </c>
      <c r="BC352" s="259" t="s">
        <v>2192</v>
      </c>
    </row>
    <row r="353" spans="1:55" ht="135">
      <c r="A353" s="259">
        <v>93</v>
      </c>
      <c r="B353" s="259" t="s">
        <v>2643</v>
      </c>
      <c r="C353" s="259" t="s">
        <v>2644</v>
      </c>
      <c r="D353" s="259" t="s">
        <v>8</v>
      </c>
      <c r="E353" s="259" t="s">
        <v>13</v>
      </c>
      <c r="F353" s="259" t="s">
        <v>1569</v>
      </c>
      <c r="G353" s="274">
        <v>44223</v>
      </c>
      <c r="H353" s="274"/>
      <c r="I353" s="274"/>
      <c r="N353" s="259" t="s">
        <v>126</v>
      </c>
      <c r="P353" s="259" t="s">
        <v>1554</v>
      </c>
      <c r="Q353" s="259" t="s">
        <v>2198</v>
      </c>
      <c r="R353" s="274">
        <v>44630.431400462963</v>
      </c>
      <c r="S353" s="321">
        <v>2021</v>
      </c>
      <c r="T353" s="259" t="s">
        <v>2001</v>
      </c>
      <c r="U353" s="259" t="s">
        <v>630</v>
      </c>
      <c r="V353" s="259" t="s">
        <v>631</v>
      </c>
      <c r="W353" s="259" t="s">
        <v>145</v>
      </c>
      <c r="X353" s="259" t="s">
        <v>309</v>
      </c>
      <c r="Y353" s="365">
        <v>44835</v>
      </c>
      <c r="Z353" s="259" t="s">
        <v>1875</v>
      </c>
      <c r="AA353" s="274"/>
      <c r="AB353" s="259" t="s">
        <v>139</v>
      </c>
      <c r="AC353" s="259" t="s">
        <v>1875</v>
      </c>
      <c r="AD353" s="259">
        <v>900</v>
      </c>
      <c r="AE353" s="259">
        <v>900</v>
      </c>
      <c r="AF353" s="274"/>
      <c r="AJ353" s="319" t="s">
        <v>2191</v>
      </c>
      <c r="AK353" s="274"/>
      <c r="AL353" s="319" t="s">
        <v>2190</v>
      </c>
      <c r="AM353" s="259" t="s">
        <v>1975</v>
      </c>
      <c r="AN353" s="259" t="b">
        <v>0</v>
      </c>
      <c r="AP353" s="274"/>
      <c r="AQ353" s="274"/>
      <c r="AR353" s="274"/>
      <c r="AT353" s="274"/>
      <c r="AU353" s="274"/>
      <c r="AZ353" s="274"/>
      <c r="BA353" s="259" t="s">
        <v>373</v>
      </c>
      <c r="BB353" s="259" t="s">
        <v>1610</v>
      </c>
      <c r="BC353" s="259" t="s">
        <v>2192</v>
      </c>
    </row>
    <row r="354" spans="1:55" ht="135">
      <c r="A354" s="259">
        <v>88</v>
      </c>
      <c r="B354" s="259" t="s">
        <v>2634</v>
      </c>
      <c r="C354" s="259" t="s">
        <v>2635</v>
      </c>
      <c r="D354" s="259" t="s">
        <v>8</v>
      </c>
      <c r="E354" s="259" t="s">
        <v>13</v>
      </c>
      <c r="F354" s="259" t="s">
        <v>1570</v>
      </c>
      <c r="G354" s="274">
        <v>44186</v>
      </c>
      <c r="H354" s="274"/>
      <c r="I354" s="274"/>
      <c r="N354" s="259" t="s">
        <v>98</v>
      </c>
      <c r="P354" s="259" t="s">
        <v>1554</v>
      </c>
      <c r="Q354" s="259" t="s">
        <v>2198</v>
      </c>
      <c r="R354" s="274">
        <v>44630.427905092591</v>
      </c>
      <c r="S354" s="321">
        <v>2020</v>
      </c>
      <c r="T354" s="259" t="s">
        <v>2001</v>
      </c>
      <c r="U354" s="259" t="s">
        <v>630</v>
      </c>
      <c r="V354" s="259" t="s">
        <v>631</v>
      </c>
      <c r="W354" s="259" t="s">
        <v>145</v>
      </c>
      <c r="X354" s="259" t="s">
        <v>309</v>
      </c>
      <c r="Y354" s="365">
        <v>44835</v>
      </c>
      <c r="Z354" s="259" t="s">
        <v>1875</v>
      </c>
      <c r="AA354" s="274"/>
      <c r="AB354" s="259" t="s">
        <v>139</v>
      </c>
      <c r="AC354" s="259" t="s">
        <v>1875</v>
      </c>
      <c r="AD354" s="259">
        <v>900</v>
      </c>
      <c r="AE354" s="259">
        <v>900</v>
      </c>
      <c r="AF354" s="274"/>
      <c r="AJ354" s="319" t="s">
        <v>2191</v>
      </c>
      <c r="AK354" s="274"/>
      <c r="AL354" s="319" t="s">
        <v>2190</v>
      </c>
      <c r="AM354" s="259" t="s">
        <v>1975</v>
      </c>
      <c r="AN354" s="259" t="b">
        <v>0</v>
      </c>
      <c r="AP354" s="274"/>
      <c r="AQ354" s="274"/>
      <c r="AR354" s="274"/>
      <c r="AT354" s="274"/>
      <c r="AU354" s="274"/>
      <c r="AZ354" s="274"/>
      <c r="BA354" s="259" t="s">
        <v>373</v>
      </c>
      <c r="BB354" s="259" t="s">
        <v>1610</v>
      </c>
      <c r="BC354" s="259" t="s">
        <v>2192</v>
      </c>
    </row>
    <row r="355" spans="1:55" ht="135">
      <c r="A355" s="259">
        <v>255</v>
      </c>
      <c r="B355" s="259" t="s">
        <v>2695</v>
      </c>
      <c r="C355" s="259" t="s">
        <v>2696</v>
      </c>
      <c r="D355" s="259" t="s">
        <v>8</v>
      </c>
      <c r="E355" s="259" t="s">
        <v>13</v>
      </c>
      <c r="F355" s="259" t="s">
        <v>1570</v>
      </c>
      <c r="G355" s="274">
        <v>44667</v>
      </c>
      <c r="H355" s="274"/>
      <c r="I355" s="274"/>
      <c r="N355" s="259" t="s">
        <v>122</v>
      </c>
      <c r="P355" s="259" t="s">
        <v>1554</v>
      </c>
      <c r="Q355" s="259" t="s">
        <v>2198</v>
      </c>
      <c r="R355" s="274">
        <v>44630.453449074077</v>
      </c>
      <c r="S355" s="321">
        <v>2022</v>
      </c>
      <c r="T355" s="259" t="s">
        <v>2001</v>
      </c>
      <c r="U355" s="259" t="s">
        <v>630</v>
      </c>
      <c r="V355" s="259" t="s">
        <v>631</v>
      </c>
      <c r="W355" s="259" t="s">
        <v>145</v>
      </c>
      <c r="X355" s="259" t="s">
        <v>309</v>
      </c>
      <c r="Y355" s="365">
        <v>44835</v>
      </c>
      <c r="Z355" s="259" t="s">
        <v>1875</v>
      </c>
      <c r="AA355" s="274"/>
      <c r="AB355" s="259" t="s">
        <v>139</v>
      </c>
      <c r="AC355" s="259" t="s">
        <v>1875</v>
      </c>
      <c r="AD355" s="259">
        <v>900</v>
      </c>
      <c r="AE355" s="259">
        <v>900</v>
      </c>
      <c r="AF355" s="274"/>
      <c r="AJ355" s="319" t="s">
        <v>2191</v>
      </c>
      <c r="AK355" s="274"/>
      <c r="AL355" s="319" t="s">
        <v>2190</v>
      </c>
      <c r="AM355" s="259" t="s">
        <v>1975</v>
      </c>
      <c r="AN355" s="259" t="b">
        <v>0</v>
      </c>
      <c r="AP355" s="274"/>
      <c r="AQ355" s="274"/>
      <c r="AR355" s="274"/>
      <c r="AT355" s="274"/>
      <c r="AU355" s="274"/>
      <c r="AZ355" s="274"/>
      <c r="BA355" s="259" t="s">
        <v>373</v>
      </c>
      <c r="BB355" s="259" t="s">
        <v>1610</v>
      </c>
      <c r="BC355" s="259" t="s">
        <v>2192</v>
      </c>
    </row>
    <row r="356" spans="1:55" ht="135">
      <c r="A356" s="259">
        <v>91</v>
      </c>
      <c r="B356" s="259" t="s">
        <v>2645</v>
      </c>
      <c r="C356" s="259" t="s">
        <v>2646</v>
      </c>
      <c r="D356" s="259" t="s">
        <v>8</v>
      </c>
      <c r="E356" s="259" t="s">
        <v>13</v>
      </c>
      <c r="F356" s="259" t="s">
        <v>1570</v>
      </c>
      <c r="G356" s="274">
        <v>44217</v>
      </c>
      <c r="H356" s="274"/>
      <c r="I356" s="274"/>
      <c r="N356" s="259" t="s">
        <v>126</v>
      </c>
      <c r="P356" s="259" t="s">
        <v>1554</v>
      </c>
      <c r="Q356" s="259" t="s">
        <v>2198</v>
      </c>
      <c r="R356" s="274">
        <v>44630.431898148148</v>
      </c>
      <c r="S356" s="321">
        <v>2021</v>
      </c>
      <c r="T356" s="259" t="s">
        <v>2001</v>
      </c>
      <c r="U356" s="259" t="s">
        <v>630</v>
      </c>
      <c r="V356" s="259" t="s">
        <v>631</v>
      </c>
      <c r="W356" s="259" t="s">
        <v>145</v>
      </c>
      <c r="X356" s="259" t="s">
        <v>309</v>
      </c>
      <c r="Y356" s="365">
        <v>44835</v>
      </c>
      <c r="Z356" s="259" t="s">
        <v>1875</v>
      </c>
      <c r="AA356" s="274"/>
      <c r="AB356" s="259" t="s">
        <v>139</v>
      </c>
      <c r="AC356" s="259" t="s">
        <v>1875</v>
      </c>
      <c r="AD356" s="259">
        <v>900</v>
      </c>
      <c r="AE356" s="259">
        <v>900</v>
      </c>
      <c r="AF356" s="274"/>
      <c r="AJ356" s="319" t="s">
        <v>2191</v>
      </c>
      <c r="AK356" s="274"/>
      <c r="AL356" s="319" t="s">
        <v>2190</v>
      </c>
      <c r="AM356" s="259" t="s">
        <v>1975</v>
      </c>
      <c r="AN356" s="259" t="b">
        <v>0</v>
      </c>
      <c r="AP356" s="274"/>
      <c r="AQ356" s="274"/>
      <c r="AR356" s="274"/>
      <c r="AT356" s="274"/>
      <c r="AU356" s="274"/>
      <c r="AZ356" s="274"/>
      <c r="BA356" s="259" t="s">
        <v>373</v>
      </c>
      <c r="BB356" s="259" t="s">
        <v>1610</v>
      </c>
      <c r="BC356" s="259" t="s">
        <v>2192</v>
      </c>
    </row>
    <row r="357" spans="1:55" ht="135">
      <c r="A357" s="259">
        <v>328</v>
      </c>
      <c r="B357" s="259" t="s">
        <v>2783</v>
      </c>
      <c r="C357" s="259" t="s">
        <v>2784</v>
      </c>
      <c r="D357" s="259" t="s">
        <v>8</v>
      </c>
      <c r="E357" s="259" t="s">
        <v>13</v>
      </c>
      <c r="F357" s="259" t="s">
        <v>1575</v>
      </c>
      <c r="G357" s="274">
        <v>44789</v>
      </c>
      <c r="H357" s="274"/>
      <c r="I357" s="274"/>
      <c r="N357" s="259" t="s">
        <v>122</v>
      </c>
      <c r="P357" s="259" t="s">
        <v>1554</v>
      </c>
      <c r="Q357" s="259" t="s">
        <v>2198</v>
      </c>
      <c r="R357" s="274">
        <v>44630.502268518518</v>
      </c>
      <c r="S357" s="321">
        <v>2022</v>
      </c>
      <c r="T357" s="259" t="s">
        <v>2001</v>
      </c>
      <c r="U357" s="259" t="s">
        <v>630</v>
      </c>
      <c r="V357" s="259" t="s">
        <v>631</v>
      </c>
      <c r="W357" s="259" t="s">
        <v>145</v>
      </c>
      <c r="X357" s="259" t="s">
        <v>309</v>
      </c>
      <c r="Y357" s="365">
        <v>44835</v>
      </c>
      <c r="Z357" s="259" t="s">
        <v>1875</v>
      </c>
      <c r="AA357" s="274"/>
      <c r="AB357" s="259" t="s">
        <v>139</v>
      </c>
      <c r="AC357" s="259" t="s">
        <v>1875</v>
      </c>
      <c r="AD357" s="259">
        <v>900</v>
      </c>
      <c r="AE357" s="259">
        <v>900</v>
      </c>
      <c r="AF357" s="274"/>
      <c r="AJ357" s="319" t="s">
        <v>2191</v>
      </c>
      <c r="AK357" s="274"/>
      <c r="AL357" s="319" t="s">
        <v>2190</v>
      </c>
      <c r="AM357" s="259" t="s">
        <v>1975</v>
      </c>
      <c r="AN357" s="259" t="b">
        <v>0</v>
      </c>
      <c r="AP357" s="274"/>
      <c r="AQ357" s="274"/>
      <c r="AR357" s="274"/>
      <c r="AT357" s="274"/>
      <c r="AU357" s="274"/>
      <c r="AZ357" s="274"/>
      <c r="BA357" s="259" t="s">
        <v>373</v>
      </c>
      <c r="BB357" s="259" t="s">
        <v>1610</v>
      </c>
      <c r="BC357" s="259" t="s">
        <v>2192</v>
      </c>
    </row>
    <row r="358" spans="1:55" ht="135">
      <c r="A358" s="259">
        <v>372</v>
      </c>
      <c r="B358" s="259" t="s">
        <v>2859</v>
      </c>
      <c r="C358" s="259" t="s">
        <v>2860</v>
      </c>
      <c r="D358" s="259" t="s">
        <v>8</v>
      </c>
      <c r="E358" s="259" t="s">
        <v>13</v>
      </c>
      <c r="F358" s="259" t="s">
        <v>1575</v>
      </c>
      <c r="G358" s="274">
        <v>44834</v>
      </c>
      <c r="H358" s="274"/>
      <c r="I358" s="274"/>
      <c r="N358" s="259" t="s">
        <v>122</v>
      </c>
      <c r="P358" s="259" t="s">
        <v>1554</v>
      </c>
      <c r="Q358" s="259" t="s">
        <v>2198</v>
      </c>
      <c r="R358" s="274">
        <v>44630.585057870368</v>
      </c>
      <c r="S358" s="321">
        <v>2022</v>
      </c>
      <c r="T358" s="259" t="s">
        <v>2001</v>
      </c>
      <c r="U358" s="259" t="s">
        <v>630</v>
      </c>
      <c r="V358" s="259" t="s">
        <v>631</v>
      </c>
      <c r="W358" s="259" t="s">
        <v>145</v>
      </c>
      <c r="X358" s="259" t="s">
        <v>309</v>
      </c>
      <c r="Y358" s="365">
        <v>44835</v>
      </c>
      <c r="Z358" s="259" t="s">
        <v>1875</v>
      </c>
      <c r="AA358" s="274"/>
      <c r="AB358" s="259" t="s">
        <v>139</v>
      </c>
      <c r="AC358" s="259" t="s">
        <v>1875</v>
      </c>
      <c r="AD358" s="259">
        <v>900</v>
      </c>
      <c r="AE358" s="259">
        <v>900</v>
      </c>
      <c r="AF358" s="274"/>
      <c r="AJ358" s="319" t="s">
        <v>2191</v>
      </c>
      <c r="AK358" s="274"/>
      <c r="AL358" s="319" t="s">
        <v>2190</v>
      </c>
      <c r="AM358" s="259" t="s">
        <v>1975</v>
      </c>
      <c r="AN358" s="259" t="b">
        <v>0</v>
      </c>
      <c r="AP358" s="274"/>
      <c r="AQ358" s="274"/>
      <c r="AR358" s="274"/>
      <c r="AT358" s="274"/>
      <c r="AU358" s="274"/>
      <c r="AZ358" s="274"/>
      <c r="BA358" s="259" t="s">
        <v>373</v>
      </c>
      <c r="BB358" s="259" t="s">
        <v>1610</v>
      </c>
      <c r="BC358" s="259" t="s">
        <v>2192</v>
      </c>
    </row>
    <row r="359" spans="1:55" ht="135">
      <c r="A359" s="259">
        <v>370</v>
      </c>
      <c r="B359" s="259" t="s">
        <v>2857</v>
      </c>
      <c r="C359" s="259" t="s">
        <v>2858</v>
      </c>
      <c r="D359" s="259" t="s">
        <v>8</v>
      </c>
      <c r="E359" s="259" t="s">
        <v>13</v>
      </c>
      <c r="F359" s="259" t="s">
        <v>1575</v>
      </c>
      <c r="G359" s="274">
        <v>44833</v>
      </c>
      <c r="H359" s="274"/>
      <c r="I359" s="274"/>
      <c r="N359" s="259" t="s">
        <v>122</v>
      </c>
      <c r="P359" s="259" t="s">
        <v>1554</v>
      </c>
      <c r="Q359" s="259" t="s">
        <v>2198</v>
      </c>
      <c r="R359" s="274">
        <v>44630.584467592591</v>
      </c>
      <c r="S359" s="321">
        <v>2022</v>
      </c>
      <c r="T359" s="259" t="s">
        <v>2001</v>
      </c>
      <c r="U359" s="259" t="s">
        <v>630</v>
      </c>
      <c r="V359" s="259" t="s">
        <v>631</v>
      </c>
      <c r="W359" s="259" t="s">
        <v>145</v>
      </c>
      <c r="X359" s="259" t="s">
        <v>309</v>
      </c>
      <c r="Y359" s="365">
        <v>44835</v>
      </c>
      <c r="Z359" s="259" t="s">
        <v>1875</v>
      </c>
      <c r="AA359" s="274"/>
      <c r="AB359" s="259" t="s">
        <v>139</v>
      </c>
      <c r="AC359" s="259" t="s">
        <v>1875</v>
      </c>
      <c r="AD359" s="259">
        <v>900</v>
      </c>
      <c r="AE359" s="259">
        <v>900</v>
      </c>
      <c r="AF359" s="274"/>
      <c r="AJ359" s="319" t="s">
        <v>2191</v>
      </c>
      <c r="AK359" s="274"/>
      <c r="AL359" s="319" t="s">
        <v>2190</v>
      </c>
      <c r="AM359" s="259" t="s">
        <v>1975</v>
      </c>
      <c r="AN359" s="259" t="b">
        <v>0</v>
      </c>
      <c r="AP359" s="274"/>
      <c r="AQ359" s="274"/>
      <c r="AR359" s="274"/>
      <c r="AT359" s="274"/>
      <c r="AU359" s="274"/>
      <c r="AZ359" s="274"/>
      <c r="BA359" s="259" t="s">
        <v>373</v>
      </c>
      <c r="BB359" s="259" t="s">
        <v>1610</v>
      </c>
      <c r="BC359" s="259" t="s">
        <v>2192</v>
      </c>
    </row>
    <row r="360" spans="1:55" ht="135">
      <c r="A360" s="259">
        <v>369</v>
      </c>
      <c r="B360" s="259" t="s">
        <v>2855</v>
      </c>
      <c r="C360" s="259" t="s">
        <v>2856</v>
      </c>
      <c r="D360" s="259" t="s">
        <v>8</v>
      </c>
      <c r="E360" s="259" t="s">
        <v>13</v>
      </c>
      <c r="F360" s="259" t="s">
        <v>1575</v>
      </c>
      <c r="G360" s="274">
        <v>44832</v>
      </c>
      <c r="H360" s="274"/>
      <c r="I360" s="274"/>
      <c r="N360" s="259" t="s">
        <v>122</v>
      </c>
      <c r="P360" s="259" t="s">
        <v>1554</v>
      </c>
      <c r="Q360" s="259" t="s">
        <v>2198</v>
      </c>
      <c r="R360" s="274">
        <v>44630.632615740738</v>
      </c>
      <c r="S360" s="321">
        <v>2022</v>
      </c>
      <c r="T360" s="259" t="s">
        <v>2001</v>
      </c>
      <c r="U360" s="259" t="s">
        <v>630</v>
      </c>
      <c r="V360" s="259" t="s">
        <v>631</v>
      </c>
      <c r="W360" s="259" t="s">
        <v>145</v>
      </c>
      <c r="X360" s="259" t="s">
        <v>309</v>
      </c>
      <c r="Y360" s="365">
        <v>44835</v>
      </c>
      <c r="Z360" s="259" t="s">
        <v>1875</v>
      </c>
      <c r="AA360" s="274"/>
      <c r="AB360" s="259" t="s">
        <v>139</v>
      </c>
      <c r="AC360" s="259" t="s">
        <v>1875</v>
      </c>
      <c r="AD360" s="259">
        <v>900</v>
      </c>
      <c r="AE360" s="259">
        <v>900</v>
      </c>
      <c r="AF360" s="274"/>
      <c r="AJ360" s="319" t="s">
        <v>2191</v>
      </c>
      <c r="AK360" s="274"/>
      <c r="AL360" s="319" t="s">
        <v>2190</v>
      </c>
      <c r="AM360" s="259" t="s">
        <v>1975</v>
      </c>
      <c r="AN360" s="259" t="b">
        <v>0</v>
      </c>
      <c r="AP360" s="274"/>
      <c r="AQ360" s="274"/>
      <c r="AR360" s="274"/>
      <c r="AT360" s="274"/>
      <c r="AU360" s="274"/>
      <c r="AZ360" s="274"/>
      <c r="BA360" s="259" t="s">
        <v>373</v>
      </c>
      <c r="BB360" s="259" t="s">
        <v>1610</v>
      </c>
      <c r="BC360" s="259" t="s">
        <v>2192</v>
      </c>
    </row>
    <row r="361" spans="1:55" ht="135">
      <c r="A361" s="259">
        <v>78</v>
      </c>
      <c r="B361" s="259" t="s">
        <v>2785</v>
      </c>
      <c r="C361" s="259" t="s">
        <v>2787</v>
      </c>
      <c r="D361" s="259" t="s">
        <v>8</v>
      </c>
      <c r="E361" s="259" t="s">
        <v>13</v>
      </c>
      <c r="F361" s="259" t="s">
        <v>1575</v>
      </c>
      <c r="G361" s="274">
        <v>44135</v>
      </c>
      <c r="H361" s="274"/>
      <c r="I361" s="274"/>
      <c r="N361" s="259" t="s">
        <v>122</v>
      </c>
      <c r="P361" s="259" t="s">
        <v>1554</v>
      </c>
      <c r="Q361" s="259" t="s">
        <v>2198</v>
      </c>
      <c r="R361" s="274">
        <v>44630.505335648151</v>
      </c>
      <c r="S361" s="321">
        <v>2020</v>
      </c>
      <c r="T361" s="259" t="s">
        <v>2001</v>
      </c>
      <c r="U361" s="259" t="s">
        <v>630</v>
      </c>
      <c r="V361" s="259" t="s">
        <v>631</v>
      </c>
      <c r="W361" s="259" t="s">
        <v>145</v>
      </c>
      <c r="X361" s="259" t="s">
        <v>309</v>
      </c>
      <c r="Y361" s="365">
        <v>44835</v>
      </c>
      <c r="Z361" s="259" t="s">
        <v>1875</v>
      </c>
      <c r="AA361" s="274"/>
      <c r="AB361" s="259" t="s">
        <v>139</v>
      </c>
      <c r="AC361" s="259" t="s">
        <v>1875</v>
      </c>
      <c r="AD361" s="259">
        <v>900</v>
      </c>
      <c r="AE361" s="259">
        <v>900</v>
      </c>
      <c r="AF361" s="274"/>
      <c r="AJ361" s="319" t="s">
        <v>2191</v>
      </c>
      <c r="AK361" s="274"/>
      <c r="AL361" s="319" t="s">
        <v>2190</v>
      </c>
      <c r="AM361" s="259" t="s">
        <v>1975</v>
      </c>
      <c r="AN361" s="259" t="b">
        <v>0</v>
      </c>
      <c r="AP361" s="274"/>
      <c r="AQ361" s="274"/>
      <c r="AR361" s="274"/>
      <c r="AT361" s="274"/>
      <c r="AU361" s="274"/>
      <c r="AZ361" s="274"/>
      <c r="BA361" s="259" t="s">
        <v>373</v>
      </c>
      <c r="BB361" s="259" t="s">
        <v>1610</v>
      </c>
      <c r="BC361" s="259" t="s">
        <v>2192</v>
      </c>
    </row>
    <row r="362" spans="1:55" ht="135">
      <c r="A362" s="259">
        <v>358</v>
      </c>
      <c r="B362" s="259" t="s">
        <v>2849</v>
      </c>
      <c r="C362" s="259" t="s">
        <v>2850</v>
      </c>
      <c r="D362" s="259" t="s">
        <v>8</v>
      </c>
      <c r="E362" s="259" t="s">
        <v>13</v>
      </c>
      <c r="F362" s="259" t="s">
        <v>1575</v>
      </c>
      <c r="G362" s="274">
        <v>44824</v>
      </c>
      <c r="H362" s="274"/>
      <c r="I362" s="274"/>
      <c r="N362" s="259" t="s">
        <v>122</v>
      </c>
      <c r="P362" s="259" t="s">
        <v>1554</v>
      </c>
      <c r="Q362" s="259" t="s">
        <v>2198</v>
      </c>
      <c r="R362" s="274">
        <v>44630.581828703704</v>
      </c>
      <c r="S362" s="321">
        <v>2022</v>
      </c>
      <c r="T362" s="259" t="s">
        <v>2001</v>
      </c>
      <c r="U362" s="259" t="s">
        <v>630</v>
      </c>
      <c r="V362" s="259" t="s">
        <v>631</v>
      </c>
      <c r="W362" s="259" t="s">
        <v>145</v>
      </c>
      <c r="X362" s="259" t="s">
        <v>309</v>
      </c>
      <c r="Y362" s="365">
        <v>44835</v>
      </c>
      <c r="Z362" s="259" t="s">
        <v>1875</v>
      </c>
      <c r="AA362" s="274"/>
      <c r="AB362" s="259" t="s">
        <v>139</v>
      </c>
      <c r="AC362" s="259" t="s">
        <v>1875</v>
      </c>
      <c r="AD362" s="259">
        <v>900</v>
      </c>
      <c r="AE362" s="259">
        <v>900</v>
      </c>
      <c r="AF362" s="274"/>
      <c r="AJ362" s="319" t="s">
        <v>2191</v>
      </c>
      <c r="AK362" s="274"/>
      <c r="AL362" s="319" t="s">
        <v>2190</v>
      </c>
      <c r="AM362" s="259" t="s">
        <v>1975</v>
      </c>
      <c r="AN362" s="259" t="b">
        <v>0</v>
      </c>
      <c r="AP362" s="274"/>
      <c r="AQ362" s="274"/>
      <c r="AR362" s="274"/>
      <c r="AT362" s="274"/>
      <c r="AU362" s="274"/>
      <c r="AZ362" s="274"/>
      <c r="BA362" s="259" t="s">
        <v>373</v>
      </c>
      <c r="BB362" s="259" t="s">
        <v>1610</v>
      </c>
      <c r="BC362" s="259" t="s">
        <v>2192</v>
      </c>
    </row>
    <row r="363" spans="1:55" ht="135">
      <c r="A363" s="259">
        <v>359</v>
      </c>
      <c r="B363" s="259" t="s">
        <v>2851</v>
      </c>
      <c r="C363" s="259" t="s">
        <v>2852</v>
      </c>
      <c r="D363" s="259" t="s">
        <v>8</v>
      </c>
      <c r="E363" s="259" t="s">
        <v>13</v>
      </c>
      <c r="F363" s="259" t="s">
        <v>1575</v>
      </c>
      <c r="G363" s="274">
        <v>44824</v>
      </c>
      <c r="H363" s="274"/>
      <c r="I363" s="274"/>
      <c r="N363" s="259" t="s">
        <v>122</v>
      </c>
      <c r="P363" s="259" t="s">
        <v>1554</v>
      </c>
      <c r="Q363" s="259" t="s">
        <v>2198</v>
      </c>
      <c r="R363" s="274">
        <v>44630.582129629627</v>
      </c>
      <c r="S363" s="321">
        <v>2022</v>
      </c>
      <c r="T363" s="259" t="s">
        <v>2001</v>
      </c>
      <c r="U363" s="259" t="s">
        <v>630</v>
      </c>
      <c r="V363" s="259" t="s">
        <v>631</v>
      </c>
      <c r="W363" s="259" t="s">
        <v>145</v>
      </c>
      <c r="X363" s="259" t="s">
        <v>309</v>
      </c>
      <c r="Y363" s="365">
        <v>44835</v>
      </c>
      <c r="Z363" s="259" t="s">
        <v>1875</v>
      </c>
      <c r="AA363" s="274"/>
      <c r="AB363" s="259" t="s">
        <v>139</v>
      </c>
      <c r="AC363" s="259" t="s">
        <v>1875</v>
      </c>
      <c r="AD363" s="259">
        <v>900</v>
      </c>
      <c r="AE363" s="259">
        <v>900</v>
      </c>
      <c r="AF363" s="274"/>
      <c r="AJ363" s="319" t="s">
        <v>2191</v>
      </c>
      <c r="AK363" s="274"/>
      <c r="AL363" s="319" t="s">
        <v>2190</v>
      </c>
      <c r="AM363" s="259" t="s">
        <v>1975</v>
      </c>
      <c r="AN363" s="259" t="b">
        <v>0</v>
      </c>
      <c r="AP363" s="274"/>
      <c r="AQ363" s="274"/>
      <c r="AR363" s="274"/>
      <c r="AT363" s="274"/>
      <c r="AU363" s="274"/>
      <c r="AZ363" s="274"/>
      <c r="BA363" s="259" t="s">
        <v>373</v>
      </c>
      <c r="BB363" s="259" t="s">
        <v>1610</v>
      </c>
      <c r="BC363" s="259" t="s">
        <v>2192</v>
      </c>
    </row>
    <row r="364" spans="1:55" ht="135">
      <c r="A364" s="259">
        <v>77</v>
      </c>
      <c r="B364" s="259" t="s">
        <v>2785</v>
      </c>
      <c r="C364" s="259" t="s">
        <v>2786</v>
      </c>
      <c r="D364" s="259" t="s">
        <v>8</v>
      </c>
      <c r="E364" s="259" t="s">
        <v>13</v>
      </c>
      <c r="F364" s="259" t="s">
        <v>1575</v>
      </c>
      <c r="G364" s="274">
        <v>44135</v>
      </c>
      <c r="H364" s="274"/>
      <c r="I364" s="274"/>
      <c r="N364" s="259" t="s">
        <v>122</v>
      </c>
      <c r="P364" s="259" t="s">
        <v>1554</v>
      </c>
      <c r="Q364" s="259" t="s">
        <v>2198</v>
      </c>
      <c r="R364" s="274">
        <v>44630.504872685182</v>
      </c>
      <c r="S364" s="321">
        <v>2020</v>
      </c>
      <c r="T364" s="259" t="s">
        <v>2001</v>
      </c>
      <c r="U364" s="259" t="s">
        <v>630</v>
      </c>
      <c r="V364" s="259" t="s">
        <v>631</v>
      </c>
      <c r="W364" s="259" t="s">
        <v>145</v>
      </c>
      <c r="X364" s="259" t="s">
        <v>309</v>
      </c>
      <c r="Y364" s="365">
        <v>44835</v>
      </c>
      <c r="Z364" s="259" t="s">
        <v>1875</v>
      </c>
      <c r="AA364" s="274"/>
      <c r="AB364" s="259" t="s">
        <v>139</v>
      </c>
      <c r="AC364" s="259" t="s">
        <v>1875</v>
      </c>
      <c r="AD364" s="259">
        <v>900</v>
      </c>
      <c r="AE364" s="259">
        <v>900</v>
      </c>
      <c r="AF364" s="274"/>
      <c r="AJ364" s="319" t="s">
        <v>2191</v>
      </c>
      <c r="AK364" s="274"/>
      <c r="AL364" s="319" t="s">
        <v>2190</v>
      </c>
      <c r="AM364" s="259" t="s">
        <v>1975</v>
      </c>
      <c r="AN364" s="259" t="b">
        <v>0</v>
      </c>
      <c r="AP364" s="274"/>
      <c r="AQ364" s="274"/>
      <c r="AR364" s="274"/>
      <c r="AT364" s="274"/>
      <c r="AU364" s="274"/>
      <c r="AZ364" s="274"/>
      <c r="BA364" s="259" t="s">
        <v>373</v>
      </c>
      <c r="BB364" s="259" t="s">
        <v>1610</v>
      </c>
      <c r="BC364" s="259" t="s">
        <v>2192</v>
      </c>
    </row>
    <row r="365" spans="1:55" ht="135">
      <c r="A365" s="259">
        <v>368</v>
      </c>
      <c r="B365" s="259" t="s">
        <v>2853</v>
      </c>
      <c r="C365" s="259" t="s">
        <v>2854</v>
      </c>
      <c r="D365" s="259" t="s">
        <v>8</v>
      </c>
      <c r="E365" s="259" t="s">
        <v>13</v>
      </c>
      <c r="F365" s="259" t="s">
        <v>1575</v>
      </c>
      <c r="G365" s="274">
        <v>44832</v>
      </c>
      <c r="H365" s="274"/>
      <c r="I365" s="274"/>
      <c r="N365" s="259" t="s">
        <v>122</v>
      </c>
      <c r="P365" s="259" t="s">
        <v>1554</v>
      </c>
      <c r="Q365" s="259" t="s">
        <v>2198</v>
      </c>
      <c r="R365" s="274">
        <v>44630.583738425928</v>
      </c>
      <c r="S365" s="321">
        <v>2022</v>
      </c>
      <c r="T365" s="259" t="s">
        <v>2001</v>
      </c>
      <c r="U365" s="259" t="s">
        <v>630</v>
      </c>
      <c r="V365" s="259" t="s">
        <v>631</v>
      </c>
      <c r="W365" s="259" t="s">
        <v>145</v>
      </c>
      <c r="X365" s="259" t="s">
        <v>309</v>
      </c>
      <c r="Y365" s="365">
        <v>44835</v>
      </c>
      <c r="Z365" s="259" t="s">
        <v>1875</v>
      </c>
      <c r="AA365" s="274"/>
      <c r="AB365" s="259" t="s">
        <v>139</v>
      </c>
      <c r="AC365" s="259" t="s">
        <v>1875</v>
      </c>
      <c r="AD365" s="259">
        <v>900</v>
      </c>
      <c r="AE365" s="259">
        <v>900</v>
      </c>
      <c r="AF365" s="274"/>
      <c r="AJ365" s="319" t="s">
        <v>2191</v>
      </c>
      <c r="AK365" s="274"/>
      <c r="AL365" s="319" t="s">
        <v>2190</v>
      </c>
      <c r="AM365" s="259" t="s">
        <v>1975</v>
      </c>
      <c r="AN365" s="259" t="b">
        <v>0</v>
      </c>
      <c r="AP365" s="274"/>
      <c r="AQ365" s="274"/>
      <c r="AR365" s="274"/>
      <c r="AT365" s="274"/>
      <c r="AU365" s="274"/>
      <c r="AZ365" s="274"/>
      <c r="BA365" s="259" t="s">
        <v>373</v>
      </c>
      <c r="BB365" s="259" t="s">
        <v>1610</v>
      </c>
      <c r="BC365" s="259" t="s">
        <v>2192</v>
      </c>
    </row>
    <row r="366" spans="1:55" ht="135">
      <c r="A366" s="259">
        <v>321</v>
      </c>
      <c r="B366" s="259" t="s">
        <v>2781</v>
      </c>
      <c r="C366" s="259" t="s">
        <v>2782</v>
      </c>
      <c r="D366" s="259" t="s">
        <v>8</v>
      </c>
      <c r="E366" s="259" t="s">
        <v>13</v>
      </c>
      <c r="F366" s="259" t="s">
        <v>1575</v>
      </c>
      <c r="G366" s="274">
        <v>44784</v>
      </c>
      <c r="H366" s="274"/>
      <c r="I366" s="274"/>
      <c r="N366" s="259" t="s">
        <v>122</v>
      </c>
      <c r="P366" s="259" t="s">
        <v>1554</v>
      </c>
      <c r="Q366" s="259" t="s">
        <v>2198</v>
      </c>
      <c r="R366" s="274">
        <v>44630.50141203704</v>
      </c>
      <c r="S366" s="321">
        <v>2022</v>
      </c>
      <c r="T366" s="259" t="s">
        <v>2001</v>
      </c>
      <c r="U366" s="259" t="s">
        <v>630</v>
      </c>
      <c r="V366" s="259" t="s">
        <v>631</v>
      </c>
      <c r="W366" s="259" t="s">
        <v>145</v>
      </c>
      <c r="X366" s="259" t="s">
        <v>309</v>
      </c>
      <c r="Y366" s="365">
        <v>44835</v>
      </c>
      <c r="Z366" s="259" t="s">
        <v>1875</v>
      </c>
      <c r="AA366" s="274"/>
      <c r="AB366" s="259" t="s">
        <v>139</v>
      </c>
      <c r="AC366" s="259" t="s">
        <v>1875</v>
      </c>
      <c r="AD366" s="259">
        <v>900</v>
      </c>
      <c r="AE366" s="259">
        <v>900</v>
      </c>
      <c r="AF366" s="274"/>
      <c r="AJ366" s="319" t="s">
        <v>2191</v>
      </c>
      <c r="AK366" s="274"/>
      <c r="AL366" s="319" t="s">
        <v>2190</v>
      </c>
      <c r="AM366" s="259" t="s">
        <v>1975</v>
      </c>
      <c r="AN366" s="259" t="b">
        <v>0</v>
      </c>
      <c r="AP366" s="274"/>
      <c r="AQ366" s="274"/>
      <c r="AR366" s="274"/>
      <c r="AT366" s="274"/>
      <c r="AU366" s="274"/>
      <c r="AZ366" s="274"/>
      <c r="BA366" s="259" t="s">
        <v>373</v>
      </c>
      <c r="BB366" s="259" t="s">
        <v>1610</v>
      </c>
      <c r="BC366" s="259" t="s">
        <v>2192</v>
      </c>
    </row>
    <row r="367" spans="1:55" ht="135">
      <c r="A367" s="259">
        <v>72</v>
      </c>
      <c r="B367" s="259" t="s">
        <v>2630</v>
      </c>
      <c r="C367" s="259" t="s">
        <v>2631</v>
      </c>
      <c r="D367" s="259" t="s">
        <v>8</v>
      </c>
      <c r="E367" s="259" t="s">
        <v>13</v>
      </c>
      <c r="F367" s="259" t="s">
        <v>1578</v>
      </c>
      <c r="G367" s="274">
        <v>44109</v>
      </c>
      <c r="H367" s="274"/>
      <c r="I367" s="274"/>
      <c r="N367" s="259" t="s">
        <v>126</v>
      </c>
      <c r="P367" s="259" t="s">
        <v>1554</v>
      </c>
      <c r="Q367" s="259" t="s">
        <v>2198</v>
      </c>
      <c r="R367" s="274">
        <v>44630.426828703705</v>
      </c>
      <c r="S367" s="321">
        <v>2020</v>
      </c>
      <c r="T367" s="259" t="s">
        <v>2001</v>
      </c>
      <c r="U367" s="259" t="s">
        <v>630</v>
      </c>
      <c r="V367" s="259" t="s">
        <v>631</v>
      </c>
      <c r="W367" s="259" t="s">
        <v>145</v>
      </c>
      <c r="X367" s="259" t="s">
        <v>309</v>
      </c>
      <c r="Y367" s="365">
        <v>44835</v>
      </c>
      <c r="Z367" s="259" t="s">
        <v>1875</v>
      </c>
      <c r="AA367" s="274"/>
      <c r="AB367" s="259" t="s">
        <v>139</v>
      </c>
      <c r="AC367" s="259" t="s">
        <v>1875</v>
      </c>
      <c r="AD367" s="259">
        <v>900</v>
      </c>
      <c r="AE367" s="259">
        <v>900</v>
      </c>
      <c r="AF367" s="274"/>
      <c r="AJ367" s="319" t="s">
        <v>2191</v>
      </c>
      <c r="AK367" s="274"/>
      <c r="AL367" s="319" t="s">
        <v>2190</v>
      </c>
      <c r="AM367" s="259" t="s">
        <v>1975</v>
      </c>
      <c r="AN367" s="259" t="b">
        <v>0</v>
      </c>
      <c r="AP367" s="274"/>
      <c r="AQ367" s="274"/>
      <c r="AR367" s="274"/>
      <c r="AT367" s="274"/>
      <c r="AU367" s="274"/>
      <c r="AZ367" s="274"/>
      <c r="BA367" s="259" t="s">
        <v>373</v>
      </c>
      <c r="BB367" s="259" t="s">
        <v>1610</v>
      </c>
      <c r="BC367" s="259" t="s">
        <v>2192</v>
      </c>
    </row>
    <row r="368" spans="1:55" ht="135">
      <c r="A368" s="259">
        <v>68</v>
      </c>
      <c r="B368" s="259" t="s">
        <v>2788</v>
      </c>
      <c r="C368" s="259" t="s">
        <v>2789</v>
      </c>
      <c r="D368" s="259" t="s">
        <v>8</v>
      </c>
      <c r="E368" s="259" t="s">
        <v>13</v>
      </c>
      <c r="F368" s="259" t="s">
        <v>1580</v>
      </c>
      <c r="G368" s="274">
        <v>44061</v>
      </c>
      <c r="H368" s="274"/>
      <c r="I368" s="274"/>
      <c r="N368" s="259" t="s">
        <v>126</v>
      </c>
      <c r="P368" s="259" t="s">
        <v>1554</v>
      </c>
      <c r="Q368" s="259" t="s">
        <v>2198</v>
      </c>
      <c r="R368" s="274">
        <v>44630.506898148145</v>
      </c>
      <c r="S368" s="321">
        <v>2020</v>
      </c>
      <c r="T368" s="259" t="s">
        <v>2001</v>
      </c>
      <c r="U368" s="259" t="s">
        <v>630</v>
      </c>
      <c r="V368" s="259" t="s">
        <v>631</v>
      </c>
      <c r="W368" s="259" t="s">
        <v>145</v>
      </c>
      <c r="X368" s="259" t="s">
        <v>309</v>
      </c>
      <c r="Y368" s="365">
        <v>44835</v>
      </c>
      <c r="Z368" s="259" t="s">
        <v>1875</v>
      </c>
      <c r="AA368" s="274"/>
      <c r="AB368" s="259" t="s">
        <v>139</v>
      </c>
      <c r="AC368" s="259" t="s">
        <v>1875</v>
      </c>
      <c r="AD368" s="259">
        <v>900</v>
      </c>
      <c r="AE368" s="259">
        <v>900</v>
      </c>
      <c r="AF368" s="274"/>
      <c r="AJ368" s="319" t="s">
        <v>2191</v>
      </c>
      <c r="AK368" s="274"/>
      <c r="AL368" s="319" t="s">
        <v>2190</v>
      </c>
      <c r="AM368" s="259" t="s">
        <v>1975</v>
      </c>
      <c r="AN368" s="259" t="b">
        <v>0</v>
      </c>
      <c r="AP368" s="274"/>
      <c r="AQ368" s="274"/>
      <c r="AR368" s="274"/>
      <c r="AT368" s="274"/>
      <c r="AU368" s="274"/>
      <c r="AZ368" s="274"/>
      <c r="BA368" s="259" t="s">
        <v>373</v>
      </c>
      <c r="BB368" s="259" t="s">
        <v>1610</v>
      </c>
      <c r="BC368" s="259" t="s">
        <v>2192</v>
      </c>
    </row>
    <row r="369" spans="1:55" ht="135">
      <c r="A369" s="259">
        <v>330</v>
      </c>
      <c r="B369" s="259" t="s">
        <v>2394</v>
      </c>
      <c r="C369" s="259" t="s">
        <v>2794</v>
      </c>
      <c r="D369" s="259" t="s">
        <v>8</v>
      </c>
      <c r="E369" s="259" t="s">
        <v>13</v>
      </c>
      <c r="F369" s="259" t="s">
        <v>1580</v>
      </c>
      <c r="G369" s="274">
        <v>44795</v>
      </c>
      <c r="H369" s="274"/>
      <c r="I369" s="274"/>
      <c r="N369" s="259" t="s">
        <v>122</v>
      </c>
      <c r="P369" s="259" t="s">
        <v>1554</v>
      </c>
      <c r="Q369" s="259" t="s">
        <v>2198</v>
      </c>
      <c r="R369" s="274">
        <v>44630.50949074074</v>
      </c>
      <c r="S369" s="321">
        <v>2022</v>
      </c>
      <c r="T369" s="259" t="s">
        <v>2001</v>
      </c>
      <c r="U369" s="259" t="s">
        <v>630</v>
      </c>
      <c r="V369" s="259" t="s">
        <v>631</v>
      </c>
      <c r="W369" s="259" t="s">
        <v>145</v>
      </c>
      <c r="X369" s="259" t="s">
        <v>309</v>
      </c>
      <c r="Y369" s="365">
        <v>44835</v>
      </c>
      <c r="Z369" s="259" t="s">
        <v>1875</v>
      </c>
      <c r="AA369" s="274"/>
      <c r="AB369" s="259" t="s">
        <v>139</v>
      </c>
      <c r="AC369" s="259" t="s">
        <v>1875</v>
      </c>
      <c r="AD369" s="259">
        <v>900</v>
      </c>
      <c r="AE369" s="259">
        <v>900</v>
      </c>
      <c r="AF369" s="274"/>
      <c r="AJ369" s="319" t="s">
        <v>2191</v>
      </c>
      <c r="AK369" s="274"/>
      <c r="AL369" s="319" t="s">
        <v>2190</v>
      </c>
      <c r="AM369" s="259" t="s">
        <v>1975</v>
      </c>
      <c r="AN369" s="259" t="b">
        <v>0</v>
      </c>
      <c r="AP369" s="274"/>
      <c r="AQ369" s="274"/>
      <c r="AR369" s="274"/>
      <c r="AT369" s="274"/>
      <c r="AU369" s="274"/>
      <c r="AZ369" s="274"/>
      <c r="BA369" s="259" t="s">
        <v>373</v>
      </c>
      <c r="BB369" s="259" t="s">
        <v>1610</v>
      </c>
      <c r="BC369" s="259" t="s">
        <v>2192</v>
      </c>
    </row>
    <row r="370" spans="1:55" ht="135">
      <c r="A370" s="259">
        <v>266</v>
      </c>
      <c r="B370" s="259" t="s">
        <v>2791</v>
      </c>
      <c r="C370" s="259" t="s">
        <v>2792</v>
      </c>
      <c r="D370" s="259" t="s">
        <v>8</v>
      </c>
      <c r="E370" s="259" t="s">
        <v>13</v>
      </c>
      <c r="F370" s="259" t="s">
        <v>1580</v>
      </c>
      <c r="G370" s="274">
        <v>44702</v>
      </c>
      <c r="H370" s="274"/>
      <c r="I370" s="274"/>
      <c r="N370" s="259" t="s">
        <v>98</v>
      </c>
      <c r="P370" s="259" t="s">
        <v>1554</v>
      </c>
      <c r="Q370" s="259" t="s">
        <v>2198</v>
      </c>
      <c r="R370" s="274">
        <v>44630.507824074077</v>
      </c>
      <c r="S370" s="321">
        <v>2022</v>
      </c>
      <c r="T370" s="259" t="s">
        <v>2001</v>
      </c>
      <c r="U370" s="259" t="s">
        <v>630</v>
      </c>
      <c r="V370" s="259" t="s">
        <v>631</v>
      </c>
      <c r="W370" s="259" t="s">
        <v>145</v>
      </c>
      <c r="X370" s="259" t="s">
        <v>309</v>
      </c>
      <c r="Y370" s="365">
        <v>44835</v>
      </c>
      <c r="Z370" s="259" t="s">
        <v>1875</v>
      </c>
      <c r="AA370" s="274"/>
      <c r="AB370" s="259" t="s">
        <v>139</v>
      </c>
      <c r="AC370" s="259" t="s">
        <v>1875</v>
      </c>
      <c r="AD370" s="259">
        <v>900</v>
      </c>
      <c r="AE370" s="259">
        <v>900</v>
      </c>
      <c r="AF370" s="274"/>
      <c r="AJ370" s="319" t="s">
        <v>2191</v>
      </c>
      <c r="AK370" s="274"/>
      <c r="AL370" s="319" t="s">
        <v>2190</v>
      </c>
      <c r="AM370" s="259" t="s">
        <v>1975</v>
      </c>
      <c r="AN370" s="259" t="b">
        <v>0</v>
      </c>
      <c r="AP370" s="274"/>
      <c r="AQ370" s="274"/>
      <c r="AR370" s="274"/>
      <c r="AT370" s="274"/>
      <c r="AU370" s="274"/>
      <c r="AZ370" s="274"/>
      <c r="BA370" s="259" t="s">
        <v>373</v>
      </c>
      <c r="BB370" s="259" t="s">
        <v>1610</v>
      </c>
      <c r="BC370" s="259" t="s">
        <v>2192</v>
      </c>
    </row>
    <row r="371" spans="1:55" ht="135">
      <c r="A371" s="259">
        <v>336</v>
      </c>
      <c r="B371" s="259" t="s">
        <v>2795</v>
      </c>
      <c r="C371" s="259" t="s">
        <v>2796</v>
      </c>
      <c r="D371" s="259" t="s">
        <v>8</v>
      </c>
      <c r="E371" s="259" t="s">
        <v>13</v>
      </c>
      <c r="F371" s="259" t="s">
        <v>1580</v>
      </c>
      <c r="G371" s="274">
        <v>44797</v>
      </c>
      <c r="H371" s="274"/>
      <c r="I371" s="274"/>
      <c r="N371" s="259" t="s">
        <v>122</v>
      </c>
      <c r="P371" s="259" t="s">
        <v>1554</v>
      </c>
      <c r="Q371" s="259" t="s">
        <v>2198</v>
      </c>
      <c r="R371" s="274">
        <v>44630.50984953704</v>
      </c>
      <c r="S371" s="321">
        <v>2022</v>
      </c>
      <c r="T371" s="259" t="s">
        <v>2001</v>
      </c>
      <c r="U371" s="259" t="s">
        <v>630</v>
      </c>
      <c r="V371" s="259" t="s">
        <v>631</v>
      </c>
      <c r="W371" s="259" t="s">
        <v>145</v>
      </c>
      <c r="X371" s="259" t="s">
        <v>309</v>
      </c>
      <c r="Y371" s="365">
        <v>44835</v>
      </c>
      <c r="Z371" s="259" t="s">
        <v>1875</v>
      </c>
      <c r="AA371" s="274"/>
      <c r="AB371" s="259" t="s">
        <v>139</v>
      </c>
      <c r="AC371" s="259" t="s">
        <v>1875</v>
      </c>
      <c r="AD371" s="259">
        <v>900</v>
      </c>
      <c r="AE371" s="259">
        <v>900</v>
      </c>
      <c r="AF371" s="274"/>
      <c r="AJ371" s="319" t="s">
        <v>2191</v>
      </c>
      <c r="AK371" s="274"/>
      <c r="AL371" s="319" t="s">
        <v>2190</v>
      </c>
      <c r="AM371" s="259" t="s">
        <v>1975</v>
      </c>
      <c r="AN371" s="259" t="b">
        <v>0</v>
      </c>
      <c r="AP371" s="274"/>
      <c r="AQ371" s="274"/>
      <c r="AR371" s="274"/>
      <c r="AT371" s="274"/>
      <c r="AU371" s="274"/>
      <c r="AZ371" s="274"/>
      <c r="BA371" s="259" t="s">
        <v>373</v>
      </c>
      <c r="BB371" s="259" t="s">
        <v>1610</v>
      </c>
      <c r="BC371" s="259" t="s">
        <v>2192</v>
      </c>
    </row>
    <row r="372" spans="1:55" ht="135">
      <c r="A372" s="259">
        <v>337</v>
      </c>
      <c r="B372" s="259" t="s">
        <v>2797</v>
      </c>
      <c r="C372" s="259" t="s">
        <v>2673</v>
      </c>
      <c r="D372" s="259" t="s">
        <v>8</v>
      </c>
      <c r="E372" s="259" t="s">
        <v>13</v>
      </c>
      <c r="F372" s="259" t="s">
        <v>1580</v>
      </c>
      <c r="G372" s="274">
        <v>44797</v>
      </c>
      <c r="H372" s="274"/>
      <c r="I372" s="274"/>
      <c r="N372" s="259" t="s">
        <v>122</v>
      </c>
      <c r="P372" s="259" t="s">
        <v>1554</v>
      </c>
      <c r="Q372" s="259" t="s">
        <v>2198</v>
      </c>
      <c r="R372" s="274">
        <v>44630.510162037041</v>
      </c>
      <c r="S372" s="321">
        <v>2022</v>
      </c>
      <c r="T372" s="259" t="s">
        <v>2001</v>
      </c>
      <c r="U372" s="259" t="s">
        <v>630</v>
      </c>
      <c r="V372" s="259" t="s">
        <v>631</v>
      </c>
      <c r="W372" s="259" t="s">
        <v>145</v>
      </c>
      <c r="X372" s="259" t="s">
        <v>309</v>
      </c>
      <c r="Y372" s="365">
        <v>44835</v>
      </c>
      <c r="Z372" s="259" t="s">
        <v>1875</v>
      </c>
      <c r="AA372" s="274"/>
      <c r="AB372" s="259" t="s">
        <v>139</v>
      </c>
      <c r="AC372" s="259" t="s">
        <v>1875</v>
      </c>
      <c r="AD372" s="259">
        <v>900</v>
      </c>
      <c r="AE372" s="259">
        <v>900</v>
      </c>
      <c r="AF372" s="274"/>
      <c r="AJ372" s="319" t="s">
        <v>2191</v>
      </c>
      <c r="AK372" s="274"/>
      <c r="AL372" s="319" t="s">
        <v>2190</v>
      </c>
      <c r="AM372" s="259" t="s">
        <v>1975</v>
      </c>
      <c r="AN372" s="259" t="b">
        <v>0</v>
      </c>
      <c r="AP372" s="274"/>
      <c r="AQ372" s="274"/>
      <c r="AR372" s="274"/>
      <c r="AT372" s="274"/>
      <c r="AU372" s="274"/>
      <c r="AZ372" s="274"/>
      <c r="BA372" s="259" t="s">
        <v>373</v>
      </c>
      <c r="BB372" s="259" t="s">
        <v>1610</v>
      </c>
      <c r="BC372" s="259" t="s">
        <v>2192</v>
      </c>
    </row>
    <row r="373" spans="1:55" ht="135">
      <c r="A373" s="259">
        <v>308</v>
      </c>
      <c r="B373" s="259" t="s">
        <v>2392</v>
      </c>
      <c r="C373" s="259" t="s">
        <v>2793</v>
      </c>
      <c r="D373" s="259" t="s">
        <v>8</v>
      </c>
      <c r="E373" s="259" t="s">
        <v>13</v>
      </c>
      <c r="F373" s="259" t="s">
        <v>1580</v>
      </c>
      <c r="G373" s="274">
        <v>44747</v>
      </c>
      <c r="H373" s="274"/>
      <c r="I373" s="274"/>
      <c r="N373" s="259" t="s">
        <v>98</v>
      </c>
      <c r="P373" s="259" t="s">
        <v>1554</v>
      </c>
      <c r="Q373" s="259" t="s">
        <v>2198</v>
      </c>
      <c r="R373" s="274">
        <v>44630.508715277778</v>
      </c>
      <c r="S373" s="321">
        <v>2022</v>
      </c>
      <c r="T373" s="259" t="s">
        <v>2001</v>
      </c>
      <c r="U373" s="259" t="s">
        <v>630</v>
      </c>
      <c r="V373" s="259" t="s">
        <v>631</v>
      </c>
      <c r="W373" s="259" t="s">
        <v>145</v>
      </c>
      <c r="X373" s="259" t="s">
        <v>309</v>
      </c>
      <c r="Y373" s="365">
        <v>44835</v>
      </c>
      <c r="Z373" s="259" t="s">
        <v>1875</v>
      </c>
      <c r="AA373" s="274"/>
      <c r="AB373" s="259" t="s">
        <v>139</v>
      </c>
      <c r="AC373" s="259" t="s">
        <v>1875</v>
      </c>
      <c r="AD373" s="259">
        <v>900</v>
      </c>
      <c r="AE373" s="259">
        <v>900</v>
      </c>
      <c r="AF373" s="274"/>
      <c r="AJ373" s="319" t="s">
        <v>2191</v>
      </c>
      <c r="AK373" s="274"/>
      <c r="AL373" s="319" t="s">
        <v>2190</v>
      </c>
      <c r="AM373" s="259" t="s">
        <v>1975</v>
      </c>
      <c r="AN373" s="259" t="b">
        <v>0</v>
      </c>
      <c r="AP373" s="274"/>
      <c r="AQ373" s="274"/>
      <c r="AR373" s="274"/>
      <c r="AT373" s="274"/>
      <c r="AU373" s="274"/>
      <c r="AZ373" s="274"/>
      <c r="BA373" s="259" t="s">
        <v>373</v>
      </c>
      <c r="BB373" s="259" t="s">
        <v>1610</v>
      </c>
      <c r="BC373" s="259" t="s">
        <v>2192</v>
      </c>
    </row>
    <row r="374" spans="1:55" ht="135">
      <c r="A374" s="259">
        <v>241</v>
      </c>
      <c r="B374" s="259" t="s">
        <v>2398</v>
      </c>
      <c r="C374" s="259" t="s">
        <v>2790</v>
      </c>
      <c r="D374" s="259" t="s">
        <v>8</v>
      </c>
      <c r="E374" s="259" t="s">
        <v>13</v>
      </c>
      <c r="F374" s="259" t="s">
        <v>1580</v>
      </c>
      <c r="G374" s="274">
        <v>44639</v>
      </c>
      <c r="H374" s="274"/>
      <c r="I374" s="274"/>
      <c r="N374" s="259" t="s">
        <v>98</v>
      </c>
      <c r="P374" s="259" t="s">
        <v>1554</v>
      </c>
      <c r="Q374" s="259" t="s">
        <v>2198</v>
      </c>
      <c r="R374" s="274">
        <v>44630.507361111115</v>
      </c>
      <c r="S374" s="321">
        <v>2022</v>
      </c>
      <c r="T374" s="259" t="s">
        <v>2001</v>
      </c>
      <c r="U374" s="259" t="s">
        <v>630</v>
      </c>
      <c r="V374" s="259" t="s">
        <v>631</v>
      </c>
      <c r="W374" s="259" t="s">
        <v>145</v>
      </c>
      <c r="X374" s="259" t="s">
        <v>309</v>
      </c>
      <c r="Y374" s="365">
        <v>44835</v>
      </c>
      <c r="Z374" s="259" t="s">
        <v>1875</v>
      </c>
      <c r="AA374" s="274"/>
      <c r="AB374" s="259" t="s">
        <v>139</v>
      </c>
      <c r="AC374" s="259" t="s">
        <v>1875</v>
      </c>
      <c r="AD374" s="259">
        <v>900</v>
      </c>
      <c r="AE374" s="259">
        <v>900</v>
      </c>
      <c r="AF374" s="274"/>
      <c r="AJ374" s="319" t="s">
        <v>2191</v>
      </c>
      <c r="AK374" s="274"/>
      <c r="AL374" s="319" t="s">
        <v>2190</v>
      </c>
      <c r="AM374" s="259" t="s">
        <v>1975</v>
      </c>
      <c r="AN374" s="259" t="b">
        <v>0</v>
      </c>
      <c r="AP374" s="274"/>
      <c r="AQ374" s="274"/>
      <c r="AR374" s="274"/>
      <c r="AT374" s="274"/>
      <c r="AU374" s="274"/>
      <c r="AZ374" s="274"/>
      <c r="BA374" s="259" t="s">
        <v>373</v>
      </c>
      <c r="BB374" s="259" t="s">
        <v>1610</v>
      </c>
      <c r="BC374" s="259" t="s">
        <v>2192</v>
      </c>
    </row>
    <row r="375" spans="1:55" ht="135">
      <c r="A375" s="259">
        <v>310</v>
      </c>
      <c r="B375" s="259" t="s">
        <v>2675</v>
      </c>
      <c r="C375" s="259" t="s">
        <v>2676</v>
      </c>
      <c r="D375" s="259" t="s">
        <v>8</v>
      </c>
      <c r="E375" s="259" t="s">
        <v>13</v>
      </c>
      <c r="F375" s="259" t="s">
        <v>1868</v>
      </c>
      <c r="G375" s="274">
        <v>44747</v>
      </c>
      <c r="H375" s="274"/>
      <c r="I375" s="274"/>
      <c r="N375" s="259" t="s">
        <v>126</v>
      </c>
      <c r="P375" s="259" t="s">
        <v>1554</v>
      </c>
      <c r="Q375" s="259" t="s">
        <v>2198</v>
      </c>
      <c r="R375" s="274">
        <v>44630.447291666664</v>
      </c>
      <c r="S375" s="321">
        <v>2022</v>
      </c>
      <c r="T375" s="259" t="s">
        <v>2001</v>
      </c>
      <c r="U375" s="259" t="s">
        <v>630</v>
      </c>
      <c r="V375" s="259" t="s">
        <v>631</v>
      </c>
      <c r="W375" s="259" t="s">
        <v>145</v>
      </c>
      <c r="X375" s="259" t="s">
        <v>309</v>
      </c>
      <c r="Y375" s="365">
        <v>44835</v>
      </c>
      <c r="Z375" s="259" t="s">
        <v>1875</v>
      </c>
      <c r="AA375" s="274"/>
      <c r="AB375" s="259" t="s">
        <v>139</v>
      </c>
      <c r="AC375" s="259" t="s">
        <v>1875</v>
      </c>
      <c r="AD375" s="259">
        <v>900</v>
      </c>
      <c r="AE375" s="259">
        <v>900</v>
      </c>
      <c r="AF375" s="274"/>
      <c r="AJ375" s="319" t="s">
        <v>2191</v>
      </c>
      <c r="AK375" s="274"/>
      <c r="AL375" s="319" t="s">
        <v>2190</v>
      </c>
      <c r="AM375" s="259" t="s">
        <v>1975</v>
      </c>
      <c r="AN375" s="259" t="b">
        <v>0</v>
      </c>
      <c r="AP375" s="274"/>
      <c r="AQ375" s="274"/>
      <c r="AR375" s="274"/>
      <c r="AT375" s="274"/>
      <c r="AU375" s="274"/>
      <c r="AZ375" s="274"/>
      <c r="BA375" s="259" t="s">
        <v>373</v>
      </c>
      <c r="BB375" s="259" t="s">
        <v>1610</v>
      </c>
      <c r="BC375" s="259" t="s">
        <v>2192</v>
      </c>
    </row>
  </sheetData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C16"/>
  <sheetViews>
    <sheetView zoomScale="130" zoomScaleNormal="130" workbookViewId="0">
      <selection activeCell="A2" sqref="A2:AB16"/>
    </sheetView>
  </sheetViews>
  <sheetFormatPr defaultRowHeight="15"/>
  <cols>
    <col min="2" max="2" width="25.85546875" customWidth="1"/>
    <col min="3" max="3" width="33.42578125" customWidth="1"/>
    <col min="5" max="5" width="17.140625" customWidth="1"/>
    <col min="6" max="6" width="18.7109375" customWidth="1"/>
    <col min="7" max="7" width="9.28515625" bestFit="1" customWidth="1"/>
    <col min="10" max="10" width="19.5703125" customWidth="1"/>
    <col min="11" max="11" width="10.5703125" bestFit="1" customWidth="1"/>
    <col min="25" max="25" width="15.5703125" customWidth="1"/>
  </cols>
  <sheetData>
    <row r="1" spans="1:55" ht="89.25">
      <c r="A1" s="174" t="s">
        <v>2009</v>
      </c>
      <c r="B1" s="175" t="s">
        <v>4</v>
      </c>
      <c r="C1" s="175" t="s">
        <v>5</v>
      </c>
      <c r="D1" s="176" t="s">
        <v>6</v>
      </c>
      <c r="E1" s="176" t="s">
        <v>7</v>
      </c>
      <c r="F1" s="176" t="s">
        <v>14</v>
      </c>
      <c r="G1" s="177" t="s">
        <v>35</v>
      </c>
      <c r="H1" s="174" t="s">
        <v>36</v>
      </c>
      <c r="I1" s="174" t="s">
        <v>1552</v>
      </c>
      <c r="J1" s="176" t="s">
        <v>378</v>
      </c>
      <c r="K1" s="174" t="s">
        <v>37</v>
      </c>
      <c r="L1" s="176" t="s">
        <v>1551</v>
      </c>
      <c r="M1" s="176" t="s">
        <v>38</v>
      </c>
      <c r="N1" s="176" t="s">
        <v>1897</v>
      </c>
      <c r="O1" s="176" t="s">
        <v>39</v>
      </c>
      <c r="P1" s="176" t="s">
        <v>1553</v>
      </c>
      <c r="Q1" s="176" t="s">
        <v>1</v>
      </c>
      <c r="R1" s="176" t="s">
        <v>2</v>
      </c>
      <c r="S1" s="174" t="s">
        <v>1642</v>
      </c>
      <c r="T1" s="176" t="s">
        <v>1643</v>
      </c>
      <c r="U1" s="176" t="s">
        <v>390</v>
      </c>
      <c r="V1" s="176" t="s">
        <v>1894</v>
      </c>
      <c r="W1" s="176" t="s">
        <v>1895</v>
      </c>
      <c r="X1" s="176" t="s">
        <v>1488</v>
      </c>
      <c r="Y1" s="176" t="s">
        <v>1896</v>
      </c>
      <c r="Z1" s="176" t="s">
        <v>1867</v>
      </c>
      <c r="AA1" s="176" t="s">
        <v>1866</v>
      </c>
      <c r="AB1" s="178" t="s">
        <v>1486</v>
      </c>
      <c r="AC1" s="178" t="s">
        <v>1489</v>
      </c>
      <c r="AD1" s="178" t="s">
        <v>1863</v>
      </c>
      <c r="AE1" s="178" t="s">
        <v>1864</v>
      </c>
      <c r="AF1" s="178" t="s">
        <v>1892</v>
      </c>
      <c r="AG1" s="178" t="s">
        <v>1893</v>
      </c>
      <c r="AH1" s="184" t="s">
        <v>1902</v>
      </c>
      <c r="AI1" s="184" t="s">
        <v>1903</v>
      </c>
      <c r="AJ1" s="184" t="s">
        <v>1904</v>
      </c>
      <c r="AK1" s="184" t="s">
        <v>1905</v>
      </c>
      <c r="AL1" s="184" t="s">
        <v>1906</v>
      </c>
      <c r="AM1" s="210" t="s">
        <v>1958</v>
      </c>
      <c r="AN1" s="210" t="s">
        <v>1956</v>
      </c>
      <c r="AO1" s="208" t="s">
        <v>1996</v>
      </c>
      <c r="AP1" s="209" t="s">
        <v>1946</v>
      </c>
      <c r="AQ1" s="209" t="s">
        <v>1947</v>
      </c>
      <c r="AR1" s="209" t="s">
        <v>1948</v>
      </c>
      <c r="AS1" s="209" t="s">
        <v>1957</v>
      </c>
      <c r="AT1" s="209" t="s">
        <v>1997</v>
      </c>
      <c r="AU1" s="208" t="s">
        <v>1950</v>
      </c>
      <c r="AV1" s="208" t="s">
        <v>1998</v>
      </c>
      <c r="AW1" s="208" t="s">
        <v>1952</v>
      </c>
      <c r="AX1" s="208" t="s">
        <v>1953</v>
      </c>
      <c r="AY1" s="208" t="s">
        <v>1999</v>
      </c>
      <c r="AZ1" s="213" t="s">
        <v>2000</v>
      </c>
      <c r="BA1" s="178" t="s">
        <v>1498</v>
      </c>
      <c r="BB1" s="178" t="s">
        <v>1621</v>
      </c>
      <c r="BC1" s="178" t="s">
        <v>2006</v>
      </c>
    </row>
    <row r="2" spans="1:55">
      <c r="G2" s="268"/>
      <c r="K2" s="257"/>
      <c r="Y2" s="257"/>
    </row>
    <row r="3" spans="1:55">
      <c r="G3" s="268"/>
      <c r="K3" s="257"/>
    </row>
    <row r="4" spans="1:55">
      <c r="G4" s="268"/>
    </row>
    <row r="5" spans="1:55">
      <c r="G5" s="268"/>
    </row>
    <row r="6" spans="1:55">
      <c r="G6" s="268"/>
    </row>
    <row r="7" spans="1:55">
      <c r="G7" s="268"/>
      <c r="K7" s="257"/>
      <c r="Y7" s="257"/>
    </row>
    <row r="8" spans="1:55">
      <c r="G8" s="268"/>
      <c r="K8" s="257"/>
      <c r="Y8" s="257"/>
    </row>
    <row r="9" spans="1:55">
      <c r="G9" s="268"/>
      <c r="Y9" s="257"/>
    </row>
    <row r="10" spans="1:55">
      <c r="G10" s="268"/>
      <c r="Y10" s="257"/>
    </row>
    <row r="11" spans="1:55">
      <c r="G11" s="268"/>
      <c r="Y11" s="257"/>
    </row>
    <row r="12" spans="1:55">
      <c r="G12" s="268"/>
      <c r="Y12" s="257"/>
    </row>
    <row r="13" spans="1:55">
      <c r="G13" s="268"/>
      <c r="Y13" s="257"/>
    </row>
    <row r="14" spans="1:55">
      <c r="G14" s="268"/>
      <c r="Y14" s="257"/>
    </row>
    <row r="15" spans="1:55">
      <c r="G15" s="268"/>
      <c r="Y15" s="257"/>
    </row>
    <row r="16" spans="1:55">
      <c r="G16" s="268"/>
      <c r="Y16" s="257"/>
    </row>
  </sheetData>
  <sheetProtection algorithmName="SHA-512" hashValue="pqF2tnzbUSJZGGdZC0pmjlGxox9MnpSUqO3LppXt1z/pQSB8cVNEiYqbG+ENp8EVM/j6yXi1Ok8EM9OJY9vcQA==" saltValue="SmXIr2Hf/cBi9/ElHmQ8Hg==" spinCount="100000" sheet="1" objects="1" scenarios="1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12</vt:i4>
      </vt:variant>
    </vt:vector>
  </HeadingPairs>
  <TitlesOfParts>
    <vt:vector size="32" baseType="lpstr">
      <vt:lpstr>Home</vt:lpstr>
      <vt:lpstr>YWSmry</vt:lpstr>
      <vt:lpstr>Sheet2</vt:lpstr>
      <vt:lpstr>Database</vt:lpstr>
      <vt:lpstr>SearchData</vt:lpstr>
      <vt:lpstr>Print</vt:lpstr>
      <vt:lpstr>Support</vt:lpstr>
      <vt:lpstr>JudgeProfile</vt:lpstr>
      <vt:lpstr>Autogenerated Template</vt:lpstr>
      <vt:lpstr>CategoryWiseCOnsolidated</vt:lpstr>
      <vt:lpstr>Sheet1</vt:lpstr>
      <vt:lpstr>Summary Sheet</vt:lpstr>
      <vt:lpstr>DataToRead</vt:lpstr>
      <vt:lpstr>YearWiseSmry</vt:lpstr>
      <vt:lpstr>DiposedCases</vt:lpstr>
      <vt:lpstr>FreshInstitution</vt:lpstr>
      <vt:lpstr>CourtBalance</vt:lpstr>
      <vt:lpstr>UTPCases</vt:lpstr>
      <vt:lpstr>PendingCases</vt:lpstr>
      <vt:lpstr>SecurityProceedings</vt:lpstr>
      <vt:lpstr>Combine</vt:lpstr>
      <vt:lpstr>Dynamic</vt:lpstr>
      <vt:lpstr>Print!Print_Area</vt:lpstr>
      <vt:lpstr>TblCatforreplace</vt:lpstr>
      <vt:lpstr>TblContestedTarget</vt:lpstr>
      <vt:lpstr>TblContestedTarget1</vt:lpstr>
      <vt:lpstr>TblDC</vt:lpstr>
      <vt:lpstr>TblMonths</vt:lpstr>
      <vt:lpstr>TblTC</vt:lpstr>
      <vt:lpstr>tbltc2</vt:lpstr>
      <vt:lpstr>tbltc3</vt:lpstr>
      <vt:lpstr>tblzones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Peshawar High Court</dc:creator>
  <cp:lastModifiedBy>hp</cp:lastModifiedBy>
  <cp:lastPrinted>2023-05-03T04:40:51Z</cp:lastPrinted>
  <dcterms:created xsi:type="dcterms:W3CDTF">2019-11-16T15:56:13Z</dcterms:created>
  <dcterms:modified xsi:type="dcterms:W3CDTF">2023-08-12T06:37:34Z</dcterms:modified>
</cp:coreProperties>
</file>